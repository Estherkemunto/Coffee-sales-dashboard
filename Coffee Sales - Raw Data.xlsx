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 firstSheet="2" activeTab="8"/>
  </bookViews>
  <sheets>
    <sheet name="orders" sheetId="17" r:id="rId1"/>
    <sheet name="customers" sheetId="13" r:id="rId2"/>
    <sheet name="products" sheetId="2" r:id="rId3"/>
    <sheet name="Combined table" sheetId="18" r:id="rId4"/>
    <sheet name="Year-month" sheetId="19" r:id="rId5"/>
    <sheet name="Sheet7" sheetId="24" r:id="rId6"/>
    <sheet name="Sheet7 (2)" sheetId="25" r:id="rId7"/>
    <sheet name="Sheet7 (3)" sheetId="26" r:id="rId8"/>
    <sheet name="Sheet7 (4)" sheetId="27" r:id="rId9"/>
    <sheet name="Sheet7 (5)" sheetId="28" r:id="rId10"/>
    <sheet name="Sheet7 (6)" sheetId="29" r:id="rId11"/>
    <sheet name="Sheet7 (7)" sheetId="30" r:id="rId12"/>
    <sheet name="Sheet7 (8)" sheetId="31" r:id="rId13"/>
    <sheet name="Sheet16" sheetId="33" r:id="rId14"/>
  </sheets>
  <definedNames>
    <definedName name="_xlnm._FilterDatabase" localSheetId="3" hidden="1">'Combined table'!$N$1:$N$1002</definedName>
    <definedName name="_xlnm._FilterDatabase" localSheetId="0" hidden="1">orders!$A$1:$M$1001</definedName>
    <definedName name="_xlnm._FilterDatabase" localSheetId="2" hidden="1">products!$A$1:$G$49</definedName>
    <definedName name="_xlnm._FilterDatabase" localSheetId="4" hidden="1">'Year-month'!$C$4:$C$8</definedName>
  </definedNames>
  <calcPr calcId="145621"/>
  <pivotCaches>
    <pivotCache cacheId="18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8" l="1"/>
  <c r="N9" i="18" l="1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230" i="18"/>
  <c r="N231" i="18"/>
  <c r="N232" i="18"/>
  <c r="N233" i="18"/>
  <c r="N234" i="18"/>
  <c r="N235" i="18"/>
  <c r="N236" i="18"/>
  <c r="N237" i="18"/>
  <c r="N238" i="18"/>
  <c r="N239" i="18"/>
  <c r="N240" i="18"/>
  <c r="N241" i="18"/>
  <c r="N242" i="18"/>
  <c r="N243" i="18"/>
  <c r="N244" i="18"/>
  <c r="N245" i="18"/>
  <c r="N246" i="18"/>
  <c r="N247" i="18"/>
  <c r="N248" i="18"/>
  <c r="N249" i="18"/>
  <c r="N250" i="18"/>
  <c r="N251" i="18"/>
  <c r="N252" i="18"/>
  <c r="N253" i="18"/>
  <c r="N254" i="18"/>
  <c r="N255" i="18"/>
  <c r="N256" i="18"/>
  <c r="N257" i="18"/>
  <c r="N258" i="18"/>
  <c r="N259" i="18"/>
  <c r="N260" i="18"/>
  <c r="N261" i="18"/>
  <c r="N262" i="18"/>
  <c r="N263" i="18"/>
  <c r="N264" i="18"/>
  <c r="N265" i="18"/>
  <c r="N266" i="18"/>
  <c r="N267" i="18"/>
  <c r="N268" i="18"/>
  <c r="N269" i="18"/>
  <c r="N270" i="18"/>
  <c r="N271" i="18"/>
  <c r="N272" i="18"/>
  <c r="N273" i="18"/>
  <c r="N274" i="18"/>
  <c r="N275" i="18"/>
  <c r="N276" i="18"/>
  <c r="N277" i="18"/>
  <c r="N278" i="18"/>
  <c r="N279" i="18"/>
  <c r="N280" i="18"/>
  <c r="N281" i="18"/>
  <c r="N282" i="18"/>
  <c r="N283" i="18"/>
  <c r="N284" i="18"/>
  <c r="N285" i="18"/>
  <c r="N286" i="18"/>
  <c r="N287" i="18"/>
  <c r="N288" i="18"/>
  <c r="N289" i="18"/>
  <c r="N290" i="18"/>
  <c r="N291" i="18"/>
  <c r="N292" i="18"/>
  <c r="N293" i="18"/>
  <c r="N294" i="18"/>
  <c r="N295" i="18"/>
  <c r="N296" i="18"/>
  <c r="N297" i="18"/>
  <c r="N298" i="18"/>
  <c r="N299" i="18"/>
  <c r="N300" i="18"/>
  <c r="N301" i="18"/>
  <c r="N302" i="18"/>
  <c r="N303" i="18"/>
  <c r="N304" i="18"/>
  <c r="N305" i="18"/>
  <c r="N306" i="18"/>
  <c r="N307" i="18"/>
  <c r="N308" i="18"/>
  <c r="N309" i="18"/>
  <c r="N310" i="18"/>
  <c r="N311" i="18"/>
  <c r="N312" i="18"/>
  <c r="N313" i="18"/>
  <c r="N314" i="18"/>
  <c r="N315" i="18"/>
  <c r="N316" i="18"/>
  <c r="N317" i="18"/>
  <c r="N318" i="18"/>
  <c r="N319" i="18"/>
  <c r="N320" i="18"/>
  <c r="N321" i="18"/>
  <c r="N322" i="18"/>
  <c r="N323" i="18"/>
  <c r="N324" i="18"/>
  <c r="N325" i="18"/>
  <c r="N326" i="18"/>
  <c r="N327" i="18"/>
  <c r="N328" i="18"/>
  <c r="N329" i="18"/>
  <c r="N330" i="18"/>
  <c r="N331" i="18"/>
  <c r="N332" i="18"/>
  <c r="N333" i="18"/>
  <c r="N334" i="18"/>
  <c r="N335" i="18"/>
  <c r="N336" i="18"/>
  <c r="N337" i="18"/>
  <c r="N338" i="18"/>
  <c r="N339" i="18"/>
  <c r="N340" i="18"/>
  <c r="N341" i="18"/>
  <c r="N342" i="18"/>
  <c r="N343" i="18"/>
  <c r="N344" i="18"/>
  <c r="N345" i="18"/>
  <c r="N346" i="18"/>
  <c r="N347" i="18"/>
  <c r="N348" i="18"/>
  <c r="N349" i="18"/>
  <c r="N350" i="18"/>
  <c r="N351" i="18"/>
  <c r="N352" i="18"/>
  <c r="N353" i="18"/>
  <c r="N354" i="18"/>
  <c r="N355" i="18"/>
  <c r="N356" i="18"/>
  <c r="N357" i="18"/>
  <c r="N358" i="18"/>
  <c r="N359" i="18"/>
  <c r="N360" i="18"/>
  <c r="N361" i="18"/>
  <c r="N362" i="18"/>
  <c r="N363" i="18"/>
  <c r="N364" i="18"/>
  <c r="N365" i="18"/>
  <c r="N366" i="18"/>
  <c r="N367" i="18"/>
  <c r="N368" i="18"/>
  <c r="N369" i="18"/>
  <c r="N370" i="18"/>
  <c r="N371" i="18"/>
  <c r="N372" i="18"/>
  <c r="N373" i="18"/>
  <c r="N374" i="18"/>
  <c r="N375" i="18"/>
  <c r="N376" i="18"/>
  <c r="N377" i="18"/>
  <c r="N378" i="18"/>
  <c r="N379" i="18"/>
  <c r="N380" i="18"/>
  <c r="N381" i="18"/>
  <c r="N382" i="18"/>
  <c r="N383" i="18"/>
  <c r="N384" i="18"/>
  <c r="N385" i="18"/>
  <c r="N386" i="18"/>
  <c r="N387" i="18"/>
  <c r="N388" i="18"/>
  <c r="N389" i="18"/>
  <c r="N390" i="18"/>
  <c r="N391" i="18"/>
  <c r="N392" i="18"/>
  <c r="N393" i="18"/>
  <c r="N394" i="18"/>
  <c r="N395" i="18"/>
  <c r="N396" i="18"/>
  <c r="N397" i="18"/>
  <c r="N398" i="18"/>
  <c r="N399" i="18"/>
  <c r="N400" i="18"/>
  <c r="N401" i="18"/>
  <c r="N402" i="18"/>
  <c r="N403" i="18"/>
  <c r="N404" i="18"/>
  <c r="N405" i="18"/>
  <c r="N406" i="18"/>
  <c r="N407" i="18"/>
  <c r="N408" i="18"/>
  <c r="N409" i="18"/>
  <c r="N410" i="18"/>
  <c r="N411" i="18"/>
  <c r="N412" i="18"/>
  <c r="N413" i="18"/>
  <c r="N414" i="18"/>
  <c r="N415" i="18"/>
  <c r="N416" i="18"/>
  <c r="N417" i="18"/>
  <c r="N418" i="18"/>
  <c r="N419" i="18"/>
  <c r="N420" i="18"/>
  <c r="N421" i="18"/>
  <c r="N422" i="18"/>
  <c r="N423" i="18"/>
  <c r="N424" i="18"/>
  <c r="N425" i="18"/>
  <c r="N426" i="18"/>
  <c r="N427" i="18"/>
  <c r="N428" i="18"/>
  <c r="N429" i="18"/>
  <c r="N430" i="18"/>
  <c r="N431" i="18"/>
  <c r="N432" i="18"/>
  <c r="N433" i="18"/>
  <c r="N434" i="18"/>
  <c r="N435" i="18"/>
  <c r="N436" i="18"/>
  <c r="N437" i="18"/>
  <c r="N438" i="18"/>
  <c r="N439" i="18"/>
  <c r="N440" i="18"/>
  <c r="N441" i="18"/>
  <c r="N442" i="18"/>
  <c r="N443" i="18"/>
  <c r="N444" i="18"/>
  <c r="N445" i="18"/>
  <c r="N446" i="18"/>
  <c r="N447" i="18"/>
  <c r="N448" i="18"/>
  <c r="N449" i="18"/>
  <c r="N450" i="18"/>
  <c r="N451" i="18"/>
  <c r="N452" i="18"/>
  <c r="N453" i="18"/>
  <c r="N454" i="18"/>
  <c r="N455" i="18"/>
  <c r="N456" i="18"/>
  <c r="N457" i="18"/>
  <c r="N458" i="18"/>
  <c r="N459" i="18"/>
  <c r="N460" i="18"/>
  <c r="N461" i="18"/>
  <c r="N462" i="18"/>
  <c r="N463" i="18"/>
  <c r="N464" i="18"/>
  <c r="N465" i="18"/>
  <c r="N466" i="18"/>
  <c r="N467" i="18"/>
  <c r="N468" i="18"/>
  <c r="N469" i="18"/>
  <c r="N470" i="18"/>
  <c r="N471" i="18"/>
  <c r="N472" i="18"/>
  <c r="N473" i="18"/>
  <c r="N474" i="18"/>
  <c r="N475" i="18"/>
  <c r="N476" i="18"/>
  <c r="N477" i="18"/>
  <c r="N478" i="18"/>
  <c r="N479" i="18"/>
  <c r="N480" i="18"/>
  <c r="N481" i="18"/>
  <c r="N482" i="18"/>
  <c r="N483" i="18"/>
  <c r="N484" i="18"/>
  <c r="N485" i="18"/>
  <c r="N486" i="18"/>
  <c r="N487" i="18"/>
  <c r="N488" i="18"/>
  <c r="N489" i="18"/>
  <c r="N490" i="18"/>
  <c r="N491" i="18"/>
  <c r="N492" i="18"/>
  <c r="N493" i="18"/>
  <c r="N494" i="18"/>
  <c r="N495" i="18"/>
  <c r="N496" i="18"/>
  <c r="N497" i="18"/>
  <c r="N498" i="18"/>
  <c r="N499" i="18"/>
  <c r="N500" i="18"/>
  <c r="N501" i="18"/>
  <c r="N502" i="18"/>
  <c r="N503" i="18"/>
  <c r="N504" i="18"/>
  <c r="N505" i="18"/>
  <c r="N506" i="18"/>
  <c r="N507" i="18"/>
  <c r="N508" i="18"/>
  <c r="N509" i="18"/>
  <c r="N510" i="18"/>
  <c r="N511" i="18"/>
  <c r="N512" i="18"/>
  <c r="N513" i="18"/>
  <c r="N514" i="18"/>
  <c r="N515" i="18"/>
  <c r="N516" i="18"/>
  <c r="N517" i="18"/>
  <c r="N518" i="18"/>
  <c r="N519" i="18"/>
  <c r="N520" i="18"/>
  <c r="N521" i="18"/>
  <c r="N522" i="18"/>
  <c r="N523" i="18"/>
  <c r="N524" i="18"/>
  <c r="N525" i="18"/>
  <c r="N526" i="18"/>
  <c r="N527" i="18"/>
  <c r="N528" i="18"/>
  <c r="N529" i="18"/>
  <c r="N530" i="18"/>
  <c r="N531" i="18"/>
  <c r="N532" i="18"/>
  <c r="N533" i="18"/>
  <c r="N534" i="18"/>
  <c r="N535" i="18"/>
  <c r="N536" i="18"/>
  <c r="N537" i="18"/>
  <c r="N538" i="18"/>
  <c r="N539" i="18"/>
  <c r="N540" i="18"/>
  <c r="N541" i="18"/>
  <c r="N542" i="18"/>
  <c r="N543" i="18"/>
  <c r="N544" i="18"/>
  <c r="N545" i="18"/>
  <c r="N546" i="18"/>
  <c r="N547" i="18"/>
  <c r="N548" i="18"/>
  <c r="N549" i="18"/>
  <c r="N550" i="18"/>
  <c r="N551" i="18"/>
  <c r="N552" i="18"/>
  <c r="N553" i="18"/>
  <c r="N554" i="18"/>
  <c r="N555" i="18"/>
  <c r="N556" i="18"/>
  <c r="N557" i="18"/>
  <c r="N558" i="18"/>
  <c r="N559" i="18"/>
  <c r="N560" i="18"/>
  <c r="N561" i="18"/>
  <c r="N562" i="18"/>
  <c r="N563" i="18"/>
  <c r="N564" i="18"/>
  <c r="N565" i="18"/>
  <c r="N566" i="18"/>
  <c r="N567" i="18"/>
  <c r="N568" i="18"/>
  <c r="N569" i="18"/>
  <c r="N570" i="18"/>
  <c r="N571" i="18"/>
  <c r="N572" i="18"/>
  <c r="N573" i="18"/>
  <c r="N574" i="18"/>
  <c r="N575" i="18"/>
  <c r="N576" i="18"/>
  <c r="N577" i="18"/>
  <c r="N578" i="18"/>
  <c r="N579" i="18"/>
  <c r="N580" i="18"/>
  <c r="N581" i="18"/>
  <c r="N582" i="18"/>
  <c r="N583" i="18"/>
  <c r="N584" i="18"/>
  <c r="N585" i="18"/>
  <c r="N586" i="18"/>
  <c r="N587" i="18"/>
  <c r="N588" i="18"/>
  <c r="N589" i="18"/>
  <c r="N590" i="18"/>
  <c r="N591" i="18"/>
  <c r="N592" i="18"/>
  <c r="N593" i="18"/>
  <c r="N594" i="18"/>
  <c r="N595" i="18"/>
  <c r="N596" i="18"/>
  <c r="N597" i="18"/>
  <c r="N598" i="18"/>
  <c r="N599" i="18"/>
  <c r="N600" i="18"/>
  <c r="N601" i="18"/>
  <c r="N602" i="18"/>
  <c r="N603" i="18"/>
  <c r="N604" i="18"/>
  <c r="N605" i="18"/>
  <c r="N606" i="18"/>
  <c r="N607" i="18"/>
  <c r="N608" i="18"/>
  <c r="N609" i="18"/>
  <c r="N610" i="18"/>
  <c r="N611" i="18"/>
  <c r="N612" i="18"/>
  <c r="N613" i="18"/>
  <c r="N614" i="18"/>
  <c r="N615" i="18"/>
  <c r="N616" i="18"/>
  <c r="N617" i="18"/>
  <c r="N618" i="18"/>
  <c r="N619" i="18"/>
  <c r="N620" i="18"/>
  <c r="N621" i="18"/>
  <c r="N622" i="18"/>
  <c r="N623" i="18"/>
  <c r="N624" i="18"/>
  <c r="N625" i="18"/>
  <c r="N626" i="18"/>
  <c r="N627" i="18"/>
  <c r="N628" i="18"/>
  <c r="N629" i="18"/>
  <c r="N630" i="18"/>
  <c r="N631" i="18"/>
  <c r="N632" i="18"/>
  <c r="N633" i="18"/>
  <c r="N634" i="18"/>
  <c r="N635" i="18"/>
  <c r="N636" i="18"/>
  <c r="N637" i="18"/>
  <c r="N638" i="18"/>
  <c r="N639" i="18"/>
  <c r="N640" i="18"/>
  <c r="N641" i="18"/>
  <c r="N642" i="18"/>
  <c r="N643" i="18"/>
  <c r="N644" i="18"/>
  <c r="N645" i="18"/>
  <c r="N646" i="18"/>
  <c r="N647" i="18"/>
  <c r="N648" i="18"/>
  <c r="N649" i="18"/>
  <c r="N650" i="18"/>
  <c r="N651" i="18"/>
  <c r="N652" i="18"/>
  <c r="N653" i="18"/>
  <c r="N654" i="18"/>
  <c r="N655" i="18"/>
  <c r="N656" i="18"/>
  <c r="N657" i="18"/>
  <c r="N658" i="18"/>
  <c r="N659" i="18"/>
  <c r="N660" i="18"/>
  <c r="N661" i="18"/>
  <c r="N662" i="18"/>
  <c r="N663" i="18"/>
  <c r="N664" i="18"/>
  <c r="N665" i="18"/>
  <c r="N666" i="18"/>
  <c r="N667" i="18"/>
  <c r="N668" i="18"/>
  <c r="N669" i="18"/>
  <c r="N670" i="18"/>
  <c r="N671" i="18"/>
  <c r="N672" i="18"/>
  <c r="N673" i="18"/>
  <c r="N674" i="18"/>
  <c r="N675" i="18"/>
  <c r="N676" i="18"/>
  <c r="N677" i="18"/>
  <c r="N678" i="18"/>
  <c r="N679" i="18"/>
  <c r="N680" i="18"/>
  <c r="N681" i="18"/>
  <c r="N682" i="18"/>
  <c r="N683" i="18"/>
  <c r="N684" i="18"/>
  <c r="N685" i="18"/>
  <c r="N686" i="18"/>
  <c r="N687" i="18"/>
  <c r="N688" i="18"/>
  <c r="N689" i="18"/>
  <c r="N690" i="18"/>
  <c r="N691" i="18"/>
  <c r="N692" i="18"/>
  <c r="N693" i="18"/>
  <c r="N694" i="18"/>
  <c r="N695" i="18"/>
  <c r="N696" i="18"/>
  <c r="N697" i="18"/>
  <c r="N698" i="18"/>
  <c r="N699" i="18"/>
  <c r="N700" i="18"/>
  <c r="N701" i="18"/>
  <c r="N702" i="18"/>
  <c r="N703" i="18"/>
  <c r="N704" i="18"/>
  <c r="N705" i="18"/>
  <c r="N706" i="18"/>
  <c r="N707" i="18"/>
  <c r="N708" i="18"/>
  <c r="N709" i="18"/>
  <c r="N710" i="18"/>
  <c r="N711" i="18"/>
  <c r="N712" i="18"/>
  <c r="N713" i="18"/>
  <c r="N714" i="18"/>
  <c r="N715" i="18"/>
  <c r="N716" i="18"/>
  <c r="N717" i="18"/>
  <c r="N718" i="18"/>
  <c r="N719" i="18"/>
  <c r="N720" i="18"/>
  <c r="N721" i="18"/>
  <c r="N722" i="18"/>
  <c r="N723" i="18"/>
  <c r="N724" i="18"/>
  <c r="N725" i="18"/>
  <c r="N726" i="18"/>
  <c r="N727" i="18"/>
  <c r="N728" i="18"/>
  <c r="N729" i="18"/>
  <c r="N730" i="18"/>
  <c r="N731" i="18"/>
  <c r="N732" i="18"/>
  <c r="N733" i="18"/>
  <c r="N734" i="18"/>
  <c r="N735" i="18"/>
  <c r="N736" i="18"/>
  <c r="N737" i="18"/>
  <c r="N738" i="18"/>
  <c r="N739" i="18"/>
  <c r="N740" i="18"/>
  <c r="N741" i="18"/>
  <c r="N742" i="18"/>
  <c r="N743" i="18"/>
  <c r="N744" i="18"/>
  <c r="N745" i="18"/>
  <c r="N746" i="18"/>
  <c r="N747" i="18"/>
  <c r="N748" i="18"/>
  <c r="N749" i="18"/>
  <c r="N750" i="18"/>
  <c r="N751" i="18"/>
  <c r="N752" i="18"/>
  <c r="N753" i="18"/>
  <c r="N754" i="18"/>
  <c r="N755" i="18"/>
  <c r="N756" i="18"/>
  <c r="N757" i="18"/>
  <c r="N758" i="18"/>
  <c r="N759" i="18"/>
  <c r="N760" i="18"/>
  <c r="N761" i="18"/>
  <c r="N762" i="18"/>
  <c r="N763" i="18"/>
  <c r="N764" i="18"/>
  <c r="N765" i="18"/>
  <c r="N766" i="18"/>
  <c r="N767" i="18"/>
  <c r="N768" i="18"/>
  <c r="N769" i="18"/>
  <c r="N770" i="18"/>
  <c r="N771" i="18"/>
  <c r="N772" i="18"/>
  <c r="N773" i="18"/>
  <c r="N774" i="18"/>
  <c r="N775" i="18"/>
  <c r="N776" i="18"/>
  <c r="N777" i="18"/>
  <c r="N778" i="18"/>
  <c r="N779" i="18"/>
  <c r="N780" i="18"/>
  <c r="N781" i="18"/>
  <c r="N782" i="18"/>
  <c r="N783" i="18"/>
  <c r="N784" i="18"/>
  <c r="N785" i="18"/>
  <c r="N786" i="18"/>
  <c r="N787" i="18"/>
  <c r="N788" i="18"/>
  <c r="N789" i="18"/>
  <c r="N790" i="18"/>
  <c r="N791" i="18"/>
  <c r="N792" i="18"/>
  <c r="N793" i="18"/>
  <c r="N794" i="18"/>
  <c r="N795" i="18"/>
  <c r="N796" i="18"/>
  <c r="N797" i="18"/>
  <c r="N798" i="18"/>
  <c r="N799" i="18"/>
  <c r="N800" i="18"/>
  <c r="N801" i="18"/>
  <c r="N802" i="18"/>
  <c r="N803" i="18"/>
  <c r="N804" i="18"/>
  <c r="N805" i="18"/>
  <c r="N806" i="18"/>
  <c r="N807" i="18"/>
  <c r="N808" i="18"/>
  <c r="N809" i="18"/>
  <c r="N810" i="18"/>
  <c r="N811" i="18"/>
  <c r="N812" i="18"/>
  <c r="N813" i="18"/>
  <c r="N814" i="18"/>
  <c r="N815" i="18"/>
  <c r="N816" i="18"/>
  <c r="N817" i="18"/>
  <c r="N818" i="18"/>
  <c r="N819" i="18"/>
  <c r="N820" i="18"/>
  <c r="N821" i="18"/>
  <c r="N822" i="18"/>
  <c r="N823" i="18"/>
  <c r="N824" i="18"/>
  <c r="N825" i="18"/>
  <c r="N826" i="18"/>
  <c r="N827" i="18"/>
  <c r="N828" i="18"/>
  <c r="N829" i="18"/>
  <c r="N830" i="18"/>
  <c r="N831" i="18"/>
  <c r="N832" i="18"/>
  <c r="N833" i="18"/>
  <c r="N834" i="18"/>
  <c r="N835" i="18"/>
  <c r="N836" i="18"/>
  <c r="N837" i="18"/>
  <c r="N838" i="18"/>
  <c r="N839" i="18"/>
  <c r="N840" i="18"/>
  <c r="N841" i="18"/>
  <c r="N842" i="18"/>
  <c r="N843" i="18"/>
  <c r="N844" i="18"/>
  <c r="N845" i="18"/>
  <c r="N846" i="18"/>
  <c r="N847" i="18"/>
  <c r="N848" i="18"/>
  <c r="N849" i="18"/>
  <c r="N850" i="18"/>
  <c r="N851" i="18"/>
  <c r="N852" i="18"/>
  <c r="N853" i="18"/>
  <c r="N854" i="18"/>
  <c r="N855" i="18"/>
  <c r="N856" i="18"/>
  <c r="N857" i="18"/>
  <c r="N858" i="18"/>
  <c r="N859" i="18"/>
  <c r="N860" i="18"/>
  <c r="N861" i="18"/>
  <c r="N862" i="18"/>
  <c r="N863" i="18"/>
  <c r="N864" i="18"/>
  <c r="N865" i="18"/>
  <c r="N866" i="18"/>
  <c r="N867" i="18"/>
  <c r="N868" i="18"/>
  <c r="N869" i="18"/>
  <c r="N870" i="18"/>
  <c r="N871" i="18"/>
  <c r="N872" i="18"/>
  <c r="N873" i="18"/>
  <c r="N874" i="18"/>
  <c r="N875" i="18"/>
  <c r="N876" i="18"/>
  <c r="N877" i="18"/>
  <c r="N878" i="18"/>
  <c r="N879" i="18"/>
  <c r="N880" i="18"/>
  <c r="N881" i="18"/>
  <c r="N882" i="18"/>
  <c r="N883" i="18"/>
  <c r="N884" i="18"/>
  <c r="N885" i="18"/>
  <c r="N886" i="18"/>
  <c r="N887" i="18"/>
  <c r="N888" i="18"/>
  <c r="N889" i="18"/>
  <c r="N890" i="18"/>
  <c r="N891" i="18"/>
  <c r="N892" i="18"/>
  <c r="N893" i="18"/>
  <c r="N894" i="18"/>
  <c r="N895" i="18"/>
  <c r="N896" i="18"/>
  <c r="N897" i="18"/>
  <c r="N898" i="18"/>
  <c r="N899" i="18"/>
  <c r="N900" i="18"/>
  <c r="N901" i="18"/>
  <c r="N902" i="18"/>
  <c r="N903" i="18"/>
  <c r="N904" i="18"/>
  <c r="N905" i="18"/>
  <c r="N906" i="18"/>
  <c r="N907" i="18"/>
  <c r="N908" i="18"/>
  <c r="N909" i="18"/>
  <c r="N910" i="18"/>
  <c r="N911" i="18"/>
  <c r="N912" i="18"/>
  <c r="N913" i="18"/>
  <c r="N914" i="18"/>
  <c r="N915" i="18"/>
  <c r="N916" i="18"/>
  <c r="N917" i="18"/>
  <c r="N918" i="18"/>
  <c r="N919" i="18"/>
  <c r="N920" i="18"/>
  <c r="N921" i="18"/>
  <c r="N922" i="18"/>
  <c r="N923" i="18"/>
  <c r="N924" i="18"/>
  <c r="N925" i="18"/>
  <c r="N926" i="18"/>
  <c r="N927" i="18"/>
  <c r="N928" i="18"/>
  <c r="N929" i="18"/>
  <c r="N930" i="18"/>
  <c r="N931" i="18"/>
  <c r="N932" i="18"/>
  <c r="N933" i="18"/>
  <c r="N934" i="18"/>
  <c r="N935" i="18"/>
  <c r="N936" i="18"/>
  <c r="N937" i="18"/>
  <c r="N938" i="18"/>
  <c r="N939" i="18"/>
  <c r="N940" i="18"/>
  <c r="N941" i="18"/>
  <c r="N942" i="18"/>
  <c r="N943" i="18"/>
  <c r="N944" i="18"/>
  <c r="N945" i="18"/>
  <c r="N946" i="18"/>
  <c r="N947" i="18"/>
  <c r="N948" i="18"/>
  <c r="N949" i="18"/>
  <c r="N950" i="18"/>
  <c r="N951" i="18"/>
  <c r="N952" i="18"/>
  <c r="N953" i="18"/>
  <c r="N954" i="18"/>
  <c r="N955" i="18"/>
  <c r="N956" i="18"/>
  <c r="N957" i="18"/>
  <c r="N958" i="18"/>
  <c r="N959" i="18"/>
  <c r="N960" i="18"/>
  <c r="N961" i="18"/>
  <c r="N962" i="18"/>
  <c r="N963" i="18"/>
  <c r="N964" i="18"/>
  <c r="N965" i="18"/>
  <c r="N966" i="18"/>
  <c r="N967" i="18"/>
  <c r="N968" i="18"/>
  <c r="N969" i="18"/>
  <c r="N970" i="18"/>
  <c r="N971" i="18"/>
  <c r="N972" i="18"/>
  <c r="N973" i="18"/>
  <c r="N974" i="18"/>
  <c r="N975" i="18"/>
  <c r="N976" i="18"/>
  <c r="N977" i="18"/>
  <c r="N978" i="18"/>
  <c r="N979" i="18"/>
  <c r="N980" i="18"/>
  <c r="N981" i="18"/>
  <c r="N982" i="18"/>
  <c r="N983" i="18"/>
  <c r="N984" i="18"/>
  <c r="N985" i="18"/>
  <c r="N986" i="18"/>
  <c r="N987" i="18"/>
  <c r="N988" i="18"/>
  <c r="N989" i="18"/>
  <c r="N990" i="18"/>
  <c r="N991" i="18"/>
  <c r="N992" i="18"/>
  <c r="N993" i="18"/>
  <c r="N994" i="18"/>
  <c r="N995" i="18"/>
  <c r="N996" i="18"/>
  <c r="N997" i="18"/>
  <c r="N998" i="18"/>
  <c r="N999" i="18"/>
  <c r="N1000" i="18"/>
  <c r="N1001" i="18"/>
  <c r="N3" i="18"/>
  <c r="N4" i="18"/>
  <c r="N5" i="18"/>
  <c r="N6" i="18"/>
  <c r="N7" i="18"/>
  <c r="N8" i="18"/>
  <c r="N2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M177" i="18"/>
  <c r="M178" i="18"/>
  <c r="M179" i="18"/>
  <c r="M180" i="18"/>
  <c r="M181" i="18"/>
  <c r="M182" i="18"/>
  <c r="M183" i="18"/>
  <c r="M184" i="18"/>
  <c r="M185" i="18"/>
  <c r="M186" i="18"/>
  <c r="M187" i="18"/>
  <c r="M188" i="18"/>
  <c r="M189" i="18"/>
  <c r="M190" i="18"/>
  <c r="M191" i="18"/>
  <c r="M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M208" i="18"/>
  <c r="M209" i="18"/>
  <c r="M210" i="18"/>
  <c r="M211" i="18"/>
  <c r="M212" i="18"/>
  <c r="M213" i="18"/>
  <c r="M214" i="18"/>
  <c r="M215" i="18"/>
  <c r="M216" i="18"/>
  <c r="M217" i="18"/>
  <c r="M218" i="18"/>
  <c r="M219" i="18"/>
  <c r="M220" i="18"/>
  <c r="M221" i="18"/>
  <c r="M222" i="18"/>
  <c r="M223" i="18"/>
  <c r="M224" i="18"/>
  <c r="M225" i="18"/>
  <c r="M226" i="18"/>
  <c r="M227" i="18"/>
  <c r="M228" i="18"/>
  <c r="M229" i="18"/>
  <c r="M230" i="18"/>
  <c r="M231" i="18"/>
  <c r="M232" i="18"/>
  <c r="M233" i="18"/>
  <c r="M234" i="18"/>
  <c r="M235" i="18"/>
  <c r="M236" i="18"/>
  <c r="M237" i="18"/>
  <c r="M238" i="18"/>
  <c r="M239" i="18"/>
  <c r="M240" i="18"/>
  <c r="M241" i="18"/>
  <c r="M242" i="18"/>
  <c r="M243" i="18"/>
  <c r="M244" i="18"/>
  <c r="M245" i="18"/>
  <c r="M246" i="18"/>
  <c r="M247" i="18"/>
  <c r="M248" i="18"/>
  <c r="M249" i="18"/>
  <c r="M250" i="18"/>
  <c r="M251" i="18"/>
  <c r="M252" i="18"/>
  <c r="M253" i="18"/>
  <c r="M254" i="18"/>
  <c r="M255" i="18"/>
  <c r="M256" i="18"/>
  <c r="M257" i="18"/>
  <c r="M258" i="18"/>
  <c r="M259" i="18"/>
  <c r="M260" i="18"/>
  <c r="M261" i="18"/>
  <c r="M262" i="18"/>
  <c r="M263" i="18"/>
  <c r="M264" i="18"/>
  <c r="M265" i="18"/>
  <c r="M266" i="18"/>
  <c r="M267" i="18"/>
  <c r="M268" i="18"/>
  <c r="M269" i="18"/>
  <c r="M270" i="18"/>
  <c r="M271" i="18"/>
  <c r="M272" i="18"/>
  <c r="M273" i="18"/>
  <c r="M274" i="18"/>
  <c r="M275" i="18"/>
  <c r="M276" i="18"/>
  <c r="M277" i="18"/>
  <c r="M278" i="18"/>
  <c r="M279" i="18"/>
  <c r="M280" i="18"/>
  <c r="M281" i="18"/>
  <c r="M282" i="18"/>
  <c r="M283" i="18"/>
  <c r="M284" i="18"/>
  <c r="M285" i="18"/>
  <c r="M286" i="18"/>
  <c r="M287" i="18"/>
  <c r="M288" i="18"/>
  <c r="M289" i="18"/>
  <c r="M290" i="18"/>
  <c r="M291" i="18"/>
  <c r="M292" i="18"/>
  <c r="M293" i="18"/>
  <c r="M294" i="18"/>
  <c r="M295" i="18"/>
  <c r="M296" i="18"/>
  <c r="M297" i="18"/>
  <c r="M298" i="18"/>
  <c r="M299" i="18"/>
  <c r="M300" i="18"/>
  <c r="M301" i="18"/>
  <c r="M302" i="18"/>
  <c r="M303" i="18"/>
  <c r="M304" i="18"/>
  <c r="M305" i="18"/>
  <c r="M306" i="18"/>
  <c r="M307" i="18"/>
  <c r="M308" i="18"/>
  <c r="M309" i="18"/>
  <c r="M310" i="18"/>
  <c r="M311" i="18"/>
  <c r="M312" i="18"/>
  <c r="M313" i="18"/>
  <c r="M314" i="18"/>
  <c r="M315" i="18"/>
  <c r="M316" i="18"/>
  <c r="M317" i="18"/>
  <c r="M318" i="18"/>
  <c r="M319" i="18"/>
  <c r="M320" i="18"/>
  <c r="M321" i="18"/>
  <c r="M322" i="18"/>
  <c r="M323" i="18"/>
  <c r="M324" i="18"/>
  <c r="M325" i="18"/>
  <c r="M326" i="18"/>
  <c r="M327" i="18"/>
  <c r="M328" i="18"/>
  <c r="M329" i="18"/>
  <c r="M330" i="18"/>
  <c r="M331" i="18"/>
  <c r="M332" i="18"/>
  <c r="M333" i="18"/>
  <c r="M334" i="18"/>
  <c r="M335" i="18"/>
  <c r="M336" i="18"/>
  <c r="M337" i="18"/>
  <c r="M338" i="18"/>
  <c r="M339" i="18"/>
  <c r="M340" i="18"/>
  <c r="M341" i="18"/>
  <c r="M342" i="18"/>
  <c r="M343" i="18"/>
  <c r="M344" i="18"/>
  <c r="M345" i="18"/>
  <c r="M346" i="18"/>
  <c r="M347" i="18"/>
  <c r="M348" i="18"/>
  <c r="M349" i="18"/>
  <c r="M350" i="18"/>
  <c r="M351" i="18"/>
  <c r="M352" i="18"/>
  <c r="M353" i="18"/>
  <c r="M354" i="18"/>
  <c r="M355" i="18"/>
  <c r="M356" i="18"/>
  <c r="M357" i="18"/>
  <c r="M358" i="18"/>
  <c r="M359" i="18"/>
  <c r="M360" i="18"/>
  <c r="M361" i="18"/>
  <c r="M362" i="18"/>
  <c r="M363" i="18"/>
  <c r="M364" i="18"/>
  <c r="M365" i="18"/>
  <c r="M366" i="18"/>
  <c r="M367" i="18"/>
  <c r="M368" i="18"/>
  <c r="M369" i="18"/>
  <c r="M370" i="18"/>
  <c r="M371" i="18"/>
  <c r="M372" i="18"/>
  <c r="M373" i="18"/>
  <c r="M374" i="18"/>
  <c r="M375" i="18"/>
  <c r="M376" i="18"/>
  <c r="M377" i="18"/>
  <c r="M378" i="18"/>
  <c r="M379" i="18"/>
  <c r="M380" i="18"/>
  <c r="M381" i="18"/>
  <c r="M382" i="18"/>
  <c r="M383" i="18"/>
  <c r="M384" i="18"/>
  <c r="M385" i="18"/>
  <c r="M386" i="18"/>
  <c r="M387" i="18"/>
  <c r="M388" i="18"/>
  <c r="M389" i="18"/>
  <c r="M390" i="18"/>
  <c r="M391" i="18"/>
  <c r="M392" i="18"/>
  <c r="M393" i="18"/>
  <c r="M394" i="18"/>
  <c r="M395" i="18"/>
  <c r="M396" i="18"/>
  <c r="M397" i="18"/>
  <c r="M398" i="18"/>
  <c r="M399" i="18"/>
  <c r="M400" i="18"/>
  <c r="M401" i="18"/>
  <c r="M402" i="18"/>
  <c r="M403" i="18"/>
  <c r="M404" i="18"/>
  <c r="M405" i="18"/>
  <c r="M406" i="18"/>
  <c r="M407" i="18"/>
  <c r="M408" i="18"/>
  <c r="M409" i="18"/>
  <c r="M410" i="18"/>
  <c r="M411" i="18"/>
  <c r="M412" i="18"/>
  <c r="M413" i="18"/>
  <c r="M414" i="18"/>
  <c r="M415" i="18"/>
  <c r="M416" i="18"/>
  <c r="M417" i="18"/>
  <c r="M418" i="18"/>
  <c r="M419" i="18"/>
  <c r="M420" i="18"/>
  <c r="M421" i="18"/>
  <c r="M422" i="18"/>
  <c r="M423" i="18"/>
  <c r="M424" i="18"/>
  <c r="M425" i="18"/>
  <c r="M426" i="18"/>
  <c r="M427" i="18"/>
  <c r="M428" i="18"/>
  <c r="M429" i="18"/>
  <c r="M430" i="18"/>
  <c r="M431" i="18"/>
  <c r="M432" i="18"/>
  <c r="M433" i="18"/>
  <c r="M434" i="18"/>
  <c r="M435" i="18"/>
  <c r="M436" i="18"/>
  <c r="M437" i="18"/>
  <c r="M438" i="18"/>
  <c r="M439" i="18"/>
  <c r="M440" i="18"/>
  <c r="M441" i="18"/>
  <c r="M442" i="18"/>
  <c r="M443" i="18"/>
  <c r="M444" i="18"/>
  <c r="M445" i="18"/>
  <c r="M446" i="18"/>
  <c r="M447" i="18"/>
  <c r="M448" i="18"/>
  <c r="M449" i="18"/>
  <c r="M450" i="18"/>
  <c r="M451" i="18"/>
  <c r="M452" i="18"/>
  <c r="M453" i="18"/>
  <c r="M454" i="18"/>
  <c r="M455" i="18"/>
  <c r="M456" i="18"/>
  <c r="M457" i="18"/>
  <c r="M458" i="18"/>
  <c r="M459" i="18"/>
  <c r="M460" i="18"/>
  <c r="M461" i="18"/>
  <c r="M462" i="18"/>
  <c r="M463" i="18"/>
  <c r="M464" i="18"/>
  <c r="M465" i="18"/>
  <c r="M466" i="18"/>
  <c r="M467" i="18"/>
  <c r="M468" i="18"/>
  <c r="M469" i="18"/>
  <c r="M470" i="18"/>
  <c r="M471" i="18"/>
  <c r="M472" i="18"/>
  <c r="M473" i="18"/>
  <c r="M474" i="18"/>
  <c r="M475" i="18"/>
  <c r="M476" i="18"/>
  <c r="M477" i="18"/>
  <c r="M478" i="18"/>
  <c r="M479" i="18"/>
  <c r="M480" i="18"/>
  <c r="M481" i="18"/>
  <c r="M482" i="18"/>
  <c r="M483" i="18"/>
  <c r="M484" i="18"/>
  <c r="M485" i="18"/>
  <c r="M486" i="18"/>
  <c r="M487" i="18"/>
  <c r="M488" i="18"/>
  <c r="M489" i="18"/>
  <c r="M490" i="18"/>
  <c r="M491" i="18"/>
  <c r="M492" i="18"/>
  <c r="M493" i="18"/>
  <c r="M494" i="18"/>
  <c r="M495" i="18"/>
  <c r="M496" i="18"/>
  <c r="M497" i="18"/>
  <c r="M498" i="18"/>
  <c r="M499" i="18"/>
  <c r="M500" i="18"/>
  <c r="M501" i="18"/>
  <c r="M502" i="18"/>
  <c r="M503" i="18"/>
  <c r="M504" i="18"/>
  <c r="M505" i="18"/>
  <c r="M506" i="18"/>
  <c r="M507" i="18"/>
  <c r="M508" i="18"/>
  <c r="M509" i="18"/>
  <c r="M510" i="18"/>
  <c r="M511" i="18"/>
  <c r="M512" i="18"/>
  <c r="M513" i="18"/>
  <c r="M514" i="18"/>
  <c r="M515" i="18"/>
  <c r="M516" i="18"/>
  <c r="M517" i="18"/>
  <c r="M518" i="18"/>
  <c r="M519" i="18"/>
  <c r="M520" i="18"/>
  <c r="M521" i="18"/>
  <c r="M522" i="18"/>
  <c r="M523" i="18"/>
  <c r="M524" i="18"/>
  <c r="M525" i="18"/>
  <c r="M526" i="18"/>
  <c r="M527" i="18"/>
  <c r="M528" i="18"/>
  <c r="M529" i="18"/>
  <c r="M530" i="18"/>
  <c r="M531" i="18"/>
  <c r="M532" i="18"/>
  <c r="M533" i="18"/>
  <c r="M534" i="18"/>
  <c r="M535" i="18"/>
  <c r="M536" i="18"/>
  <c r="M537" i="18"/>
  <c r="M538" i="18"/>
  <c r="M539" i="18"/>
  <c r="M540" i="18"/>
  <c r="M541" i="18"/>
  <c r="M542" i="18"/>
  <c r="M543" i="18"/>
  <c r="M544" i="18"/>
  <c r="M545" i="18"/>
  <c r="M546" i="18"/>
  <c r="M547" i="18"/>
  <c r="M548" i="18"/>
  <c r="M549" i="18"/>
  <c r="M550" i="18"/>
  <c r="M551" i="18"/>
  <c r="M552" i="18"/>
  <c r="M553" i="18"/>
  <c r="M554" i="18"/>
  <c r="M555" i="18"/>
  <c r="M556" i="18"/>
  <c r="M557" i="18"/>
  <c r="M558" i="18"/>
  <c r="M559" i="18"/>
  <c r="M560" i="18"/>
  <c r="M561" i="18"/>
  <c r="M562" i="18"/>
  <c r="M563" i="18"/>
  <c r="M564" i="18"/>
  <c r="M565" i="18"/>
  <c r="M566" i="18"/>
  <c r="M567" i="18"/>
  <c r="M568" i="18"/>
  <c r="M569" i="18"/>
  <c r="M570" i="18"/>
  <c r="M571" i="18"/>
  <c r="M572" i="18"/>
  <c r="M573" i="18"/>
  <c r="M574" i="18"/>
  <c r="M575" i="18"/>
  <c r="M576" i="18"/>
  <c r="M577" i="18"/>
  <c r="M578" i="18"/>
  <c r="M579" i="18"/>
  <c r="M580" i="18"/>
  <c r="M581" i="18"/>
  <c r="M582" i="18"/>
  <c r="M583" i="18"/>
  <c r="M584" i="18"/>
  <c r="M585" i="18"/>
  <c r="M586" i="18"/>
  <c r="M587" i="18"/>
  <c r="M588" i="18"/>
  <c r="M589" i="18"/>
  <c r="M590" i="18"/>
  <c r="M591" i="18"/>
  <c r="M592" i="18"/>
  <c r="M593" i="18"/>
  <c r="M594" i="18"/>
  <c r="M595" i="18"/>
  <c r="M596" i="18"/>
  <c r="M597" i="18"/>
  <c r="M598" i="18"/>
  <c r="M599" i="18"/>
  <c r="M600" i="18"/>
  <c r="M601" i="18"/>
  <c r="M602" i="18"/>
  <c r="M603" i="18"/>
  <c r="M604" i="18"/>
  <c r="M605" i="18"/>
  <c r="M606" i="18"/>
  <c r="M607" i="18"/>
  <c r="M608" i="18"/>
  <c r="M609" i="18"/>
  <c r="M610" i="18"/>
  <c r="M611" i="18"/>
  <c r="M612" i="18"/>
  <c r="M613" i="18"/>
  <c r="M614" i="18"/>
  <c r="M615" i="18"/>
  <c r="M616" i="18"/>
  <c r="M617" i="18"/>
  <c r="M618" i="18"/>
  <c r="M619" i="18"/>
  <c r="M620" i="18"/>
  <c r="M621" i="18"/>
  <c r="M622" i="18"/>
  <c r="M623" i="18"/>
  <c r="M624" i="18"/>
  <c r="M625" i="18"/>
  <c r="M626" i="18"/>
  <c r="M627" i="18"/>
  <c r="M628" i="18"/>
  <c r="M629" i="18"/>
  <c r="M630" i="18"/>
  <c r="M631" i="18"/>
  <c r="M632" i="18"/>
  <c r="M633" i="18"/>
  <c r="M634" i="18"/>
  <c r="M635" i="18"/>
  <c r="M636" i="18"/>
  <c r="M637" i="18"/>
  <c r="M638" i="18"/>
  <c r="M639" i="18"/>
  <c r="M640" i="18"/>
  <c r="M641" i="18"/>
  <c r="M642" i="18"/>
  <c r="M643" i="18"/>
  <c r="M644" i="18"/>
  <c r="M645" i="18"/>
  <c r="M646" i="18"/>
  <c r="M647" i="18"/>
  <c r="M648" i="18"/>
  <c r="M649" i="18"/>
  <c r="M650" i="18"/>
  <c r="M651" i="18"/>
  <c r="M652" i="18"/>
  <c r="M653" i="18"/>
  <c r="M654" i="18"/>
  <c r="M655" i="18"/>
  <c r="M656" i="18"/>
  <c r="M657" i="18"/>
  <c r="M658" i="18"/>
  <c r="M659" i="18"/>
  <c r="M660" i="18"/>
  <c r="M661" i="18"/>
  <c r="M662" i="18"/>
  <c r="M663" i="18"/>
  <c r="M664" i="18"/>
  <c r="M665" i="18"/>
  <c r="M666" i="18"/>
  <c r="M667" i="18"/>
  <c r="M668" i="18"/>
  <c r="M669" i="18"/>
  <c r="M670" i="18"/>
  <c r="M671" i="18"/>
  <c r="M672" i="18"/>
  <c r="M673" i="18"/>
  <c r="M674" i="18"/>
  <c r="M675" i="18"/>
  <c r="M676" i="18"/>
  <c r="M677" i="18"/>
  <c r="M678" i="18"/>
  <c r="M679" i="18"/>
  <c r="M680" i="18"/>
  <c r="M681" i="18"/>
  <c r="M682" i="18"/>
  <c r="M683" i="18"/>
  <c r="M684" i="18"/>
  <c r="M685" i="18"/>
  <c r="M686" i="18"/>
  <c r="M687" i="18"/>
  <c r="M688" i="18"/>
  <c r="M689" i="18"/>
  <c r="M690" i="18"/>
  <c r="M691" i="18"/>
  <c r="M692" i="18"/>
  <c r="M693" i="18"/>
  <c r="M694" i="18"/>
  <c r="M695" i="18"/>
  <c r="M696" i="18"/>
  <c r="M697" i="18"/>
  <c r="M698" i="18"/>
  <c r="M699" i="18"/>
  <c r="M700" i="18"/>
  <c r="M701" i="18"/>
  <c r="M702" i="18"/>
  <c r="M703" i="18"/>
  <c r="M704" i="18"/>
  <c r="M705" i="18"/>
  <c r="M706" i="18"/>
  <c r="M707" i="18"/>
  <c r="M708" i="18"/>
  <c r="M709" i="18"/>
  <c r="M710" i="18"/>
  <c r="M711" i="18"/>
  <c r="M712" i="18"/>
  <c r="M713" i="18"/>
  <c r="M714" i="18"/>
  <c r="M715" i="18"/>
  <c r="M716" i="18"/>
  <c r="M717" i="18"/>
  <c r="M718" i="18"/>
  <c r="M719" i="18"/>
  <c r="M720" i="18"/>
  <c r="M721" i="18"/>
  <c r="M722" i="18"/>
  <c r="M723" i="18"/>
  <c r="M724" i="18"/>
  <c r="M725" i="18"/>
  <c r="M726" i="18"/>
  <c r="M727" i="18"/>
  <c r="M728" i="18"/>
  <c r="M729" i="18"/>
  <c r="M730" i="18"/>
  <c r="M731" i="18"/>
  <c r="M732" i="18"/>
  <c r="M733" i="18"/>
  <c r="M734" i="18"/>
  <c r="M735" i="18"/>
  <c r="M736" i="18"/>
  <c r="M737" i="18"/>
  <c r="M738" i="18"/>
  <c r="M739" i="18"/>
  <c r="M740" i="18"/>
  <c r="M741" i="18"/>
  <c r="M742" i="18"/>
  <c r="M743" i="18"/>
  <c r="M744" i="18"/>
  <c r="M745" i="18"/>
  <c r="M746" i="18"/>
  <c r="M747" i="18"/>
  <c r="M748" i="18"/>
  <c r="M749" i="18"/>
  <c r="M750" i="18"/>
  <c r="M751" i="18"/>
  <c r="M752" i="18"/>
  <c r="M753" i="18"/>
  <c r="M754" i="18"/>
  <c r="M755" i="18"/>
  <c r="M756" i="18"/>
  <c r="M757" i="18"/>
  <c r="M758" i="18"/>
  <c r="M759" i="18"/>
  <c r="M760" i="18"/>
  <c r="M761" i="18"/>
  <c r="M762" i="18"/>
  <c r="M763" i="18"/>
  <c r="M764" i="18"/>
  <c r="M765" i="18"/>
  <c r="M766" i="18"/>
  <c r="M767" i="18"/>
  <c r="M768" i="18"/>
  <c r="M769" i="18"/>
  <c r="M770" i="18"/>
  <c r="M771" i="18"/>
  <c r="M772" i="18"/>
  <c r="M773" i="18"/>
  <c r="M774" i="18"/>
  <c r="M775" i="18"/>
  <c r="M776" i="18"/>
  <c r="M777" i="18"/>
  <c r="M778" i="18"/>
  <c r="M779" i="18"/>
  <c r="M780" i="18"/>
  <c r="M781" i="18"/>
  <c r="M782" i="18"/>
  <c r="M783" i="18"/>
  <c r="M784" i="18"/>
  <c r="M785" i="18"/>
  <c r="M786" i="18"/>
  <c r="M787" i="18"/>
  <c r="M788" i="18"/>
  <c r="M789" i="18"/>
  <c r="M790" i="18"/>
  <c r="M791" i="18"/>
  <c r="M792" i="18"/>
  <c r="M793" i="18"/>
  <c r="M794" i="18"/>
  <c r="M795" i="18"/>
  <c r="M796" i="18"/>
  <c r="M797" i="18"/>
  <c r="M798" i="18"/>
  <c r="M799" i="18"/>
  <c r="M800" i="18"/>
  <c r="M801" i="18"/>
  <c r="M802" i="18"/>
  <c r="M803" i="18"/>
  <c r="M804" i="18"/>
  <c r="M805" i="18"/>
  <c r="M806" i="18"/>
  <c r="M807" i="18"/>
  <c r="M808" i="18"/>
  <c r="M809" i="18"/>
  <c r="M810" i="18"/>
  <c r="M811" i="18"/>
  <c r="M812" i="18"/>
  <c r="M813" i="18"/>
  <c r="M814" i="18"/>
  <c r="M815" i="18"/>
  <c r="M816" i="18"/>
  <c r="M817" i="18"/>
  <c r="M818" i="18"/>
  <c r="M819" i="18"/>
  <c r="M820" i="18"/>
  <c r="M821" i="18"/>
  <c r="M822" i="18"/>
  <c r="M823" i="18"/>
  <c r="M824" i="18"/>
  <c r="M825" i="18"/>
  <c r="M826" i="18"/>
  <c r="M827" i="18"/>
  <c r="M828" i="18"/>
  <c r="M829" i="18"/>
  <c r="M830" i="18"/>
  <c r="M831" i="18"/>
  <c r="M832" i="18"/>
  <c r="M833" i="18"/>
  <c r="M834" i="18"/>
  <c r="M835" i="18"/>
  <c r="M836" i="18"/>
  <c r="M837" i="18"/>
  <c r="M838" i="18"/>
  <c r="M839" i="18"/>
  <c r="M840" i="18"/>
  <c r="M841" i="18"/>
  <c r="M842" i="18"/>
  <c r="M843" i="18"/>
  <c r="M844" i="18"/>
  <c r="M845" i="18"/>
  <c r="M846" i="18"/>
  <c r="M847" i="18"/>
  <c r="M848" i="18"/>
  <c r="M849" i="18"/>
  <c r="M850" i="18"/>
  <c r="M851" i="18"/>
  <c r="M852" i="18"/>
  <c r="M853" i="18"/>
  <c r="M854" i="18"/>
  <c r="M855" i="18"/>
  <c r="M856" i="18"/>
  <c r="M857" i="18"/>
  <c r="M858" i="18"/>
  <c r="M859" i="18"/>
  <c r="M860" i="18"/>
  <c r="M861" i="18"/>
  <c r="M862" i="18"/>
  <c r="M863" i="18"/>
  <c r="M864" i="18"/>
  <c r="M865" i="18"/>
  <c r="M866" i="18"/>
  <c r="M867" i="18"/>
  <c r="M868" i="18"/>
  <c r="M869" i="18"/>
  <c r="M870" i="18"/>
  <c r="M871" i="18"/>
  <c r="M872" i="18"/>
  <c r="M873" i="18"/>
  <c r="M874" i="18"/>
  <c r="M875" i="18"/>
  <c r="M876" i="18"/>
  <c r="M877" i="18"/>
  <c r="M878" i="18"/>
  <c r="M879" i="18"/>
  <c r="M880" i="18"/>
  <c r="M881" i="18"/>
  <c r="M882" i="18"/>
  <c r="M883" i="18"/>
  <c r="M884" i="18"/>
  <c r="M885" i="18"/>
  <c r="M886" i="18"/>
  <c r="M887" i="18"/>
  <c r="M888" i="18"/>
  <c r="M889" i="18"/>
  <c r="M890" i="18"/>
  <c r="M891" i="18"/>
  <c r="M892" i="18"/>
  <c r="M893" i="18"/>
  <c r="M894" i="18"/>
  <c r="M895" i="18"/>
  <c r="M896" i="18"/>
  <c r="M897" i="18"/>
  <c r="M898" i="18"/>
  <c r="M899" i="18"/>
  <c r="M900" i="18"/>
  <c r="M901" i="18"/>
  <c r="M902" i="18"/>
  <c r="M903" i="18"/>
  <c r="M904" i="18"/>
  <c r="M905" i="18"/>
  <c r="M906" i="18"/>
  <c r="M907" i="18"/>
  <c r="M908" i="18"/>
  <c r="M909" i="18"/>
  <c r="M910" i="18"/>
  <c r="M911" i="18"/>
  <c r="M912" i="18"/>
  <c r="M913" i="18"/>
  <c r="M914" i="18"/>
  <c r="M915" i="18"/>
  <c r="M916" i="18"/>
  <c r="M917" i="18"/>
  <c r="M918" i="18"/>
  <c r="M919" i="18"/>
  <c r="M920" i="18"/>
  <c r="M921" i="18"/>
  <c r="M922" i="18"/>
  <c r="M923" i="18"/>
  <c r="M924" i="18"/>
  <c r="M925" i="18"/>
  <c r="M926" i="18"/>
  <c r="M927" i="18"/>
  <c r="M928" i="18"/>
  <c r="M929" i="18"/>
  <c r="M930" i="18"/>
  <c r="M931" i="18"/>
  <c r="M932" i="18"/>
  <c r="M933" i="18"/>
  <c r="M934" i="18"/>
  <c r="M935" i="18"/>
  <c r="M936" i="18"/>
  <c r="M937" i="18"/>
  <c r="M938" i="18"/>
  <c r="M939" i="18"/>
  <c r="M940" i="18"/>
  <c r="M941" i="18"/>
  <c r="M942" i="18"/>
  <c r="M943" i="18"/>
  <c r="M944" i="18"/>
  <c r="M945" i="18"/>
  <c r="M946" i="18"/>
  <c r="M947" i="18"/>
  <c r="M948" i="18"/>
  <c r="M949" i="18"/>
  <c r="M950" i="18"/>
  <c r="M951" i="18"/>
  <c r="M952" i="18"/>
  <c r="M953" i="18"/>
  <c r="M954" i="18"/>
  <c r="M955" i="18"/>
  <c r="M956" i="18"/>
  <c r="M957" i="18"/>
  <c r="M958" i="18"/>
  <c r="M959" i="18"/>
  <c r="M960" i="18"/>
  <c r="M961" i="18"/>
  <c r="M962" i="18"/>
  <c r="M963" i="18"/>
  <c r="M964" i="18"/>
  <c r="M965" i="18"/>
  <c r="M966" i="18"/>
  <c r="M967" i="18"/>
  <c r="M968" i="18"/>
  <c r="M969" i="18"/>
  <c r="M970" i="18"/>
  <c r="M971" i="18"/>
  <c r="M972" i="18"/>
  <c r="M973" i="18"/>
  <c r="M974" i="18"/>
  <c r="M975" i="18"/>
  <c r="M976" i="18"/>
  <c r="M977" i="18"/>
  <c r="M978" i="18"/>
  <c r="M979" i="18"/>
  <c r="M980" i="18"/>
  <c r="M981" i="18"/>
  <c r="M982" i="18"/>
  <c r="M983" i="18"/>
  <c r="M984" i="18"/>
  <c r="M985" i="18"/>
  <c r="M986" i="18"/>
  <c r="M987" i="18"/>
  <c r="M988" i="18"/>
  <c r="M989" i="18"/>
  <c r="M990" i="18"/>
  <c r="M991" i="18"/>
  <c r="M992" i="18"/>
  <c r="M993" i="18"/>
  <c r="M994" i="18"/>
  <c r="M995" i="18"/>
  <c r="M996" i="18"/>
  <c r="M997" i="18"/>
  <c r="M998" i="18"/>
  <c r="M999" i="18"/>
  <c r="M1000" i="18"/>
  <c r="M1001" i="18"/>
  <c r="L3" i="18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317" i="18"/>
  <c r="L318" i="18"/>
  <c r="L319" i="18"/>
  <c r="L320" i="18"/>
  <c r="L321" i="18"/>
  <c r="L322" i="18"/>
  <c r="L323" i="18"/>
  <c r="L324" i="18"/>
  <c r="L325" i="18"/>
  <c r="L326" i="18"/>
  <c r="L327" i="18"/>
  <c r="L328" i="18"/>
  <c r="L329" i="18"/>
  <c r="L330" i="18"/>
  <c r="L331" i="18"/>
  <c r="L332" i="18"/>
  <c r="L333" i="18"/>
  <c r="L334" i="18"/>
  <c r="L335" i="18"/>
  <c r="L336" i="18"/>
  <c r="L337" i="18"/>
  <c r="L338" i="18"/>
  <c r="L339" i="18"/>
  <c r="L340" i="18"/>
  <c r="L341" i="18"/>
  <c r="L342" i="18"/>
  <c r="L343" i="18"/>
  <c r="L344" i="18"/>
  <c r="L345" i="18"/>
  <c r="L346" i="18"/>
  <c r="L347" i="18"/>
  <c r="L348" i="18"/>
  <c r="L349" i="18"/>
  <c r="L350" i="18"/>
  <c r="L351" i="18"/>
  <c r="L352" i="18"/>
  <c r="L353" i="18"/>
  <c r="L354" i="18"/>
  <c r="L355" i="18"/>
  <c r="L356" i="18"/>
  <c r="L357" i="18"/>
  <c r="L358" i="18"/>
  <c r="L359" i="18"/>
  <c r="L360" i="18"/>
  <c r="L361" i="18"/>
  <c r="L362" i="18"/>
  <c r="L363" i="18"/>
  <c r="L364" i="18"/>
  <c r="L365" i="18"/>
  <c r="L366" i="18"/>
  <c r="L367" i="18"/>
  <c r="L368" i="18"/>
  <c r="L369" i="18"/>
  <c r="L370" i="18"/>
  <c r="L371" i="18"/>
  <c r="L372" i="18"/>
  <c r="L373" i="18"/>
  <c r="L374" i="18"/>
  <c r="L375" i="18"/>
  <c r="L376" i="18"/>
  <c r="L377" i="18"/>
  <c r="L378" i="18"/>
  <c r="L379" i="18"/>
  <c r="L380" i="18"/>
  <c r="L381" i="18"/>
  <c r="L382" i="18"/>
  <c r="L383" i="18"/>
  <c r="L384" i="18"/>
  <c r="L385" i="18"/>
  <c r="L386" i="18"/>
  <c r="L387" i="18"/>
  <c r="L388" i="18"/>
  <c r="L389" i="18"/>
  <c r="L390" i="18"/>
  <c r="L391" i="18"/>
  <c r="L392" i="18"/>
  <c r="L393" i="18"/>
  <c r="L394" i="18"/>
  <c r="L395" i="18"/>
  <c r="L396" i="18"/>
  <c r="L397" i="18"/>
  <c r="L398" i="18"/>
  <c r="L399" i="18"/>
  <c r="L400" i="18"/>
  <c r="L401" i="18"/>
  <c r="L402" i="18"/>
  <c r="L403" i="18"/>
  <c r="L404" i="18"/>
  <c r="L405" i="18"/>
  <c r="L406" i="18"/>
  <c r="L407" i="18"/>
  <c r="L408" i="18"/>
  <c r="L409" i="18"/>
  <c r="L410" i="18"/>
  <c r="L411" i="18"/>
  <c r="L412" i="18"/>
  <c r="L413" i="18"/>
  <c r="L414" i="18"/>
  <c r="L415" i="18"/>
  <c r="L416" i="18"/>
  <c r="L417" i="18"/>
  <c r="L418" i="18"/>
  <c r="L419" i="18"/>
  <c r="L420" i="18"/>
  <c r="L421" i="18"/>
  <c r="L422" i="18"/>
  <c r="L423" i="18"/>
  <c r="L424" i="18"/>
  <c r="L425" i="18"/>
  <c r="L426" i="18"/>
  <c r="L427" i="18"/>
  <c r="L428" i="18"/>
  <c r="L429" i="18"/>
  <c r="L430" i="18"/>
  <c r="L431" i="18"/>
  <c r="L432" i="18"/>
  <c r="L433" i="18"/>
  <c r="L434" i="18"/>
  <c r="L435" i="18"/>
  <c r="L436" i="18"/>
  <c r="L437" i="18"/>
  <c r="L438" i="18"/>
  <c r="L439" i="18"/>
  <c r="L440" i="18"/>
  <c r="L441" i="18"/>
  <c r="L442" i="18"/>
  <c r="L443" i="18"/>
  <c r="L444" i="18"/>
  <c r="L445" i="18"/>
  <c r="L446" i="18"/>
  <c r="L447" i="18"/>
  <c r="L448" i="18"/>
  <c r="L449" i="18"/>
  <c r="L450" i="18"/>
  <c r="L451" i="18"/>
  <c r="L452" i="18"/>
  <c r="L453" i="18"/>
  <c r="L454" i="18"/>
  <c r="L455" i="18"/>
  <c r="L456" i="18"/>
  <c r="L457" i="18"/>
  <c r="L458" i="18"/>
  <c r="L459" i="18"/>
  <c r="L460" i="18"/>
  <c r="L461" i="18"/>
  <c r="L462" i="18"/>
  <c r="L463" i="18"/>
  <c r="L464" i="18"/>
  <c r="L465" i="18"/>
  <c r="L466" i="18"/>
  <c r="L467" i="18"/>
  <c r="L468" i="18"/>
  <c r="L469" i="18"/>
  <c r="L470" i="18"/>
  <c r="L471" i="18"/>
  <c r="L472" i="18"/>
  <c r="L473" i="18"/>
  <c r="L474" i="18"/>
  <c r="L475" i="18"/>
  <c r="L476" i="18"/>
  <c r="L477" i="18"/>
  <c r="L478" i="18"/>
  <c r="L479" i="18"/>
  <c r="L480" i="18"/>
  <c r="L481" i="18"/>
  <c r="L482" i="18"/>
  <c r="L483" i="18"/>
  <c r="L484" i="18"/>
  <c r="L485" i="18"/>
  <c r="L486" i="18"/>
  <c r="L487" i="18"/>
  <c r="L488" i="18"/>
  <c r="L489" i="18"/>
  <c r="L490" i="18"/>
  <c r="L491" i="18"/>
  <c r="L492" i="18"/>
  <c r="L493" i="18"/>
  <c r="L494" i="18"/>
  <c r="L495" i="18"/>
  <c r="L496" i="18"/>
  <c r="L497" i="18"/>
  <c r="L498" i="18"/>
  <c r="L499" i="18"/>
  <c r="L500" i="18"/>
  <c r="L501" i="18"/>
  <c r="L502" i="18"/>
  <c r="L503" i="18"/>
  <c r="L504" i="18"/>
  <c r="L505" i="18"/>
  <c r="L506" i="18"/>
  <c r="L507" i="18"/>
  <c r="L508" i="18"/>
  <c r="L509" i="18"/>
  <c r="L510" i="18"/>
  <c r="L511" i="18"/>
  <c r="L512" i="18"/>
  <c r="L513" i="18"/>
  <c r="L514" i="18"/>
  <c r="L515" i="18"/>
  <c r="L516" i="18"/>
  <c r="L517" i="18"/>
  <c r="L518" i="18"/>
  <c r="L519" i="18"/>
  <c r="L520" i="18"/>
  <c r="L521" i="18"/>
  <c r="L522" i="18"/>
  <c r="L523" i="18"/>
  <c r="L524" i="18"/>
  <c r="L525" i="18"/>
  <c r="L526" i="18"/>
  <c r="L527" i="18"/>
  <c r="L528" i="18"/>
  <c r="L529" i="18"/>
  <c r="L530" i="18"/>
  <c r="L531" i="18"/>
  <c r="L532" i="18"/>
  <c r="L533" i="18"/>
  <c r="L534" i="18"/>
  <c r="L535" i="18"/>
  <c r="L536" i="18"/>
  <c r="L537" i="18"/>
  <c r="L538" i="18"/>
  <c r="L539" i="18"/>
  <c r="L540" i="18"/>
  <c r="L541" i="18"/>
  <c r="L542" i="18"/>
  <c r="L543" i="18"/>
  <c r="L544" i="18"/>
  <c r="L545" i="18"/>
  <c r="L546" i="18"/>
  <c r="L547" i="18"/>
  <c r="L548" i="18"/>
  <c r="L549" i="18"/>
  <c r="L550" i="18"/>
  <c r="L551" i="18"/>
  <c r="L552" i="18"/>
  <c r="L553" i="18"/>
  <c r="L554" i="18"/>
  <c r="L555" i="18"/>
  <c r="L556" i="18"/>
  <c r="L557" i="18"/>
  <c r="L558" i="18"/>
  <c r="L559" i="18"/>
  <c r="L560" i="18"/>
  <c r="L561" i="18"/>
  <c r="L562" i="18"/>
  <c r="L563" i="18"/>
  <c r="L564" i="18"/>
  <c r="L565" i="18"/>
  <c r="L566" i="18"/>
  <c r="L567" i="18"/>
  <c r="L568" i="18"/>
  <c r="L569" i="18"/>
  <c r="L570" i="18"/>
  <c r="L571" i="18"/>
  <c r="L572" i="18"/>
  <c r="L573" i="18"/>
  <c r="L574" i="18"/>
  <c r="L575" i="18"/>
  <c r="L576" i="18"/>
  <c r="L577" i="18"/>
  <c r="L578" i="18"/>
  <c r="L579" i="18"/>
  <c r="L580" i="18"/>
  <c r="L581" i="18"/>
  <c r="L582" i="18"/>
  <c r="L583" i="18"/>
  <c r="L584" i="18"/>
  <c r="L585" i="18"/>
  <c r="L586" i="18"/>
  <c r="L587" i="18"/>
  <c r="L588" i="18"/>
  <c r="L589" i="18"/>
  <c r="L590" i="18"/>
  <c r="L591" i="18"/>
  <c r="L592" i="18"/>
  <c r="L593" i="18"/>
  <c r="L594" i="18"/>
  <c r="L595" i="18"/>
  <c r="L596" i="18"/>
  <c r="L597" i="18"/>
  <c r="L598" i="18"/>
  <c r="L599" i="18"/>
  <c r="L600" i="18"/>
  <c r="L601" i="18"/>
  <c r="L602" i="18"/>
  <c r="L603" i="18"/>
  <c r="L604" i="18"/>
  <c r="L605" i="18"/>
  <c r="L606" i="18"/>
  <c r="L607" i="18"/>
  <c r="L608" i="18"/>
  <c r="L609" i="18"/>
  <c r="L610" i="18"/>
  <c r="L611" i="18"/>
  <c r="L612" i="18"/>
  <c r="L613" i="18"/>
  <c r="L614" i="18"/>
  <c r="L615" i="18"/>
  <c r="L616" i="18"/>
  <c r="L617" i="18"/>
  <c r="L618" i="18"/>
  <c r="L619" i="18"/>
  <c r="L620" i="18"/>
  <c r="L621" i="18"/>
  <c r="L622" i="18"/>
  <c r="L623" i="18"/>
  <c r="L624" i="18"/>
  <c r="L625" i="18"/>
  <c r="L626" i="18"/>
  <c r="L627" i="18"/>
  <c r="L628" i="18"/>
  <c r="L629" i="18"/>
  <c r="L630" i="18"/>
  <c r="L631" i="18"/>
  <c r="L632" i="18"/>
  <c r="L633" i="18"/>
  <c r="L634" i="18"/>
  <c r="L635" i="18"/>
  <c r="L636" i="18"/>
  <c r="L637" i="18"/>
  <c r="L638" i="18"/>
  <c r="L639" i="18"/>
  <c r="L640" i="18"/>
  <c r="L641" i="18"/>
  <c r="L642" i="18"/>
  <c r="L643" i="18"/>
  <c r="L644" i="18"/>
  <c r="L645" i="18"/>
  <c r="L646" i="18"/>
  <c r="L647" i="18"/>
  <c r="L648" i="18"/>
  <c r="L649" i="18"/>
  <c r="L650" i="18"/>
  <c r="L651" i="18"/>
  <c r="L652" i="18"/>
  <c r="L653" i="18"/>
  <c r="L654" i="18"/>
  <c r="L655" i="18"/>
  <c r="L656" i="18"/>
  <c r="L657" i="18"/>
  <c r="L658" i="18"/>
  <c r="L659" i="18"/>
  <c r="L660" i="18"/>
  <c r="L661" i="18"/>
  <c r="L662" i="18"/>
  <c r="L663" i="18"/>
  <c r="L664" i="18"/>
  <c r="L665" i="18"/>
  <c r="L666" i="18"/>
  <c r="L667" i="18"/>
  <c r="L668" i="18"/>
  <c r="L669" i="18"/>
  <c r="L670" i="18"/>
  <c r="L671" i="18"/>
  <c r="L672" i="18"/>
  <c r="L673" i="18"/>
  <c r="L674" i="18"/>
  <c r="L675" i="18"/>
  <c r="L676" i="18"/>
  <c r="L677" i="18"/>
  <c r="L678" i="18"/>
  <c r="L679" i="18"/>
  <c r="L680" i="18"/>
  <c r="L681" i="18"/>
  <c r="L682" i="18"/>
  <c r="L683" i="18"/>
  <c r="L684" i="18"/>
  <c r="L685" i="18"/>
  <c r="L686" i="18"/>
  <c r="L687" i="18"/>
  <c r="L688" i="18"/>
  <c r="L689" i="18"/>
  <c r="L690" i="18"/>
  <c r="L691" i="18"/>
  <c r="L692" i="18"/>
  <c r="L693" i="18"/>
  <c r="L694" i="18"/>
  <c r="L695" i="18"/>
  <c r="L696" i="18"/>
  <c r="L697" i="18"/>
  <c r="L698" i="18"/>
  <c r="L699" i="18"/>
  <c r="L700" i="18"/>
  <c r="L701" i="18"/>
  <c r="L702" i="18"/>
  <c r="L703" i="18"/>
  <c r="L704" i="18"/>
  <c r="L705" i="18"/>
  <c r="L706" i="18"/>
  <c r="L707" i="18"/>
  <c r="L708" i="18"/>
  <c r="L709" i="18"/>
  <c r="L710" i="18"/>
  <c r="L711" i="18"/>
  <c r="L712" i="18"/>
  <c r="L713" i="18"/>
  <c r="L714" i="18"/>
  <c r="L715" i="18"/>
  <c r="L716" i="18"/>
  <c r="L717" i="18"/>
  <c r="L718" i="18"/>
  <c r="L719" i="18"/>
  <c r="L720" i="18"/>
  <c r="L721" i="18"/>
  <c r="L722" i="18"/>
  <c r="L723" i="18"/>
  <c r="L724" i="18"/>
  <c r="L725" i="18"/>
  <c r="L726" i="18"/>
  <c r="L727" i="18"/>
  <c r="L728" i="18"/>
  <c r="L729" i="18"/>
  <c r="L730" i="18"/>
  <c r="L731" i="18"/>
  <c r="L732" i="18"/>
  <c r="L733" i="18"/>
  <c r="L734" i="18"/>
  <c r="L735" i="18"/>
  <c r="L736" i="18"/>
  <c r="L737" i="18"/>
  <c r="L738" i="18"/>
  <c r="L739" i="18"/>
  <c r="L740" i="18"/>
  <c r="L741" i="18"/>
  <c r="L742" i="18"/>
  <c r="L743" i="18"/>
  <c r="L744" i="18"/>
  <c r="L745" i="18"/>
  <c r="L746" i="18"/>
  <c r="L747" i="18"/>
  <c r="L748" i="18"/>
  <c r="L749" i="18"/>
  <c r="L750" i="18"/>
  <c r="L751" i="18"/>
  <c r="L752" i="18"/>
  <c r="L753" i="18"/>
  <c r="L754" i="18"/>
  <c r="L755" i="18"/>
  <c r="L756" i="18"/>
  <c r="L757" i="18"/>
  <c r="L758" i="18"/>
  <c r="L759" i="18"/>
  <c r="L760" i="18"/>
  <c r="L761" i="18"/>
  <c r="L762" i="18"/>
  <c r="L763" i="18"/>
  <c r="L764" i="18"/>
  <c r="L765" i="18"/>
  <c r="L766" i="18"/>
  <c r="L767" i="18"/>
  <c r="L768" i="18"/>
  <c r="L769" i="18"/>
  <c r="L770" i="18"/>
  <c r="L771" i="18"/>
  <c r="L772" i="18"/>
  <c r="L773" i="18"/>
  <c r="L774" i="18"/>
  <c r="L775" i="18"/>
  <c r="L776" i="18"/>
  <c r="L777" i="18"/>
  <c r="L778" i="18"/>
  <c r="L779" i="18"/>
  <c r="L780" i="18"/>
  <c r="L781" i="18"/>
  <c r="L782" i="18"/>
  <c r="L783" i="18"/>
  <c r="L784" i="18"/>
  <c r="L785" i="18"/>
  <c r="L786" i="18"/>
  <c r="L787" i="18"/>
  <c r="L788" i="18"/>
  <c r="L789" i="18"/>
  <c r="L790" i="18"/>
  <c r="L791" i="18"/>
  <c r="L792" i="18"/>
  <c r="L793" i="18"/>
  <c r="L794" i="18"/>
  <c r="L795" i="18"/>
  <c r="L796" i="18"/>
  <c r="L797" i="18"/>
  <c r="L798" i="18"/>
  <c r="L799" i="18"/>
  <c r="L800" i="18"/>
  <c r="L801" i="18"/>
  <c r="L802" i="18"/>
  <c r="L803" i="18"/>
  <c r="L804" i="18"/>
  <c r="L805" i="18"/>
  <c r="L806" i="18"/>
  <c r="L807" i="18"/>
  <c r="L808" i="18"/>
  <c r="L809" i="18"/>
  <c r="L810" i="18"/>
  <c r="L811" i="18"/>
  <c r="L812" i="18"/>
  <c r="L813" i="18"/>
  <c r="L814" i="18"/>
  <c r="L815" i="18"/>
  <c r="L816" i="18"/>
  <c r="L817" i="18"/>
  <c r="L818" i="18"/>
  <c r="L819" i="18"/>
  <c r="L820" i="18"/>
  <c r="L821" i="18"/>
  <c r="L822" i="18"/>
  <c r="L823" i="18"/>
  <c r="L824" i="18"/>
  <c r="L825" i="18"/>
  <c r="L826" i="18"/>
  <c r="L827" i="18"/>
  <c r="L828" i="18"/>
  <c r="L829" i="18"/>
  <c r="L830" i="18"/>
  <c r="L831" i="18"/>
  <c r="L832" i="18"/>
  <c r="L833" i="18"/>
  <c r="L834" i="18"/>
  <c r="L835" i="18"/>
  <c r="L836" i="18"/>
  <c r="L837" i="18"/>
  <c r="L838" i="18"/>
  <c r="L839" i="18"/>
  <c r="L840" i="18"/>
  <c r="L841" i="18"/>
  <c r="L842" i="18"/>
  <c r="L843" i="18"/>
  <c r="L844" i="18"/>
  <c r="L845" i="18"/>
  <c r="L846" i="18"/>
  <c r="L847" i="18"/>
  <c r="L848" i="18"/>
  <c r="L849" i="18"/>
  <c r="L850" i="18"/>
  <c r="L851" i="18"/>
  <c r="L852" i="18"/>
  <c r="L853" i="18"/>
  <c r="L854" i="18"/>
  <c r="L855" i="18"/>
  <c r="L856" i="18"/>
  <c r="L857" i="18"/>
  <c r="L858" i="18"/>
  <c r="L859" i="18"/>
  <c r="L860" i="18"/>
  <c r="L861" i="18"/>
  <c r="L862" i="18"/>
  <c r="L863" i="18"/>
  <c r="L864" i="18"/>
  <c r="L865" i="18"/>
  <c r="L866" i="18"/>
  <c r="L867" i="18"/>
  <c r="L868" i="18"/>
  <c r="L869" i="18"/>
  <c r="L870" i="18"/>
  <c r="L871" i="18"/>
  <c r="L872" i="18"/>
  <c r="L873" i="18"/>
  <c r="L874" i="18"/>
  <c r="L875" i="18"/>
  <c r="L876" i="18"/>
  <c r="L877" i="18"/>
  <c r="L878" i="18"/>
  <c r="L879" i="18"/>
  <c r="L880" i="18"/>
  <c r="L881" i="18"/>
  <c r="L882" i="18"/>
  <c r="L883" i="18"/>
  <c r="L884" i="18"/>
  <c r="L885" i="18"/>
  <c r="L886" i="18"/>
  <c r="L887" i="18"/>
  <c r="L888" i="18"/>
  <c r="L889" i="18"/>
  <c r="L890" i="18"/>
  <c r="L891" i="18"/>
  <c r="L892" i="18"/>
  <c r="L893" i="18"/>
  <c r="L894" i="18"/>
  <c r="L895" i="18"/>
  <c r="L896" i="18"/>
  <c r="L897" i="18"/>
  <c r="L898" i="18"/>
  <c r="L899" i="18"/>
  <c r="L900" i="18"/>
  <c r="L901" i="18"/>
  <c r="L902" i="18"/>
  <c r="L903" i="18"/>
  <c r="L904" i="18"/>
  <c r="L905" i="18"/>
  <c r="L906" i="18"/>
  <c r="L907" i="18"/>
  <c r="L908" i="18"/>
  <c r="L909" i="18"/>
  <c r="L910" i="18"/>
  <c r="L911" i="18"/>
  <c r="L912" i="18"/>
  <c r="L913" i="18"/>
  <c r="L914" i="18"/>
  <c r="L915" i="18"/>
  <c r="L916" i="18"/>
  <c r="L917" i="18"/>
  <c r="L918" i="18"/>
  <c r="L919" i="18"/>
  <c r="L920" i="18"/>
  <c r="L921" i="18"/>
  <c r="L922" i="18"/>
  <c r="L923" i="18"/>
  <c r="L924" i="18"/>
  <c r="L925" i="18"/>
  <c r="L926" i="18"/>
  <c r="L927" i="18"/>
  <c r="L928" i="18"/>
  <c r="L929" i="18"/>
  <c r="L930" i="18"/>
  <c r="L931" i="18"/>
  <c r="L932" i="18"/>
  <c r="L933" i="18"/>
  <c r="L934" i="18"/>
  <c r="L935" i="18"/>
  <c r="L936" i="18"/>
  <c r="L937" i="18"/>
  <c r="L938" i="18"/>
  <c r="L939" i="18"/>
  <c r="L940" i="18"/>
  <c r="L941" i="18"/>
  <c r="L942" i="18"/>
  <c r="L943" i="18"/>
  <c r="L944" i="18"/>
  <c r="L945" i="18"/>
  <c r="L946" i="18"/>
  <c r="L947" i="18"/>
  <c r="L948" i="18"/>
  <c r="L949" i="18"/>
  <c r="L950" i="18"/>
  <c r="L951" i="18"/>
  <c r="L952" i="18"/>
  <c r="L953" i="18"/>
  <c r="L954" i="18"/>
  <c r="L955" i="18"/>
  <c r="L956" i="18"/>
  <c r="L957" i="18"/>
  <c r="L958" i="18"/>
  <c r="L959" i="18"/>
  <c r="L960" i="18"/>
  <c r="L961" i="18"/>
  <c r="L962" i="18"/>
  <c r="L963" i="18"/>
  <c r="L964" i="18"/>
  <c r="L965" i="18"/>
  <c r="L966" i="18"/>
  <c r="L967" i="18"/>
  <c r="L968" i="18"/>
  <c r="L969" i="18"/>
  <c r="L970" i="18"/>
  <c r="L971" i="18"/>
  <c r="L972" i="18"/>
  <c r="L973" i="18"/>
  <c r="L974" i="18"/>
  <c r="L975" i="18"/>
  <c r="L976" i="18"/>
  <c r="L977" i="18"/>
  <c r="L978" i="18"/>
  <c r="L979" i="18"/>
  <c r="L980" i="18"/>
  <c r="L981" i="18"/>
  <c r="L982" i="18"/>
  <c r="L983" i="18"/>
  <c r="L984" i="18"/>
  <c r="L985" i="18"/>
  <c r="L986" i="18"/>
  <c r="L987" i="18"/>
  <c r="L988" i="18"/>
  <c r="L989" i="18"/>
  <c r="L990" i="18"/>
  <c r="L991" i="18"/>
  <c r="L992" i="18"/>
  <c r="L993" i="18"/>
  <c r="L994" i="18"/>
  <c r="L995" i="18"/>
  <c r="L996" i="18"/>
  <c r="L997" i="18"/>
  <c r="L998" i="18"/>
  <c r="L999" i="18"/>
  <c r="L1000" i="18"/>
  <c r="L1001" i="18"/>
  <c r="K11" i="18"/>
  <c r="O11" i="18" s="1"/>
  <c r="K12" i="18"/>
  <c r="O12" i="18" s="1"/>
  <c r="K13" i="18"/>
  <c r="O13" i="18" s="1"/>
  <c r="K14" i="18"/>
  <c r="O14" i="18" s="1"/>
  <c r="K15" i="18"/>
  <c r="O15" i="18" s="1"/>
  <c r="K16" i="18"/>
  <c r="O16" i="18" s="1"/>
  <c r="K17" i="18"/>
  <c r="O17" i="18" s="1"/>
  <c r="K18" i="18"/>
  <c r="O18" i="18" s="1"/>
  <c r="K19" i="18"/>
  <c r="O19" i="18" s="1"/>
  <c r="K20" i="18"/>
  <c r="O20" i="18" s="1"/>
  <c r="K21" i="18"/>
  <c r="O21" i="18" s="1"/>
  <c r="K22" i="18"/>
  <c r="O22" i="18" s="1"/>
  <c r="K23" i="18"/>
  <c r="O23" i="18" s="1"/>
  <c r="K24" i="18"/>
  <c r="O24" i="18" s="1"/>
  <c r="K25" i="18"/>
  <c r="O25" i="18" s="1"/>
  <c r="K26" i="18"/>
  <c r="O26" i="18" s="1"/>
  <c r="K27" i="18"/>
  <c r="O27" i="18" s="1"/>
  <c r="K28" i="18"/>
  <c r="O28" i="18" s="1"/>
  <c r="K29" i="18"/>
  <c r="O29" i="18" s="1"/>
  <c r="K30" i="18"/>
  <c r="O30" i="18" s="1"/>
  <c r="K31" i="18"/>
  <c r="O31" i="18" s="1"/>
  <c r="K32" i="18"/>
  <c r="O32" i="18" s="1"/>
  <c r="K33" i="18"/>
  <c r="O33" i="18" s="1"/>
  <c r="K34" i="18"/>
  <c r="O34" i="18" s="1"/>
  <c r="K35" i="18"/>
  <c r="O35" i="18" s="1"/>
  <c r="K36" i="18"/>
  <c r="O36" i="18" s="1"/>
  <c r="K37" i="18"/>
  <c r="O37" i="18" s="1"/>
  <c r="K38" i="18"/>
  <c r="O38" i="18" s="1"/>
  <c r="K39" i="18"/>
  <c r="O39" i="18" s="1"/>
  <c r="K40" i="18"/>
  <c r="O40" i="18" s="1"/>
  <c r="K41" i="18"/>
  <c r="O41" i="18" s="1"/>
  <c r="K42" i="18"/>
  <c r="O42" i="18" s="1"/>
  <c r="K43" i="18"/>
  <c r="O43" i="18" s="1"/>
  <c r="K44" i="18"/>
  <c r="O44" i="18" s="1"/>
  <c r="K45" i="18"/>
  <c r="O45" i="18" s="1"/>
  <c r="K46" i="18"/>
  <c r="O46" i="18" s="1"/>
  <c r="K47" i="18"/>
  <c r="O47" i="18" s="1"/>
  <c r="K48" i="18"/>
  <c r="O48" i="18" s="1"/>
  <c r="K49" i="18"/>
  <c r="O49" i="18" s="1"/>
  <c r="K50" i="18"/>
  <c r="O50" i="18" s="1"/>
  <c r="K51" i="18"/>
  <c r="O51" i="18" s="1"/>
  <c r="K52" i="18"/>
  <c r="O52" i="18" s="1"/>
  <c r="K53" i="18"/>
  <c r="O53" i="18" s="1"/>
  <c r="K54" i="18"/>
  <c r="O54" i="18" s="1"/>
  <c r="K55" i="18"/>
  <c r="O55" i="18" s="1"/>
  <c r="K56" i="18"/>
  <c r="O56" i="18" s="1"/>
  <c r="K57" i="18"/>
  <c r="O57" i="18" s="1"/>
  <c r="K58" i="18"/>
  <c r="O58" i="18" s="1"/>
  <c r="K59" i="18"/>
  <c r="O59" i="18" s="1"/>
  <c r="K60" i="18"/>
  <c r="O60" i="18" s="1"/>
  <c r="K61" i="18"/>
  <c r="O61" i="18" s="1"/>
  <c r="K62" i="18"/>
  <c r="O62" i="18" s="1"/>
  <c r="K63" i="18"/>
  <c r="O63" i="18" s="1"/>
  <c r="K64" i="18"/>
  <c r="O64" i="18" s="1"/>
  <c r="K65" i="18"/>
  <c r="O65" i="18" s="1"/>
  <c r="K66" i="18"/>
  <c r="O66" i="18" s="1"/>
  <c r="K67" i="18"/>
  <c r="O67" i="18" s="1"/>
  <c r="K68" i="18"/>
  <c r="O68" i="18" s="1"/>
  <c r="K69" i="18"/>
  <c r="O69" i="18" s="1"/>
  <c r="K70" i="18"/>
  <c r="O70" i="18" s="1"/>
  <c r="K71" i="18"/>
  <c r="O71" i="18" s="1"/>
  <c r="K72" i="18"/>
  <c r="O72" i="18" s="1"/>
  <c r="K73" i="18"/>
  <c r="O73" i="18" s="1"/>
  <c r="K74" i="18"/>
  <c r="O74" i="18" s="1"/>
  <c r="K75" i="18"/>
  <c r="O75" i="18" s="1"/>
  <c r="K76" i="18"/>
  <c r="O76" i="18" s="1"/>
  <c r="K77" i="18"/>
  <c r="O77" i="18" s="1"/>
  <c r="K78" i="18"/>
  <c r="O78" i="18" s="1"/>
  <c r="K79" i="18"/>
  <c r="O79" i="18" s="1"/>
  <c r="K80" i="18"/>
  <c r="O80" i="18" s="1"/>
  <c r="K81" i="18"/>
  <c r="O81" i="18" s="1"/>
  <c r="K82" i="18"/>
  <c r="O82" i="18" s="1"/>
  <c r="K83" i="18"/>
  <c r="O83" i="18" s="1"/>
  <c r="K84" i="18"/>
  <c r="O84" i="18" s="1"/>
  <c r="K85" i="18"/>
  <c r="O85" i="18" s="1"/>
  <c r="K86" i="18"/>
  <c r="O86" i="18" s="1"/>
  <c r="K87" i="18"/>
  <c r="O87" i="18" s="1"/>
  <c r="K88" i="18"/>
  <c r="O88" i="18" s="1"/>
  <c r="K89" i="18"/>
  <c r="O89" i="18" s="1"/>
  <c r="K90" i="18"/>
  <c r="O90" i="18" s="1"/>
  <c r="K91" i="18"/>
  <c r="O91" i="18" s="1"/>
  <c r="K92" i="18"/>
  <c r="O92" i="18" s="1"/>
  <c r="K93" i="18"/>
  <c r="O93" i="18" s="1"/>
  <c r="K94" i="18"/>
  <c r="O94" i="18" s="1"/>
  <c r="K95" i="18"/>
  <c r="O95" i="18" s="1"/>
  <c r="K96" i="18"/>
  <c r="O96" i="18" s="1"/>
  <c r="K97" i="18"/>
  <c r="O97" i="18" s="1"/>
  <c r="K98" i="18"/>
  <c r="O98" i="18" s="1"/>
  <c r="K99" i="18"/>
  <c r="O99" i="18" s="1"/>
  <c r="K100" i="18"/>
  <c r="O100" i="18" s="1"/>
  <c r="K101" i="18"/>
  <c r="O101" i="18" s="1"/>
  <c r="K102" i="18"/>
  <c r="O102" i="18" s="1"/>
  <c r="K103" i="18"/>
  <c r="O103" i="18" s="1"/>
  <c r="K104" i="18"/>
  <c r="O104" i="18" s="1"/>
  <c r="K105" i="18"/>
  <c r="O105" i="18" s="1"/>
  <c r="K106" i="18"/>
  <c r="O106" i="18" s="1"/>
  <c r="K107" i="18"/>
  <c r="O107" i="18" s="1"/>
  <c r="K108" i="18"/>
  <c r="O108" i="18" s="1"/>
  <c r="K109" i="18"/>
  <c r="O109" i="18" s="1"/>
  <c r="K110" i="18"/>
  <c r="O110" i="18" s="1"/>
  <c r="K111" i="18"/>
  <c r="O111" i="18" s="1"/>
  <c r="K112" i="18"/>
  <c r="O112" i="18" s="1"/>
  <c r="K113" i="18"/>
  <c r="O113" i="18" s="1"/>
  <c r="K114" i="18"/>
  <c r="O114" i="18" s="1"/>
  <c r="K115" i="18"/>
  <c r="O115" i="18" s="1"/>
  <c r="K116" i="18"/>
  <c r="O116" i="18" s="1"/>
  <c r="K117" i="18"/>
  <c r="O117" i="18" s="1"/>
  <c r="K118" i="18"/>
  <c r="O118" i="18" s="1"/>
  <c r="K119" i="18"/>
  <c r="O119" i="18" s="1"/>
  <c r="K120" i="18"/>
  <c r="O120" i="18" s="1"/>
  <c r="K121" i="18"/>
  <c r="O121" i="18" s="1"/>
  <c r="K122" i="18"/>
  <c r="O122" i="18" s="1"/>
  <c r="K123" i="18"/>
  <c r="O123" i="18" s="1"/>
  <c r="K124" i="18"/>
  <c r="O124" i="18" s="1"/>
  <c r="K125" i="18"/>
  <c r="O125" i="18" s="1"/>
  <c r="K126" i="18"/>
  <c r="O126" i="18" s="1"/>
  <c r="K127" i="18"/>
  <c r="O127" i="18" s="1"/>
  <c r="K128" i="18"/>
  <c r="O128" i="18" s="1"/>
  <c r="K129" i="18"/>
  <c r="O129" i="18" s="1"/>
  <c r="K130" i="18"/>
  <c r="O130" i="18" s="1"/>
  <c r="K131" i="18"/>
  <c r="O131" i="18" s="1"/>
  <c r="K132" i="18"/>
  <c r="O132" i="18" s="1"/>
  <c r="K133" i="18"/>
  <c r="O133" i="18" s="1"/>
  <c r="K134" i="18"/>
  <c r="O134" i="18" s="1"/>
  <c r="K135" i="18"/>
  <c r="O135" i="18" s="1"/>
  <c r="K136" i="18"/>
  <c r="O136" i="18" s="1"/>
  <c r="K137" i="18"/>
  <c r="O137" i="18" s="1"/>
  <c r="K138" i="18"/>
  <c r="O138" i="18" s="1"/>
  <c r="K139" i="18"/>
  <c r="O139" i="18" s="1"/>
  <c r="K140" i="18"/>
  <c r="O140" i="18" s="1"/>
  <c r="K141" i="18"/>
  <c r="O141" i="18" s="1"/>
  <c r="K142" i="18"/>
  <c r="O142" i="18" s="1"/>
  <c r="K143" i="18"/>
  <c r="O143" i="18" s="1"/>
  <c r="K144" i="18"/>
  <c r="O144" i="18" s="1"/>
  <c r="K145" i="18"/>
  <c r="O145" i="18" s="1"/>
  <c r="K146" i="18"/>
  <c r="O146" i="18" s="1"/>
  <c r="K147" i="18"/>
  <c r="O147" i="18" s="1"/>
  <c r="K148" i="18"/>
  <c r="O148" i="18" s="1"/>
  <c r="K149" i="18"/>
  <c r="O149" i="18" s="1"/>
  <c r="K150" i="18"/>
  <c r="O150" i="18" s="1"/>
  <c r="K151" i="18"/>
  <c r="O151" i="18" s="1"/>
  <c r="K152" i="18"/>
  <c r="O152" i="18" s="1"/>
  <c r="K153" i="18"/>
  <c r="O153" i="18" s="1"/>
  <c r="K154" i="18"/>
  <c r="O154" i="18" s="1"/>
  <c r="K155" i="18"/>
  <c r="O155" i="18" s="1"/>
  <c r="K156" i="18"/>
  <c r="O156" i="18" s="1"/>
  <c r="K157" i="18"/>
  <c r="O157" i="18" s="1"/>
  <c r="K158" i="18"/>
  <c r="O158" i="18" s="1"/>
  <c r="K159" i="18"/>
  <c r="O159" i="18" s="1"/>
  <c r="K160" i="18"/>
  <c r="O160" i="18" s="1"/>
  <c r="K161" i="18"/>
  <c r="O161" i="18" s="1"/>
  <c r="K162" i="18"/>
  <c r="O162" i="18" s="1"/>
  <c r="K163" i="18"/>
  <c r="O163" i="18" s="1"/>
  <c r="K164" i="18"/>
  <c r="O164" i="18" s="1"/>
  <c r="K165" i="18"/>
  <c r="O165" i="18" s="1"/>
  <c r="K166" i="18"/>
  <c r="O166" i="18" s="1"/>
  <c r="K167" i="18"/>
  <c r="O167" i="18" s="1"/>
  <c r="K168" i="18"/>
  <c r="O168" i="18" s="1"/>
  <c r="K169" i="18"/>
  <c r="O169" i="18" s="1"/>
  <c r="K170" i="18"/>
  <c r="O170" i="18" s="1"/>
  <c r="K171" i="18"/>
  <c r="O171" i="18" s="1"/>
  <c r="K172" i="18"/>
  <c r="O172" i="18" s="1"/>
  <c r="K173" i="18"/>
  <c r="O173" i="18" s="1"/>
  <c r="K174" i="18"/>
  <c r="O174" i="18" s="1"/>
  <c r="K175" i="18"/>
  <c r="O175" i="18" s="1"/>
  <c r="K176" i="18"/>
  <c r="O176" i="18" s="1"/>
  <c r="K177" i="18"/>
  <c r="O177" i="18" s="1"/>
  <c r="K178" i="18"/>
  <c r="O178" i="18" s="1"/>
  <c r="K179" i="18"/>
  <c r="O179" i="18" s="1"/>
  <c r="K180" i="18"/>
  <c r="O180" i="18" s="1"/>
  <c r="K181" i="18"/>
  <c r="O181" i="18" s="1"/>
  <c r="K182" i="18"/>
  <c r="O182" i="18" s="1"/>
  <c r="K183" i="18"/>
  <c r="O183" i="18" s="1"/>
  <c r="K184" i="18"/>
  <c r="O184" i="18" s="1"/>
  <c r="K185" i="18"/>
  <c r="O185" i="18" s="1"/>
  <c r="K186" i="18"/>
  <c r="O186" i="18" s="1"/>
  <c r="K187" i="18"/>
  <c r="O187" i="18" s="1"/>
  <c r="K188" i="18"/>
  <c r="O188" i="18" s="1"/>
  <c r="K189" i="18"/>
  <c r="O189" i="18" s="1"/>
  <c r="K190" i="18"/>
  <c r="O190" i="18" s="1"/>
  <c r="K191" i="18"/>
  <c r="O191" i="18" s="1"/>
  <c r="K192" i="18"/>
  <c r="O192" i="18" s="1"/>
  <c r="K193" i="18"/>
  <c r="O193" i="18" s="1"/>
  <c r="K194" i="18"/>
  <c r="O194" i="18" s="1"/>
  <c r="K195" i="18"/>
  <c r="O195" i="18" s="1"/>
  <c r="K196" i="18"/>
  <c r="O196" i="18" s="1"/>
  <c r="K197" i="18"/>
  <c r="O197" i="18" s="1"/>
  <c r="K198" i="18"/>
  <c r="O198" i="18" s="1"/>
  <c r="K199" i="18"/>
  <c r="O199" i="18" s="1"/>
  <c r="K200" i="18"/>
  <c r="O200" i="18" s="1"/>
  <c r="K201" i="18"/>
  <c r="O201" i="18" s="1"/>
  <c r="K202" i="18"/>
  <c r="O202" i="18" s="1"/>
  <c r="K203" i="18"/>
  <c r="O203" i="18" s="1"/>
  <c r="K204" i="18"/>
  <c r="O204" i="18" s="1"/>
  <c r="K205" i="18"/>
  <c r="O205" i="18" s="1"/>
  <c r="K206" i="18"/>
  <c r="O206" i="18" s="1"/>
  <c r="K207" i="18"/>
  <c r="O207" i="18" s="1"/>
  <c r="K208" i="18"/>
  <c r="O208" i="18" s="1"/>
  <c r="K209" i="18"/>
  <c r="O209" i="18" s="1"/>
  <c r="K210" i="18"/>
  <c r="O210" i="18" s="1"/>
  <c r="K211" i="18"/>
  <c r="O211" i="18" s="1"/>
  <c r="K212" i="18"/>
  <c r="O212" i="18" s="1"/>
  <c r="K213" i="18"/>
  <c r="O213" i="18" s="1"/>
  <c r="K214" i="18"/>
  <c r="O214" i="18" s="1"/>
  <c r="K215" i="18"/>
  <c r="O215" i="18" s="1"/>
  <c r="K216" i="18"/>
  <c r="O216" i="18" s="1"/>
  <c r="K217" i="18"/>
  <c r="O217" i="18" s="1"/>
  <c r="K218" i="18"/>
  <c r="O218" i="18" s="1"/>
  <c r="K219" i="18"/>
  <c r="O219" i="18" s="1"/>
  <c r="K220" i="18"/>
  <c r="O220" i="18" s="1"/>
  <c r="K221" i="18"/>
  <c r="O221" i="18" s="1"/>
  <c r="K222" i="18"/>
  <c r="O222" i="18" s="1"/>
  <c r="K223" i="18"/>
  <c r="O223" i="18" s="1"/>
  <c r="K224" i="18"/>
  <c r="O224" i="18" s="1"/>
  <c r="K225" i="18"/>
  <c r="O225" i="18" s="1"/>
  <c r="K226" i="18"/>
  <c r="O226" i="18" s="1"/>
  <c r="K227" i="18"/>
  <c r="O227" i="18" s="1"/>
  <c r="K228" i="18"/>
  <c r="O228" i="18" s="1"/>
  <c r="K229" i="18"/>
  <c r="O229" i="18" s="1"/>
  <c r="K230" i="18"/>
  <c r="O230" i="18" s="1"/>
  <c r="K231" i="18"/>
  <c r="O231" i="18" s="1"/>
  <c r="K232" i="18"/>
  <c r="O232" i="18" s="1"/>
  <c r="K233" i="18"/>
  <c r="O233" i="18" s="1"/>
  <c r="K234" i="18"/>
  <c r="O234" i="18" s="1"/>
  <c r="K235" i="18"/>
  <c r="O235" i="18" s="1"/>
  <c r="K236" i="18"/>
  <c r="O236" i="18" s="1"/>
  <c r="K237" i="18"/>
  <c r="O237" i="18" s="1"/>
  <c r="K238" i="18"/>
  <c r="O238" i="18" s="1"/>
  <c r="K239" i="18"/>
  <c r="O239" i="18" s="1"/>
  <c r="K240" i="18"/>
  <c r="O240" i="18" s="1"/>
  <c r="K241" i="18"/>
  <c r="O241" i="18" s="1"/>
  <c r="K242" i="18"/>
  <c r="O242" i="18" s="1"/>
  <c r="K243" i="18"/>
  <c r="O243" i="18" s="1"/>
  <c r="K244" i="18"/>
  <c r="O244" i="18" s="1"/>
  <c r="K245" i="18"/>
  <c r="O245" i="18" s="1"/>
  <c r="K246" i="18"/>
  <c r="O246" i="18" s="1"/>
  <c r="K247" i="18"/>
  <c r="O247" i="18" s="1"/>
  <c r="K248" i="18"/>
  <c r="O248" i="18" s="1"/>
  <c r="K249" i="18"/>
  <c r="O249" i="18" s="1"/>
  <c r="K250" i="18"/>
  <c r="O250" i="18" s="1"/>
  <c r="K251" i="18"/>
  <c r="O251" i="18" s="1"/>
  <c r="K252" i="18"/>
  <c r="O252" i="18" s="1"/>
  <c r="K253" i="18"/>
  <c r="O253" i="18" s="1"/>
  <c r="K254" i="18"/>
  <c r="O254" i="18" s="1"/>
  <c r="K255" i="18"/>
  <c r="O255" i="18" s="1"/>
  <c r="K256" i="18"/>
  <c r="O256" i="18" s="1"/>
  <c r="K257" i="18"/>
  <c r="O257" i="18" s="1"/>
  <c r="K258" i="18"/>
  <c r="O258" i="18" s="1"/>
  <c r="K259" i="18"/>
  <c r="O259" i="18" s="1"/>
  <c r="K260" i="18"/>
  <c r="O260" i="18" s="1"/>
  <c r="K261" i="18"/>
  <c r="O261" i="18" s="1"/>
  <c r="K262" i="18"/>
  <c r="O262" i="18" s="1"/>
  <c r="K263" i="18"/>
  <c r="O263" i="18" s="1"/>
  <c r="K264" i="18"/>
  <c r="O264" i="18" s="1"/>
  <c r="K265" i="18"/>
  <c r="O265" i="18" s="1"/>
  <c r="K266" i="18"/>
  <c r="O266" i="18" s="1"/>
  <c r="K267" i="18"/>
  <c r="O267" i="18" s="1"/>
  <c r="K268" i="18"/>
  <c r="O268" i="18" s="1"/>
  <c r="K269" i="18"/>
  <c r="O269" i="18" s="1"/>
  <c r="K270" i="18"/>
  <c r="O270" i="18" s="1"/>
  <c r="K271" i="18"/>
  <c r="O271" i="18" s="1"/>
  <c r="K272" i="18"/>
  <c r="O272" i="18" s="1"/>
  <c r="K273" i="18"/>
  <c r="O273" i="18" s="1"/>
  <c r="K274" i="18"/>
  <c r="O274" i="18" s="1"/>
  <c r="K275" i="18"/>
  <c r="O275" i="18" s="1"/>
  <c r="K276" i="18"/>
  <c r="O276" i="18" s="1"/>
  <c r="K277" i="18"/>
  <c r="O277" i="18" s="1"/>
  <c r="K278" i="18"/>
  <c r="O278" i="18" s="1"/>
  <c r="K279" i="18"/>
  <c r="O279" i="18" s="1"/>
  <c r="K280" i="18"/>
  <c r="O280" i="18" s="1"/>
  <c r="K281" i="18"/>
  <c r="O281" i="18" s="1"/>
  <c r="K282" i="18"/>
  <c r="O282" i="18" s="1"/>
  <c r="K283" i="18"/>
  <c r="O283" i="18" s="1"/>
  <c r="K284" i="18"/>
  <c r="O284" i="18" s="1"/>
  <c r="K285" i="18"/>
  <c r="O285" i="18" s="1"/>
  <c r="K286" i="18"/>
  <c r="O286" i="18" s="1"/>
  <c r="K287" i="18"/>
  <c r="O287" i="18" s="1"/>
  <c r="K288" i="18"/>
  <c r="O288" i="18" s="1"/>
  <c r="K289" i="18"/>
  <c r="O289" i="18" s="1"/>
  <c r="K290" i="18"/>
  <c r="O290" i="18" s="1"/>
  <c r="K291" i="18"/>
  <c r="O291" i="18" s="1"/>
  <c r="K292" i="18"/>
  <c r="O292" i="18" s="1"/>
  <c r="K293" i="18"/>
  <c r="O293" i="18" s="1"/>
  <c r="K294" i="18"/>
  <c r="O294" i="18" s="1"/>
  <c r="K295" i="18"/>
  <c r="O295" i="18" s="1"/>
  <c r="K296" i="18"/>
  <c r="O296" i="18" s="1"/>
  <c r="K297" i="18"/>
  <c r="O297" i="18" s="1"/>
  <c r="K298" i="18"/>
  <c r="O298" i="18" s="1"/>
  <c r="K299" i="18"/>
  <c r="O299" i="18" s="1"/>
  <c r="K300" i="18"/>
  <c r="O300" i="18" s="1"/>
  <c r="K301" i="18"/>
  <c r="O301" i="18" s="1"/>
  <c r="K302" i="18"/>
  <c r="O302" i="18" s="1"/>
  <c r="K303" i="18"/>
  <c r="O303" i="18" s="1"/>
  <c r="K304" i="18"/>
  <c r="O304" i="18" s="1"/>
  <c r="K305" i="18"/>
  <c r="O305" i="18" s="1"/>
  <c r="K306" i="18"/>
  <c r="O306" i="18" s="1"/>
  <c r="K307" i="18"/>
  <c r="O307" i="18" s="1"/>
  <c r="K308" i="18"/>
  <c r="O308" i="18" s="1"/>
  <c r="K309" i="18"/>
  <c r="O309" i="18" s="1"/>
  <c r="K310" i="18"/>
  <c r="O310" i="18" s="1"/>
  <c r="K311" i="18"/>
  <c r="O311" i="18" s="1"/>
  <c r="K312" i="18"/>
  <c r="O312" i="18" s="1"/>
  <c r="K313" i="18"/>
  <c r="O313" i="18" s="1"/>
  <c r="K314" i="18"/>
  <c r="O314" i="18" s="1"/>
  <c r="K315" i="18"/>
  <c r="O315" i="18" s="1"/>
  <c r="K316" i="18"/>
  <c r="O316" i="18" s="1"/>
  <c r="K317" i="18"/>
  <c r="O317" i="18" s="1"/>
  <c r="K318" i="18"/>
  <c r="O318" i="18" s="1"/>
  <c r="K319" i="18"/>
  <c r="O319" i="18" s="1"/>
  <c r="K320" i="18"/>
  <c r="O320" i="18" s="1"/>
  <c r="K321" i="18"/>
  <c r="O321" i="18" s="1"/>
  <c r="K322" i="18"/>
  <c r="O322" i="18" s="1"/>
  <c r="K323" i="18"/>
  <c r="O323" i="18" s="1"/>
  <c r="K324" i="18"/>
  <c r="O324" i="18" s="1"/>
  <c r="K325" i="18"/>
  <c r="O325" i="18" s="1"/>
  <c r="K326" i="18"/>
  <c r="O326" i="18" s="1"/>
  <c r="K327" i="18"/>
  <c r="O327" i="18" s="1"/>
  <c r="K328" i="18"/>
  <c r="O328" i="18" s="1"/>
  <c r="K329" i="18"/>
  <c r="O329" i="18" s="1"/>
  <c r="K330" i="18"/>
  <c r="O330" i="18" s="1"/>
  <c r="K331" i="18"/>
  <c r="O331" i="18" s="1"/>
  <c r="K332" i="18"/>
  <c r="O332" i="18" s="1"/>
  <c r="K333" i="18"/>
  <c r="O333" i="18" s="1"/>
  <c r="K334" i="18"/>
  <c r="O334" i="18" s="1"/>
  <c r="K335" i="18"/>
  <c r="O335" i="18" s="1"/>
  <c r="K336" i="18"/>
  <c r="O336" i="18" s="1"/>
  <c r="K337" i="18"/>
  <c r="O337" i="18" s="1"/>
  <c r="K338" i="18"/>
  <c r="O338" i="18" s="1"/>
  <c r="K339" i="18"/>
  <c r="O339" i="18" s="1"/>
  <c r="K340" i="18"/>
  <c r="O340" i="18" s="1"/>
  <c r="K341" i="18"/>
  <c r="O341" i="18" s="1"/>
  <c r="K342" i="18"/>
  <c r="O342" i="18" s="1"/>
  <c r="K343" i="18"/>
  <c r="O343" i="18" s="1"/>
  <c r="K344" i="18"/>
  <c r="O344" i="18" s="1"/>
  <c r="K345" i="18"/>
  <c r="O345" i="18" s="1"/>
  <c r="K346" i="18"/>
  <c r="O346" i="18" s="1"/>
  <c r="K347" i="18"/>
  <c r="O347" i="18" s="1"/>
  <c r="K348" i="18"/>
  <c r="O348" i="18" s="1"/>
  <c r="K349" i="18"/>
  <c r="O349" i="18" s="1"/>
  <c r="K350" i="18"/>
  <c r="O350" i="18" s="1"/>
  <c r="K351" i="18"/>
  <c r="O351" i="18" s="1"/>
  <c r="K352" i="18"/>
  <c r="O352" i="18" s="1"/>
  <c r="K353" i="18"/>
  <c r="O353" i="18" s="1"/>
  <c r="K354" i="18"/>
  <c r="O354" i="18" s="1"/>
  <c r="K355" i="18"/>
  <c r="O355" i="18" s="1"/>
  <c r="K356" i="18"/>
  <c r="O356" i="18" s="1"/>
  <c r="K357" i="18"/>
  <c r="O357" i="18" s="1"/>
  <c r="K358" i="18"/>
  <c r="O358" i="18" s="1"/>
  <c r="K359" i="18"/>
  <c r="O359" i="18" s="1"/>
  <c r="K360" i="18"/>
  <c r="O360" i="18" s="1"/>
  <c r="K361" i="18"/>
  <c r="O361" i="18" s="1"/>
  <c r="K362" i="18"/>
  <c r="O362" i="18" s="1"/>
  <c r="K363" i="18"/>
  <c r="O363" i="18" s="1"/>
  <c r="K364" i="18"/>
  <c r="O364" i="18" s="1"/>
  <c r="K365" i="18"/>
  <c r="O365" i="18" s="1"/>
  <c r="K366" i="18"/>
  <c r="O366" i="18" s="1"/>
  <c r="K367" i="18"/>
  <c r="O367" i="18" s="1"/>
  <c r="K368" i="18"/>
  <c r="O368" i="18" s="1"/>
  <c r="K369" i="18"/>
  <c r="O369" i="18" s="1"/>
  <c r="K370" i="18"/>
  <c r="O370" i="18" s="1"/>
  <c r="K371" i="18"/>
  <c r="O371" i="18" s="1"/>
  <c r="K372" i="18"/>
  <c r="O372" i="18" s="1"/>
  <c r="K373" i="18"/>
  <c r="O373" i="18" s="1"/>
  <c r="K374" i="18"/>
  <c r="O374" i="18" s="1"/>
  <c r="K375" i="18"/>
  <c r="O375" i="18" s="1"/>
  <c r="K376" i="18"/>
  <c r="O376" i="18" s="1"/>
  <c r="K377" i="18"/>
  <c r="O377" i="18" s="1"/>
  <c r="K378" i="18"/>
  <c r="O378" i="18" s="1"/>
  <c r="K379" i="18"/>
  <c r="O379" i="18" s="1"/>
  <c r="K380" i="18"/>
  <c r="O380" i="18" s="1"/>
  <c r="K381" i="18"/>
  <c r="O381" i="18" s="1"/>
  <c r="K382" i="18"/>
  <c r="O382" i="18" s="1"/>
  <c r="K383" i="18"/>
  <c r="O383" i="18" s="1"/>
  <c r="K384" i="18"/>
  <c r="O384" i="18" s="1"/>
  <c r="K385" i="18"/>
  <c r="O385" i="18" s="1"/>
  <c r="K386" i="18"/>
  <c r="O386" i="18" s="1"/>
  <c r="K387" i="18"/>
  <c r="O387" i="18" s="1"/>
  <c r="K388" i="18"/>
  <c r="O388" i="18" s="1"/>
  <c r="K389" i="18"/>
  <c r="O389" i="18" s="1"/>
  <c r="K390" i="18"/>
  <c r="O390" i="18" s="1"/>
  <c r="K391" i="18"/>
  <c r="O391" i="18" s="1"/>
  <c r="K392" i="18"/>
  <c r="O392" i="18" s="1"/>
  <c r="K393" i="18"/>
  <c r="O393" i="18" s="1"/>
  <c r="K394" i="18"/>
  <c r="O394" i="18" s="1"/>
  <c r="K395" i="18"/>
  <c r="O395" i="18" s="1"/>
  <c r="K396" i="18"/>
  <c r="O396" i="18" s="1"/>
  <c r="K397" i="18"/>
  <c r="O397" i="18" s="1"/>
  <c r="K398" i="18"/>
  <c r="O398" i="18" s="1"/>
  <c r="K399" i="18"/>
  <c r="O399" i="18" s="1"/>
  <c r="K400" i="18"/>
  <c r="O400" i="18" s="1"/>
  <c r="K401" i="18"/>
  <c r="O401" i="18" s="1"/>
  <c r="K402" i="18"/>
  <c r="O402" i="18" s="1"/>
  <c r="K403" i="18"/>
  <c r="O403" i="18" s="1"/>
  <c r="K404" i="18"/>
  <c r="O404" i="18" s="1"/>
  <c r="K405" i="18"/>
  <c r="O405" i="18" s="1"/>
  <c r="K406" i="18"/>
  <c r="O406" i="18" s="1"/>
  <c r="K407" i="18"/>
  <c r="O407" i="18" s="1"/>
  <c r="K408" i="18"/>
  <c r="O408" i="18" s="1"/>
  <c r="K409" i="18"/>
  <c r="O409" i="18" s="1"/>
  <c r="K410" i="18"/>
  <c r="O410" i="18" s="1"/>
  <c r="K411" i="18"/>
  <c r="O411" i="18" s="1"/>
  <c r="K412" i="18"/>
  <c r="O412" i="18" s="1"/>
  <c r="K413" i="18"/>
  <c r="O413" i="18" s="1"/>
  <c r="K414" i="18"/>
  <c r="O414" i="18" s="1"/>
  <c r="K415" i="18"/>
  <c r="O415" i="18" s="1"/>
  <c r="K416" i="18"/>
  <c r="O416" i="18" s="1"/>
  <c r="K417" i="18"/>
  <c r="O417" i="18" s="1"/>
  <c r="K418" i="18"/>
  <c r="O418" i="18" s="1"/>
  <c r="K419" i="18"/>
  <c r="O419" i="18" s="1"/>
  <c r="K420" i="18"/>
  <c r="O420" i="18" s="1"/>
  <c r="K421" i="18"/>
  <c r="O421" i="18" s="1"/>
  <c r="K422" i="18"/>
  <c r="O422" i="18" s="1"/>
  <c r="K423" i="18"/>
  <c r="O423" i="18" s="1"/>
  <c r="K424" i="18"/>
  <c r="O424" i="18" s="1"/>
  <c r="K425" i="18"/>
  <c r="O425" i="18" s="1"/>
  <c r="K426" i="18"/>
  <c r="O426" i="18" s="1"/>
  <c r="K427" i="18"/>
  <c r="O427" i="18" s="1"/>
  <c r="K428" i="18"/>
  <c r="O428" i="18" s="1"/>
  <c r="K429" i="18"/>
  <c r="O429" i="18" s="1"/>
  <c r="K430" i="18"/>
  <c r="O430" i="18" s="1"/>
  <c r="K431" i="18"/>
  <c r="O431" i="18" s="1"/>
  <c r="K432" i="18"/>
  <c r="O432" i="18" s="1"/>
  <c r="K433" i="18"/>
  <c r="O433" i="18" s="1"/>
  <c r="K434" i="18"/>
  <c r="O434" i="18" s="1"/>
  <c r="K435" i="18"/>
  <c r="O435" i="18" s="1"/>
  <c r="K436" i="18"/>
  <c r="O436" i="18" s="1"/>
  <c r="K437" i="18"/>
  <c r="O437" i="18" s="1"/>
  <c r="K438" i="18"/>
  <c r="O438" i="18" s="1"/>
  <c r="K439" i="18"/>
  <c r="O439" i="18" s="1"/>
  <c r="K440" i="18"/>
  <c r="O440" i="18" s="1"/>
  <c r="K441" i="18"/>
  <c r="O441" i="18" s="1"/>
  <c r="K442" i="18"/>
  <c r="O442" i="18" s="1"/>
  <c r="K443" i="18"/>
  <c r="O443" i="18" s="1"/>
  <c r="K444" i="18"/>
  <c r="O444" i="18" s="1"/>
  <c r="K445" i="18"/>
  <c r="O445" i="18" s="1"/>
  <c r="K446" i="18"/>
  <c r="O446" i="18" s="1"/>
  <c r="K447" i="18"/>
  <c r="O447" i="18" s="1"/>
  <c r="K448" i="18"/>
  <c r="O448" i="18" s="1"/>
  <c r="K449" i="18"/>
  <c r="O449" i="18" s="1"/>
  <c r="K450" i="18"/>
  <c r="O450" i="18" s="1"/>
  <c r="K451" i="18"/>
  <c r="O451" i="18" s="1"/>
  <c r="K452" i="18"/>
  <c r="O452" i="18" s="1"/>
  <c r="K453" i="18"/>
  <c r="O453" i="18" s="1"/>
  <c r="K454" i="18"/>
  <c r="O454" i="18" s="1"/>
  <c r="K455" i="18"/>
  <c r="O455" i="18" s="1"/>
  <c r="K456" i="18"/>
  <c r="O456" i="18" s="1"/>
  <c r="K457" i="18"/>
  <c r="O457" i="18" s="1"/>
  <c r="K458" i="18"/>
  <c r="O458" i="18" s="1"/>
  <c r="K459" i="18"/>
  <c r="O459" i="18" s="1"/>
  <c r="K460" i="18"/>
  <c r="O460" i="18" s="1"/>
  <c r="K461" i="18"/>
  <c r="O461" i="18" s="1"/>
  <c r="K462" i="18"/>
  <c r="O462" i="18" s="1"/>
  <c r="K463" i="18"/>
  <c r="O463" i="18" s="1"/>
  <c r="K464" i="18"/>
  <c r="O464" i="18" s="1"/>
  <c r="K465" i="18"/>
  <c r="O465" i="18" s="1"/>
  <c r="K466" i="18"/>
  <c r="O466" i="18" s="1"/>
  <c r="K467" i="18"/>
  <c r="O467" i="18" s="1"/>
  <c r="K468" i="18"/>
  <c r="O468" i="18" s="1"/>
  <c r="K469" i="18"/>
  <c r="O469" i="18" s="1"/>
  <c r="K470" i="18"/>
  <c r="O470" i="18" s="1"/>
  <c r="K471" i="18"/>
  <c r="O471" i="18" s="1"/>
  <c r="K472" i="18"/>
  <c r="O472" i="18" s="1"/>
  <c r="K473" i="18"/>
  <c r="O473" i="18" s="1"/>
  <c r="K474" i="18"/>
  <c r="O474" i="18" s="1"/>
  <c r="K475" i="18"/>
  <c r="O475" i="18" s="1"/>
  <c r="K476" i="18"/>
  <c r="O476" i="18" s="1"/>
  <c r="K477" i="18"/>
  <c r="O477" i="18" s="1"/>
  <c r="K478" i="18"/>
  <c r="O478" i="18" s="1"/>
  <c r="K479" i="18"/>
  <c r="O479" i="18" s="1"/>
  <c r="K480" i="18"/>
  <c r="O480" i="18" s="1"/>
  <c r="K481" i="18"/>
  <c r="O481" i="18" s="1"/>
  <c r="K482" i="18"/>
  <c r="O482" i="18" s="1"/>
  <c r="K483" i="18"/>
  <c r="O483" i="18" s="1"/>
  <c r="K484" i="18"/>
  <c r="O484" i="18" s="1"/>
  <c r="K485" i="18"/>
  <c r="O485" i="18" s="1"/>
  <c r="K486" i="18"/>
  <c r="O486" i="18" s="1"/>
  <c r="K487" i="18"/>
  <c r="O487" i="18" s="1"/>
  <c r="K488" i="18"/>
  <c r="O488" i="18" s="1"/>
  <c r="K489" i="18"/>
  <c r="O489" i="18" s="1"/>
  <c r="K490" i="18"/>
  <c r="O490" i="18" s="1"/>
  <c r="K491" i="18"/>
  <c r="O491" i="18" s="1"/>
  <c r="K492" i="18"/>
  <c r="O492" i="18" s="1"/>
  <c r="K493" i="18"/>
  <c r="O493" i="18" s="1"/>
  <c r="K494" i="18"/>
  <c r="O494" i="18" s="1"/>
  <c r="K495" i="18"/>
  <c r="O495" i="18" s="1"/>
  <c r="K496" i="18"/>
  <c r="O496" i="18" s="1"/>
  <c r="K497" i="18"/>
  <c r="O497" i="18" s="1"/>
  <c r="K498" i="18"/>
  <c r="O498" i="18" s="1"/>
  <c r="K499" i="18"/>
  <c r="O499" i="18" s="1"/>
  <c r="K500" i="18"/>
  <c r="O500" i="18" s="1"/>
  <c r="K501" i="18"/>
  <c r="O501" i="18" s="1"/>
  <c r="K502" i="18"/>
  <c r="O502" i="18" s="1"/>
  <c r="K503" i="18"/>
  <c r="O503" i="18" s="1"/>
  <c r="K504" i="18"/>
  <c r="O504" i="18" s="1"/>
  <c r="K505" i="18"/>
  <c r="O505" i="18" s="1"/>
  <c r="K506" i="18"/>
  <c r="O506" i="18" s="1"/>
  <c r="K507" i="18"/>
  <c r="O507" i="18" s="1"/>
  <c r="K508" i="18"/>
  <c r="O508" i="18" s="1"/>
  <c r="K509" i="18"/>
  <c r="O509" i="18" s="1"/>
  <c r="K510" i="18"/>
  <c r="O510" i="18" s="1"/>
  <c r="K511" i="18"/>
  <c r="O511" i="18" s="1"/>
  <c r="K512" i="18"/>
  <c r="O512" i="18" s="1"/>
  <c r="K513" i="18"/>
  <c r="O513" i="18" s="1"/>
  <c r="K514" i="18"/>
  <c r="O514" i="18" s="1"/>
  <c r="K515" i="18"/>
  <c r="O515" i="18" s="1"/>
  <c r="K516" i="18"/>
  <c r="O516" i="18" s="1"/>
  <c r="K517" i="18"/>
  <c r="O517" i="18" s="1"/>
  <c r="K518" i="18"/>
  <c r="O518" i="18" s="1"/>
  <c r="K519" i="18"/>
  <c r="O519" i="18" s="1"/>
  <c r="K520" i="18"/>
  <c r="O520" i="18" s="1"/>
  <c r="K521" i="18"/>
  <c r="O521" i="18" s="1"/>
  <c r="K522" i="18"/>
  <c r="O522" i="18" s="1"/>
  <c r="K523" i="18"/>
  <c r="O523" i="18" s="1"/>
  <c r="K524" i="18"/>
  <c r="O524" i="18" s="1"/>
  <c r="K525" i="18"/>
  <c r="O525" i="18" s="1"/>
  <c r="K526" i="18"/>
  <c r="O526" i="18" s="1"/>
  <c r="K527" i="18"/>
  <c r="O527" i="18" s="1"/>
  <c r="K528" i="18"/>
  <c r="O528" i="18" s="1"/>
  <c r="K529" i="18"/>
  <c r="O529" i="18" s="1"/>
  <c r="K530" i="18"/>
  <c r="O530" i="18" s="1"/>
  <c r="K531" i="18"/>
  <c r="O531" i="18" s="1"/>
  <c r="K532" i="18"/>
  <c r="O532" i="18" s="1"/>
  <c r="K533" i="18"/>
  <c r="O533" i="18" s="1"/>
  <c r="K534" i="18"/>
  <c r="O534" i="18" s="1"/>
  <c r="K535" i="18"/>
  <c r="O535" i="18" s="1"/>
  <c r="K536" i="18"/>
  <c r="O536" i="18" s="1"/>
  <c r="K537" i="18"/>
  <c r="O537" i="18" s="1"/>
  <c r="K538" i="18"/>
  <c r="O538" i="18" s="1"/>
  <c r="K539" i="18"/>
  <c r="O539" i="18" s="1"/>
  <c r="K540" i="18"/>
  <c r="O540" i="18" s="1"/>
  <c r="K541" i="18"/>
  <c r="O541" i="18" s="1"/>
  <c r="K542" i="18"/>
  <c r="O542" i="18" s="1"/>
  <c r="K543" i="18"/>
  <c r="O543" i="18" s="1"/>
  <c r="K544" i="18"/>
  <c r="O544" i="18" s="1"/>
  <c r="K545" i="18"/>
  <c r="O545" i="18" s="1"/>
  <c r="K546" i="18"/>
  <c r="O546" i="18" s="1"/>
  <c r="K547" i="18"/>
  <c r="O547" i="18" s="1"/>
  <c r="K548" i="18"/>
  <c r="O548" i="18" s="1"/>
  <c r="K549" i="18"/>
  <c r="O549" i="18" s="1"/>
  <c r="K550" i="18"/>
  <c r="O550" i="18" s="1"/>
  <c r="K551" i="18"/>
  <c r="O551" i="18" s="1"/>
  <c r="K552" i="18"/>
  <c r="O552" i="18" s="1"/>
  <c r="K553" i="18"/>
  <c r="O553" i="18" s="1"/>
  <c r="K554" i="18"/>
  <c r="O554" i="18" s="1"/>
  <c r="K555" i="18"/>
  <c r="O555" i="18" s="1"/>
  <c r="K556" i="18"/>
  <c r="O556" i="18" s="1"/>
  <c r="K557" i="18"/>
  <c r="O557" i="18" s="1"/>
  <c r="K558" i="18"/>
  <c r="O558" i="18" s="1"/>
  <c r="K559" i="18"/>
  <c r="O559" i="18" s="1"/>
  <c r="K560" i="18"/>
  <c r="O560" i="18" s="1"/>
  <c r="K561" i="18"/>
  <c r="O561" i="18" s="1"/>
  <c r="K562" i="18"/>
  <c r="O562" i="18" s="1"/>
  <c r="K563" i="18"/>
  <c r="O563" i="18" s="1"/>
  <c r="K564" i="18"/>
  <c r="O564" i="18" s="1"/>
  <c r="K565" i="18"/>
  <c r="O565" i="18" s="1"/>
  <c r="K566" i="18"/>
  <c r="O566" i="18" s="1"/>
  <c r="K567" i="18"/>
  <c r="O567" i="18" s="1"/>
  <c r="K568" i="18"/>
  <c r="O568" i="18" s="1"/>
  <c r="K569" i="18"/>
  <c r="O569" i="18" s="1"/>
  <c r="K570" i="18"/>
  <c r="O570" i="18" s="1"/>
  <c r="K571" i="18"/>
  <c r="O571" i="18" s="1"/>
  <c r="K572" i="18"/>
  <c r="O572" i="18" s="1"/>
  <c r="K573" i="18"/>
  <c r="O573" i="18" s="1"/>
  <c r="K574" i="18"/>
  <c r="O574" i="18" s="1"/>
  <c r="K575" i="18"/>
  <c r="O575" i="18" s="1"/>
  <c r="K576" i="18"/>
  <c r="O576" i="18" s="1"/>
  <c r="K577" i="18"/>
  <c r="O577" i="18" s="1"/>
  <c r="K578" i="18"/>
  <c r="O578" i="18" s="1"/>
  <c r="K579" i="18"/>
  <c r="O579" i="18" s="1"/>
  <c r="K580" i="18"/>
  <c r="O580" i="18" s="1"/>
  <c r="K581" i="18"/>
  <c r="O581" i="18" s="1"/>
  <c r="K582" i="18"/>
  <c r="O582" i="18" s="1"/>
  <c r="K583" i="18"/>
  <c r="O583" i="18" s="1"/>
  <c r="K584" i="18"/>
  <c r="O584" i="18" s="1"/>
  <c r="K585" i="18"/>
  <c r="O585" i="18" s="1"/>
  <c r="K586" i="18"/>
  <c r="O586" i="18" s="1"/>
  <c r="K587" i="18"/>
  <c r="O587" i="18" s="1"/>
  <c r="K588" i="18"/>
  <c r="O588" i="18" s="1"/>
  <c r="K589" i="18"/>
  <c r="O589" i="18" s="1"/>
  <c r="K590" i="18"/>
  <c r="O590" i="18" s="1"/>
  <c r="K591" i="18"/>
  <c r="O591" i="18" s="1"/>
  <c r="K592" i="18"/>
  <c r="O592" i="18" s="1"/>
  <c r="K593" i="18"/>
  <c r="O593" i="18" s="1"/>
  <c r="K594" i="18"/>
  <c r="O594" i="18" s="1"/>
  <c r="K595" i="18"/>
  <c r="O595" i="18" s="1"/>
  <c r="K596" i="18"/>
  <c r="O596" i="18" s="1"/>
  <c r="K597" i="18"/>
  <c r="O597" i="18" s="1"/>
  <c r="K598" i="18"/>
  <c r="O598" i="18" s="1"/>
  <c r="K599" i="18"/>
  <c r="O599" i="18" s="1"/>
  <c r="K600" i="18"/>
  <c r="O600" i="18" s="1"/>
  <c r="K601" i="18"/>
  <c r="O601" i="18" s="1"/>
  <c r="K602" i="18"/>
  <c r="O602" i="18" s="1"/>
  <c r="K603" i="18"/>
  <c r="O603" i="18" s="1"/>
  <c r="K604" i="18"/>
  <c r="O604" i="18" s="1"/>
  <c r="K605" i="18"/>
  <c r="O605" i="18" s="1"/>
  <c r="K606" i="18"/>
  <c r="O606" i="18" s="1"/>
  <c r="K607" i="18"/>
  <c r="O607" i="18" s="1"/>
  <c r="K608" i="18"/>
  <c r="O608" i="18" s="1"/>
  <c r="K609" i="18"/>
  <c r="O609" i="18" s="1"/>
  <c r="K610" i="18"/>
  <c r="O610" i="18" s="1"/>
  <c r="K611" i="18"/>
  <c r="O611" i="18" s="1"/>
  <c r="K612" i="18"/>
  <c r="O612" i="18" s="1"/>
  <c r="K613" i="18"/>
  <c r="O613" i="18" s="1"/>
  <c r="K614" i="18"/>
  <c r="O614" i="18" s="1"/>
  <c r="K615" i="18"/>
  <c r="O615" i="18" s="1"/>
  <c r="K616" i="18"/>
  <c r="O616" i="18" s="1"/>
  <c r="K617" i="18"/>
  <c r="O617" i="18" s="1"/>
  <c r="K618" i="18"/>
  <c r="O618" i="18" s="1"/>
  <c r="K619" i="18"/>
  <c r="O619" i="18" s="1"/>
  <c r="K620" i="18"/>
  <c r="O620" i="18" s="1"/>
  <c r="K621" i="18"/>
  <c r="O621" i="18" s="1"/>
  <c r="K622" i="18"/>
  <c r="O622" i="18" s="1"/>
  <c r="K623" i="18"/>
  <c r="O623" i="18" s="1"/>
  <c r="K624" i="18"/>
  <c r="O624" i="18" s="1"/>
  <c r="K625" i="18"/>
  <c r="O625" i="18" s="1"/>
  <c r="K626" i="18"/>
  <c r="O626" i="18" s="1"/>
  <c r="K627" i="18"/>
  <c r="O627" i="18" s="1"/>
  <c r="K628" i="18"/>
  <c r="O628" i="18" s="1"/>
  <c r="K629" i="18"/>
  <c r="O629" i="18" s="1"/>
  <c r="K630" i="18"/>
  <c r="O630" i="18" s="1"/>
  <c r="K631" i="18"/>
  <c r="O631" i="18" s="1"/>
  <c r="K632" i="18"/>
  <c r="O632" i="18" s="1"/>
  <c r="K633" i="18"/>
  <c r="O633" i="18" s="1"/>
  <c r="K634" i="18"/>
  <c r="O634" i="18" s="1"/>
  <c r="K635" i="18"/>
  <c r="O635" i="18" s="1"/>
  <c r="K636" i="18"/>
  <c r="O636" i="18" s="1"/>
  <c r="K637" i="18"/>
  <c r="O637" i="18" s="1"/>
  <c r="K638" i="18"/>
  <c r="O638" i="18" s="1"/>
  <c r="K639" i="18"/>
  <c r="O639" i="18" s="1"/>
  <c r="K640" i="18"/>
  <c r="O640" i="18" s="1"/>
  <c r="K641" i="18"/>
  <c r="O641" i="18" s="1"/>
  <c r="K642" i="18"/>
  <c r="O642" i="18" s="1"/>
  <c r="K643" i="18"/>
  <c r="O643" i="18" s="1"/>
  <c r="K644" i="18"/>
  <c r="O644" i="18" s="1"/>
  <c r="K645" i="18"/>
  <c r="O645" i="18" s="1"/>
  <c r="K646" i="18"/>
  <c r="O646" i="18" s="1"/>
  <c r="K647" i="18"/>
  <c r="O647" i="18" s="1"/>
  <c r="K648" i="18"/>
  <c r="O648" i="18" s="1"/>
  <c r="K649" i="18"/>
  <c r="O649" i="18" s="1"/>
  <c r="K650" i="18"/>
  <c r="O650" i="18" s="1"/>
  <c r="K651" i="18"/>
  <c r="O651" i="18" s="1"/>
  <c r="K652" i="18"/>
  <c r="O652" i="18" s="1"/>
  <c r="K653" i="18"/>
  <c r="O653" i="18" s="1"/>
  <c r="K654" i="18"/>
  <c r="O654" i="18" s="1"/>
  <c r="K655" i="18"/>
  <c r="O655" i="18" s="1"/>
  <c r="K656" i="18"/>
  <c r="O656" i="18" s="1"/>
  <c r="K657" i="18"/>
  <c r="O657" i="18" s="1"/>
  <c r="K658" i="18"/>
  <c r="O658" i="18" s="1"/>
  <c r="K659" i="18"/>
  <c r="O659" i="18" s="1"/>
  <c r="K660" i="18"/>
  <c r="O660" i="18" s="1"/>
  <c r="K661" i="18"/>
  <c r="O661" i="18" s="1"/>
  <c r="K662" i="18"/>
  <c r="O662" i="18" s="1"/>
  <c r="K663" i="18"/>
  <c r="O663" i="18" s="1"/>
  <c r="K664" i="18"/>
  <c r="O664" i="18" s="1"/>
  <c r="K665" i="18"/>
  <c r="O665" i="18" s="1"/>
  <c r="K666" i="18"/>
  <c r="O666" i="18" s="1"/>
  <c r="K667" i="18"/>
  <c r="O667" i="18" s="1"/>
  <c r="K668" i="18"/>
  <c r="O668" i="18" s="1"/>
  <c r="K669" i="18"/>
  <c r="O669" i="18" s="1"/>
  <c r="K670" i="18"/>
  <c r="O670" i="18" s="1"/>
  <c r="K671" i="18"/>
  <c r="O671" i="18" s="1"/>
  <c r="K672" i="18"/>
  <c r="O672" i="18" s="1"/>
  <c r="K673" i="18"/>
  <c r="O673" i="18" s="1"/>
  <c r="K674" i="18"/>
  <c r="O674" i="18" s="1"/>
  <c r="K675" i="18"/>
  <c r="O675" i="18" s="1"/>
  <c r="K676" i="18"/>
  <c r="O676" i="18" s="1"/>
  <c r="K677" i="18"/>
  <c r="O677" i="18" s="1"/>
  <c r="K678" i="18"/>
  <c r="O678" i="18" s="1"/>
  <c r="K679" i="18"/>
  <c r="O679" i="18" s="1"/>
  <c r="K680" i="18"/>
  <c r="O680" i="18" s="1"/>
  <c r="K681" i="18"/>
  <c r="O681" i="18" s="1"/>
  <c r="K682" i="18"/>
  <c r="O682" i="18" s="1"/>
  <c r="K683" i="18"/>
  <c r="O683" i="18" s="1"/>
  <c r="K684" i="18"/>
  <c r="O684" i="18" s="1"/>
  <c r="K685" i="18"/>
  <c r="O685" i="18" s="1"/>
  <c r="K686" i="18"/>
  <c r="O686" i="18" s="1"/>
  <c r="K687" i="18"/>
  <c r="O687" i="18" s="1"/>
  <c r="K688" i="18"/>
  <c r="O688" i="18" s="1"/>
  <c r="K689" i="18"/>
  <c r="O689" i="18" s="1"/>
  <c r="K690" i="18"/>
  <c r="O690" i="18" s="1"/>
  <c r="K691" i="18"/>
  <c r="O691" i="18" s="1"/>
  <c r="K692" i="18"/>
  <c r="O692" i="18" s="1"/>
  <c r="K693" i="18"/>
  <c r="O693" i="18" s="1"/>
  <c r="K694" i="18"/>
  <c r="O694" i="18" s="1"/>
  <c r="K695" i="18"/>
  <c r="O695" i="18" s="1"/>
  <c r="K696" i="18"/>
  <c r="O696" i="18" s="1"/>
  <c r="K697" i="18"/>
  <c r="O697" i="18" s="1"/>
  <c r="K698" i="18"/>
  <c r="O698" i="18" s="1"/>
  <c r="K699" i="18"/>
  <c r="O699" i="18" s="1"/>
  <c r="K700" i="18"/>
  <c r="O700" i="18" s="1"/>
  <c r="K701" i="18"/>
  <c r="O701" i="18" s="1"/>
  <c r="K702" i="18"/>
  <c r="O702" i="18" s="1"/>
  <c r="K703" i="18"/>
  <c r="O703" i="18" s="1"/>
  <c r="K704" i="18"/>
  <c r="O704" i="18" s="1"/>
  <c r="K705" i="18"/>
  <c r="O705" i="18" s="1"/>
  <c r="K706" i="18"/>
  <c r="O706" i="18" s="1"/>
  <c r="K707" i="18"/>
  <c r="O707" i="18" s="1"/>
  <c r="K708" i="18"/>
  <c r="O708" i="18" s="1"/>
  <c r="K709" i="18"/>
  <c r="O709" i="18" s="1"/>
  <c r="K710" i="18"/>
  <c r="O710" i="18" s="1"/>
  <c r="K711" i="18"/>
  <c r="O711" i="18" s="1"/>
  <c r="K712" i="18"/>
  <c r="O712" i="18" s="1"/>
  <c r="K713" i="18"/>
  <c r="O713" i="18" s="1"/>
  <c r="K714" i="18"/>
  <c r="O714" i="18" s="1"/>
  <c r="K715" i="18"/>
  <c r="O715" i="18" s="1"/>
  <c r="K716" i="18"/>
  <c r="O716" i="18" s="1"/>
  <c r="K717" i="18"/>
  <c r="O717" i="18" s="1"/>
  <c r="K718" i="18"/>
  <c r="O718" i="18" s="1"/>
  <c r="K719" i="18"/>
  <c r="O719" i="18" s="1"/>
  <c r="K720" i="18"/>
  <c r="O720" i="18" s="1"/>
  <c r="K721" i="18"/>
  <c r="O721" i="18" s="1"/>
  <c r="K722" i="18"/>
  <c r="O722" i="18" s="1"/>
  <c r="K723" i="18"/>
  <c r="O723" i="18" s="1"/>
  <c r="K724" i="18"/>
  <c r="O724" i="18" s="1"/>
  <c r="K725" i="18"/>
  <c r="O725" i="18" s="1"/>
  <c r="K726" i="18"/>
  <c r="O726" i="18" s="1"/>
  <c r="K727" i="18"/>
  <c r="O727" i="18" s="1"/>
  <c r="K728" i="18"/>
  <c r="O728" i="18" s="1"/>
  <c r="K729" i="18"/>
  <c r="O729" i="18" s="1"/>
  <c r="K730" i="18"/>
  <c r="O730" i="18" s="1"/>
  <c r="K731" i="18"/>
  <c r="O731" i="18" s="1"/>
  <c r="K732" i="18"/>
  <c r="O732" i="18" s="1"/>
  <c r="K733" i="18"/>
  <c r="O733" i="18" s="1"/>
  <c r="K734" i="18"/>
  <c r="O734" i="18" s="1"/>
  <c r="K735" i="18"/>
  <c r="O735" i="18" s="1"/>
  <c r="K736" i="18"/>
  <c r="O736" i="18" s="1"/>
  <c r="K737" i="18"/>
  <c r="O737" i="18" s="1"/>
  <c r="K738" i="18"/>
  <c r="O738" i="18" s="1"/>
  <c r="K739" i="18"/>
  <c r="O739" i="18" s="1"/>
  <c r="K740" i="18"/>
  <c r="O740" i="18" s="1"/>
  <c r="K741" i="18"/>
  <c r="O741" i="18" s="1"/>
  <c r="K742" i="18"/>
  <c r="O742" i="18" s="1"/>
  <c r="K743" i="18"/>
  <c r="O743" i="18" s="1"/>
  <c r="K744" i="18"/>
  <c r="O744" i="18" s="1"/>
  <c r="K745" i="18"/>
  <c r="O745" i="18" s="1"/>
  <c r="K746" i="18"/>
  <c r="O746" i="18" s="1"/>
  <c r="K747" i="18"/>
  <c r="O747" i="18" s="1"/>
  <c r="K748" i="18"/>
  <c r="O748" i="18" s="1"/>
  <c r="K749" i="18"/>
  <c r="O749" i="18" s="1"/>
  <c r="K750" i="18"/>
  <c r="O750" i="18" s="1"/>
  <c r="K751" i="18"/>
  <c r="O751" i="18" s="1"/>
  <c r="K752" i="18"/>
  <c r="O752" i="18" s="1"/>
  <c r="K753" i="18"/>
  <c r="O753" i="18" s="1"/>
  <c r="K754" i="18"/>
  <c r="O754" i="18" s="1"/>
  <c r="K755" i="18"/>
  <c r="O755" i="18" s="1"/>
  <c r="K756" i="18"/>
  <c r="O756" i="18" s="1"/>
  <c r="K757" i="18"/>
  <c r="O757" i="18" s="1"/>
  <c r="K758" i="18"/>
  <c r="O758" i="18" s="1"/>
  <c r="K759" i="18"/>
  <c r="O759" i="18" s="1"/>
  <c r="K760" i="18"/>
  <c r="O760" i="18" s="1"/>
  <c r="K761" i="18"/>
  <c r="O761" i="18" s="1"/>
  <c r="K762" i="18"/>
  <c r="O762" i="18" s="1"/>
  <c r="K763" i="18"/>
  <c r="O763" i="18" s="1"/>
  <c r="K764" i="18"/>
  <c r="O764" i="18" s="1"/>
  <c r="K765" i="18"/>
  <c r="O765" i="18" s="1"/>
  <c r="K766" i="18"/>
  <c r="O766" i="18" s="1"/>
  <c r="K767" i="18"/>
  <c r="O767" i="18" s="1"/>
  <c r="K768" i="18"/>
  <c r="O768" i="18" s="1"/>
  <c r="K769" i="18"/>
  <c r="O769" i="18" s="1"/>
  <c r="K770" i="18"/>
  <c r="O770" i="18" s="1"/>
  <c r="K771" i="18"/>
  <c r="O771" i="18" s="1"/>
  <c r="K772" i="18"/>
  <c r="O772" i="18" s="1"/>
  <c r="K773" i="18"/>
  <c r="O773" i="18" s="1"/>
  <c r="K774" i="18"/>
  <c r="O774" i="18" s="1"/>
  <c r="K775" i="18"/>
  <c r="O775" i="18" s="1"/>
  <c r="K776" i="18"/>
  <c r="O776" i="18" s="1"/>
  <c r="K777" i="18"/>
  <c r="O777" i="18" s="1"/>
  <c r="K778" i="18"/>
  <c r="O778" i="18" s="1"/>
  <c r="K779" i="18"/>
  <c r="O779" i="18" s="1"/>
  <c r="K780" i="18"/>
  <c r="O780" i="18" s="1"/>
  <c r="K781" i="18"/>
  <c r="O781" i="18" s="1"/>
  <c r="K782" i="18"/>
  <c r="O782" i="18" s="1"/>
  <c r="K783" i="18"/>
  <c r="O783" i="18" s="1"/>
  <c r="K784" i="18"/>
  <c r="O784" i="18" s="1"/>
  <c r="K785" i="18"/>
  <c r="O785" i="18" s="1"/>
  <c r="K786" i="18"/>
  <c r="O786" i="18" s="1"/>
  <c r="K787" i="18"/>
  <c r="O787" i="18" s="1"/>
  <c r="K788" i="18"/>
  <c r="O788" i="18" s="1"/>
  <c r="K789" i="18"/>
  <c r="O789" i="18" s="1"/>
  <c r="K790" i="18"/>
  <c r="O790" i="18" s="1"/>
  <c r="K791" i="18"/>
  <c r="O791" i="18" s="1"/>
  <c r="K792" i="18"/>
  <c r="O792" i="18" s="1"/>
  <c r="K793" i="18"/>
  <c r="O793" i="18" s="1"/>
  <c r="K794" i="18"/>
  <c r="O794" i="18" s="1"/>
  <c r="K795" i="18"/>
  <c r="O795" i="18" s="1"/>
  <c r="K796" i="18"/>
  <c r="O796" i="18" s="1"/>
  <c r="K797" i="18"/>
  <c r="O797" i="18" s="1"/>
  <c r="K798" i="18"/>
  <c r="O798" i="18" s="1"/>
  <c r="K799" i="18"/>
  <c r="O799" i="18" s="1"/>
  <c r="K800" i="18"/>
  <c r="O800" i="18" s="1"/>
  <c r="K801" i="18"/>
  <c r="O801" i="18" s="1"/>
  <c r="K802" i="18"/>
  <c r="O802" i="18" s="1"/>
  <c r="K803" i="18"/>
  <c r="O803" i="18" s="1"/>
  <c r="K804" i="18"/>
  <c r="O804" i="18" s="1"/>
  <c r="K805" i="18"/>
  <c r="O805" i="18" s="1"/>
  <c r="K806" i="18"/>
  <c r="O806" i="18" s="1"/>
  <c r="K807" i="18"/>
  <c r="O807" i="18" s="1"/>
  <c r="K808" i="18"/>
  <c r="O808" i="18" s="1"/>
  <c r="K809" i="18"/>
  <c r="O809" i="18" s="1"/>
  <c r="K810" i="18"/>
  <c r="O810" i="18" s="1"/>
  <c r="K811" i="18"/>
  <c r="O811" i="18" s="1"/>
  <c r="K812" i="18"/>
  <c r="O812" i="18" s="1"/>
  <c r="K813" i="18"/>
  <c r="O813" i="18" s="1"/>
  <c r="K814" i="18"/>
  <c r="O814" i="18" s="1"/>
  <c r="K815" i="18"/>
  <c r="O815" i="18" s="1"/>
  <c r="K816" i="18"/>
  <c r="O816" i="18" s="1"/>
  <c r="K817" i="18"/>
  <c r="O817" i="18" s="1"/>
  <c r="K818" i="18"/>
  <c r="O818" i="18" s="1"/>
  <c r="K819" i="18"/>
  <c r="O819" i="18" s="1"/>
  <c r="K820" i="18"/>
  <c r="O820" i="18" s="1"/>
  <c r="K821" i="18"/>
  <c r="O821" i="18" s="1"/>
  <c r="K822" i="18"/>
  <c r="O822" i="18" s="1"/>
  <c r="K823" i="18"/>
  <c r="O823" i="18" s="1"/>
  <c r="K824" i="18"/>
  <c r="O824" i="18" s="1"/>
  <c r="K825" i="18"/>
  <c r="O825" i="18" s="1"/>
  <c r="K826" i="18"/>
  <c r="O826" i="18" s="1"/>
  <c r="K827" i="18"/>
  <c r="O827" i="18" s="1"/>
  <c r="K828" i="18"/>
  <c r="O828" i="18" s="1"/>
  <c r="K829" i="18"/>
  <c r="O829" i="18" s="1"/>
  <c r="K830" i="18"/>
  <c r="O830" i="18" s="1"/>
  <c r="K831" i="18"/>
  <c r="O831" i="18" s="1"/>
  <c r="K832" i="18"/>
  <c r="O832" i="18" s="1"/>
  <c r="K833" i="18"/>
  <c r="O833" i="18" s="1"/>
  <c r="K834" i="18"/>
  <c r="O834" i="18" s="1"/>
  <c r="K835" i="18"/>
  <c r="O835" i="18" s="1"/>
  <c r="K836" i="18"/>
  <c r="O836" i="18" s="1"/>
  <c r="K837" i="18"/>
  <c r="O837" i="18" s="1"/>
  <c r="K838" i="18"/>
  <c r="O838" i="18" s="1"/>
  <c r="K839" i="18"/>
  <c r="O839" i="18" s="1"/>
  <c r="K840" i="18"/>
  <c r="O840" i="18" s="1"/>
  <c r="K841" i="18"/>
  <c r="O841" i="18" s="1"/>
  <c r="K842" i="18"/>
  <c r="O842" i="18" s="1"/>
  <c r="K843" i="18"/>
  <c r="O843" i="18" s="1"/>
  <c r="K844" i="18"/>
  <c r="O844" i="18" s="1"/>
  <c r="K845" i="18"/>
  <c r="O845" i="18" s="1"/>
  <c r="K846" i="18"/>
  <c r="O846" i="18" s="1"/>
  <c r="K847" i="18"/>
  <c r="O847" i="18" s="1"/>
  <c r="K848" i="18"/>
  <c r="O848" i="18" s="1"/>
  <c r="K849" i="18"/>
  <c r="O849" i="18" s="1"/>
  <c r="K850" i="18"/>
  <c r="O850" i="18" s="1"/>
  <c r="K851" i="18"/>
  <c r="O851" i="18" s="1"/>
  <c r="K852" i="18"/>
  <c r="O852" i="18" s="1"/>
  <c r="K853" i="18"/>
  <c r="O853" i="18" s="1"/>
  <c r="K854" i="18"/>
  <c r="O854" i="18" s="1"/>
  <c r="K855" i="18"/>
  <c r="O855" i="18" s="1"/>
  <c r="K856" i="18"/>
  <c r="O856" i="18" s="1"/>
  <c r="K857" i="18"/>
  <c r="O857" i="18" s="1"/>
  <c r="K858" i="18"/>
  <c r="O858" i="18" s="1"/>
  <c r="K859" i="18"/>
  <c r="O859" i="18" s="1"/>
  <c r="K860" i="18"/>
  <c r="O860" i="18" s="1"/>
  <c r="K861" i="18"/>
  <c r="O861" i="18" s="1"/>
  <c r="K862" i="18"/>
  <c r="O862" i="18" s="1"/>
  <c r="K863" i="18"/>
  <c r="O863" i="18" s="1"/>
  <c r="K864" i="18"/>
  <c r="O864" i="18" s="1"/>
  <c r="K865" i="18"/>
  <c r="O865" i="18" s="1"/>
  <c r="K866" i="18"/>
  <c r="O866" i="18" s="1"/>
  <c r="K867" i="18"/>
  <c r="O867" i="18" s="1"/>
  <c r="K868" i="18"/>
  <c r="O868" i="18" s="1"/>
  <c r="K869" i="18"/>
  <c r="O869" i="18" s="1"/>
  <c r="K870" i="18"/>
  <c r="O870" i="18" s="1"/>
  <c r="K871" i="18"/>
  <c r="O871" i="18" s="1"/>
  <c r="K872" i="18"/>
  <c r="O872" i="18" s="1"/>
  <c r="K873" i="18"/>
  <c r="O873" i="18" s="1"/>
  <c r="K874" i="18"/>
  <c r="O874" i="18" s="1"/>
  <c r="K875" i="18"/>
  <c r="O875" i="18" s="1"/>
  <c r="K876" i="18"/>
  <c r="O876" i="18" s="1"/>
  <c r="K877" i="18"/>
  <c r="O877" i="18" s="1"/>
  <c r="K878" i="18"/>
  <c r="O878" i="18" s="1"/>
  <c r="K879" i="18"/>
  <c r="O879" i="18" s="1"/>
  <c r="K880" i="18"/>
  <c r="O880" i="18" s="1"/>
  <c r="K881" i="18"/>
  <c r="O881" i="18" s="1"/>
  <c r="K882" i="18"/>
  <c r="O882" i="18" s="1"/>
  <c r="K883" i="18"/>
  <c r="O883" i="18" s="1"/>
  <c r="K884" i="18"/>
  <c r="O884" i="18" s="1"/>
  <c r="K885" i="18"/>
  <c r="O885" i="18" s="1"/>
  <c r="K886" i="18"/>
  <c r="O886" i="18" s="1"/>
  <c r="K887" i="18"/>
  <c r="O887" i="18" s="1"/>
  <c r="K888" i="18"/>
  <c r="O888" i="18" s="1"/>
  <c r="K889" i="18"/>
  <c r="O889" i="18" s="1"/>
  <c r="K890" i="18"/>
  <c r="O890" i="18" s="1"/>
  <c r="K891" i="18"/>
  <c r="O891" i="18" s="1"/>
  <c r="K892" i="18"/>
  <c r="O892" i="18" s="1"/>
  <c r="K893" i="18"/>
  <c r="O893" i="18" s="1"/>
  <c r="K894" i="18"/>
  <c r="O894" i="18" s="1"/>
  <c r="K895" i="18"/>
  <c r="O895" i="18" s="1"/>
  <c r="K896" i="18"/>
  <c r="O896" i="18" s="1"/>
  <c r="K897" i="18"/>
  <c r="O897" i="18" s="1"/>
  <c r="K898" i="18"/>
  <c r="O898" i="18" s="1"/>
  <c r="K899" i="18"/>
  <c r="O899" i="18" s="1"/>
  <c r="K900" i="18"/>
  <c r="O900" i="18" s="1"/>
  <c r="K901" i="18"/>
  <c r="O901" i="18" s="1"/>
  <c r="K902" i="18"/>
  <c r="O902" i="18" s="1"/>
  <c r="K903" i="18"/>
  <c r="O903" i="18" s="1"/>
  <c r="K904" i="18"/>
  <c r="O904" i="18" s="1"/>
  <c r="K905" i="18"/>
  <c r="O905" i="18" s="1"/>
  <c r="K906" i="18"/>
  <c r="O906" i="18" s="1"/>
  <c r="K907" i="18"/>
  <c r="O907" i="18" s="1"/>
  <c r="K908" i="18"/>
  <c r="O908" i="18" s="1"/>
  <c r="K909" i="18"/>
  <c r="O909" i="18" s="1"/>
  <c r="K910" i="18"/>
  <c r="O910" i="18" s="1"/>
  <c r="K911" i="18"/>
  <c r="O911" i="18" s="1"/>
  <c r="K912" i="18"/>
  <c r="O912" i="18" s="1"/>
  <c r="K913" i="18"/>
  <c r="O913" i="18" s="1"/>
  <c r="K914" i="18"/>
  <c r="O914" i="18" s="1"/>
  <c r="K915" i="18"/>
  <c r="O915" i="18" s="1"/>
  <c r="K916" i="18"/>
  <c r="O916" i="18" s="1"/>
  <c r="K917" i="18"/>
  <c r="O917" i="18" s="1"/>
  <c r="K918" i="18"/>
  <c r="O918" i="18" s="1"/>
  <c r="K919" i="18"/>
  <c r="O919" i="18" s="1"/>
  <c r="K920" i="18"/>
  <c r="O920" i="18" s="1"/>
  <c r="K921" i="18"/>
  <c r="O921" i="18" s="1"/>
  <c r="K922" i="18"/>
  <c r="O922" i="18" s="1"/>
  <c r="K923" i="18"/>
  <c r="O923" i="18" s="1"/>
  <c r="K924" i="18"/>
  <c r="O924" i="18" s="1"/>
  <c r="K925" i="18"/>
  <c r="O925" i="18" s="1"/>
  <c r="K926" i="18"/>
  <c r="O926" i="18" s="1"/>
  <c r="K927" i="18"/>
  <c r="O927" i="18" s="1"/>
  <c r="K928" i="18"/>
  <c r="O928" i="18" s="1"/>
  <c r="K929" i="18"/>
  <c r="O929" i="18" s="1"/>
  <c r="K930" i="18"/>
  <c r="O930" i="18" s="1"/>
  <c r="K931" i="18"/>
  <c r="O931" i="18" s="1"/>
  <c r="K932" i="18"/>
  <c r="O932" i="18" s="1"/>
  <c r="K933" i="18"/>
  <c r="O933" i="18" s="1"/>
  <c r="K934" i="18"/>
  <c r="O934" i="18" s="1"/>
  <c r="K935" i="18"/>
  <c r="O935" i="18" s="1"/>
  <c r="K936" i="18"/>
  <c r="O936" i="18" s="1"/>
  <c r="K937" i="18"/>
  <c r="O937" i="18" s="1"/>
  <c r="K938" i="18"/>
  <c r="O938" i="18" s="1"/>
  <c r="K939" i="18"/>
  <c r="O939" i="18" s="1"/>
  <c r="K940" i="18"/>
  <c r="O940" i="18" s="1"/>
  <c r="K941" i="18"/>
  <c r="O941" i="18" s="1"/>
  <c r="K942" i="18"/>
  <c r="O942" i="18" s="1"/>
  <c r="K943" i="18"/>
  <c r="O943" i="18" s="1"/>
  <c r="K944" i="18"/>
  <c r="O944" i="18" s="1"/>
  <c r="K945" i="18"/>
  <c r="O945" i="18" s="1"/>
  <c r="K946" i="18"/>
  <c r="O946" i="18" s="1"/>
  <c r="K947" i="18"/>
  <c r="O947" i="18" s="1"/>
  <c r="K948" i="18"/>
  <c r="O948" i="18" s="1"/>
  <c r="K949" i="18"/>
  <c r="O949" i="18" s="1"/>
  <c r="K950" i="18"/>
  <c r="O950" i="18" s="1"/>
  <c r="K951" i="18"/>
  <c r="O951" i="18" s="1"/>
  <c r="K952" i="18"/>
  <c r="O952" i="18" s="1"/>
  <c r="K953" i="18"/>
  <c r="O953" i="18" s="1"/>
  <c r="K954" i="18"/>
  <c r="O954" i="18" s="1"/>
  <c r="K955" i="18"/>
  <c r="O955" i="18" s="1"/>
  <c r="K956" i="18"/>
  <c r="O956" i="18" s="1"/>
  <c r="K957" i="18"/>
  <c r="O957" i="18" s="1"/>
  <c r="K958" i="18"/>
  <c r="O958" i="18" s="1"/>
  <c r="K959" i="18"/>
  <c r="O959" i="18" s="1"/>
  <c r="K960" i="18"/>
  <c r="O960" i="18" s="1"/>
  <c r="K961" i="18"/>
  <c r="O961" i="18" s="1"/>
  <c r="K962" i="18"/>
  <c r="O962" i="18" s="1"/>
  <c r="K963" i="18"/>
  <c r="O963" i="18" s="1"/>
  <c r="K964" i="18"/>
  <c r="O964" i="18" s="1"/>
  <c r="K965" i="18"/>
  <c r="O965" i="18" s="1"/>
  <c r="K966" i="18"/>
  <c r="O966" i="18" s="1"/>
  <c r="K967" i="18"/>
  <c r="O967" i="18" s="1"/>
  <c r="K968" i="18"/>
  <c r="O968" i="18" s="1"/>
  <c r="K969" i="18"/>
  <c r="O969" i="18" s="1"/>
  <c r="K970" i="18"/>
  <c r="O970" i="18" s="1"/>
  <c r="K971" i="18"/>
  <c r="O971" i="18" s="1"/>
  <c r="K972" i="18"/>
  <c r="O972" i="18" s="1"/>
  <c r="K973" i="18"/>
  <c r="O973" i="18" s="1"/>
  <c r="K974" i="18"/>
  <c r="O974" i="18" s="1"/>
  <c r="K975" i="18"/>
  <c r="O975" i="18" s="1"/>
  <c r="K976" i="18"/>
  <c r="O976" i="18" s="1"/>
  <c r="K977" i="18"/>
  <c r="O977" i="18" s="1"/>
  <c r="K978" i="18"/>
  <c r="O978" i="18" s="1"/>
  <c r="K979" i="18"/>
  <c r="O979" i="18" s="1"/>
  <c r="K980" i="18"/>
  <c r="O980" i="18" s="1"/>
  <c r="K981" i="18"/>
  <c r="O981" i="18" s="1"/>
  <c r="K982" i="18"/>
  <c r="O982" i="18" s="1"/>
  <c r="K983" i="18"/>
  <c r="O983" i="18" s="1"/>
  <c r="K984" i="18"/>
  <c r="O984" i="18" s="1"/>
  <c r="K985" i="18"/>
  <c r="O985" i="18" s="1"/>
  <c r="K986" i="18"/>
  <c r="O986" i="18" s="1"/>
  <c r="K987" i="18"/>
  <c r="O987" i="18" s="1"/>
  <c r="K988" i="18"/>
  <c r="O988" i="18" s="1"/>
  <c r="K989" i="18"/>
  <c r="O989" i="18" s="1"/>
  <c r="K990" i="18"/>
  <c r="O990" i="18" s="1"/>
  <c r="K991" i="18"/>
  <c r="O991" i="18" s="1"/>
  <c r="K992" i="18"/>
  <c r="O992" i="18" s="1"/>
  <c r="K993" i="18"/>
  <c r="O993" i="18" s="1"/>
  <c r="K994" i="18"/>
  <c r="O994" i="18" s="1"/>
  <c r="K995" i="18"/>
  <c r="O995" i="18" s="1"/>
  <c r="K996" i="18"/>
  <c r="O996" i="18" s="1"/>
  <c r="K997" i="18"/>
  <c r="O997" i="18" s="1"/>
  <c r="K998" i="18"/>
  <c r="O998" i="18" s="1"/>
  <c r="K999" i="18"/>
  <c r="O999" i="18" s="1"/>
  <c r="K1000" i="18"/>
  <c r="O1000" i="18" s="1"/>
  <c r="K1001" i="18"/>
  <c r="O1001" i="18" s="1"/>
  <c r="K3" i="18"/>
  <c r="O3" i="18" s="1"/>
  <c r="K4" i="18"/>
  <c r="O4" i="18" s="1"/>
  <c r="K5" i="18"/>
  <c r="O5" i="18" s="1"/>
  <c r="K6" i="18"/>
  <c r="O6" i="18" s="1"/>
  <c r="K7" i="18"/>
  <c r="O7" i="18" s="1"/>
  <c r="K8" i="18"/>
  <c r="O8" i="18" s="1"/>
  <c r="K9" i="18"/>
  <c r="O9" i="18" s="1"/>
  <c r="K10" i="18"/>
  <c r="O10" i="18" s="1"/>
  <c r="K2" i="18"/>
  <c r="O2" i="18" s="1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J441" i="18"/>
  <c r="J442" i="18"/>
  <c r="J443" i="18"/>
  <c r="J444" i="18"/>
  <c r="J445" i="18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J482" i="18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J501" i="18"/>
  <c r="J502" i="18"/>
  <c r="J503" i="18"/>
  <c r="J504" i="18"/>
  <c r="J505" i="18"/>
  <c r="J506" i="18"/>
  <c r="J507" i="18"/>
  <c r="J508" i="18"/>
  <c r="J509" i="18"/>
  <c r="J510" i="18"/>
  <c r="J511" i="18"/>
  <c r="J512" i="18"/>
  <c r="J513" i="18"/>
  <c r="J514" i="18"/>
  <c r="J515" i="18"/>
  <c r="J516" i="18"/>
  <c r="J517" i="18"/>
  <c r="J518" i="18"/>
  <c r="J519" i="18"/>
  <c r="J520" i="18"/>
  <c r="J521" i="18"/>
  <c r="J522" i="18"/>
  <c r="J523" i="18"/>
  <c r="J524" i="18"/>
  <c r="J525" i="18"/>
  <c r="J526" i="18"/>
  <c r="J527" i="18"/>
  <c r="J528" i="18"/>
  <c r="J529" i="18"/>
  <c r="J530" i="18"/>
  <c r="J531" i="18"/>
  <c r="J532" i="18"/>
  <c r="J533" i="18"/>
  <c r="J534" i="18"/>
  <c r="J535" i="18"/>
  <c r="J536" i="18"/>
  <c r="J537" i="18"/>
  <c r="J538" i="18"/>
  <c r="J539" i="18"/>
  <c r="J540" i="18"/>
  <c r="J541" i="18"/>
  <c r="J542" i="18"/>
  <c r="J543" i="18"/>
  <c r="J544" i="18"/>
  <c r="J545" i="18"/>
  <c r="J546" i="18"/>
  <c r="J547" i="18"/>
  <c r="J548" i="18"/>
  <c r="J549" i="18"/>
  <c r="J550" i="18"/>
  <c r="J551" i="18"/>
  <c r="J552" i="18"/>
  <c r="J553" i="18"/>
  <c r="J554" i="18"/>
  <c r="J555" i="18"/>
  <c r="J556" i="18"/>
  <c r="J557" i="18"/>
  <c r="J558" i="18"/>
  <c r="J559" i="18"/>
  <c r="J560" i="18"/>
  <c r="J561" i="18"/>
  <c r="J562" i="18"/>
  <c r="J563" i="18"/>
  <c r="J564" i="18"/>
  <c r="J565" i="18"/>
  <c r="J566" i="18"/>
  <c r="J567" i="18"/>
  <c r="J568" i="18"/>
  <c r="J569" i="18"/>
  <c r="J570" i="18"/>
  <c r="J571" i="18"/>
  <c r="J572" i="18"/>
  <c r="J573" i="18"/>
  <c r="J574" i="18"/>
  <c r="J575" i="18"/>
  <c r="J576" i="18"/>
  <c r="J577" i="18"/>
  <c r="J578" i="18"/>
  <c r="J579" i="18"/>
  <c r="J580" i="18"/>
  <c r="J581" i="18"/>
  <c r="J582" i="18"/>
  <c r="J583" i="18"/>
  <c r="J584" i="18"/>
  <c r="J585" i="18"/>
  <c r="J586" i="18"/>
  <c r="J587" i="18"/>
  <c r="J588" i="18"/>
  <c r="J589" i="18"/>
  <c r="J590" i="18"/>
  <c r="J591" i="18"/>
  <c r="J592" i="18"/>
  <c r="J593" i="18"/>
  <c r="J594" i="18"/>
  <c r="J595" i="18"/>
  <c r="J596" i="18"/>
  <c r="J597" i="18"/>
  <c r="J598" i="18"/>
  <c r="J599" i="18"/>
  <c r="J600" i="18"/>
  <c r="J601" i="18"/>
  <c r="J602" i="18"/>
  <c r="J603" i="18"/>
  <c r="J604" i="18"/>
  <c r="J605" i="18"/>
  <c r="J606" i="18"/>
  <c r="J607" i="18"/>
  <c r="J608" i="18"/>
  <c r="J609" i="18"/>
  <c r="J610" i="18"/>
  <c r="J611" i="18"/>
  <c r="J612" i="18"/>
  <c r="J613" i="18"/>
  <c r="J614" i="18"/>
  <c r="J615" i="18"/>
  <c r="J616" i="18"/>
  <c r="J617" i="18"/>
  <c r="J618" i="18"/>
  <c r="J619" i="18"/>
  <c r="J620" i="18"/>
  <c r="J621" i="18"/>
  <c r="J622" i="18"/>
  <c r="J623" i="18"/>
  <c r="J624" i="18"/>
  <c r="J625" i="18"/>
  <c r="J626" i="18"/>
  <c r="J627" i="18"/>
  <c r="J628" i="18"/>
  <c r="J629" i="18"/>
  <c r="J630" i="18"/>
  <c r="J631" i="18"/>
  <c r="J632" i="18"/>
  <c r="J633" i="18"/>
  <c r="J634" i="18"/>
  <c r="J635" i="18"/>
  <c r="J636" i="18"/>
  <c r="J637" i="18"/>
  <c r="J638" i="18"/>
  <c r="J639" i="18"/>
  <c r="J640" i="18"/>
  <c r="J641" i="18"/>
  <c r="J642" i="18"/>
  <c r="J643" i="18"/>
  <c r="J644" i="18"/>
  <c r="J645" i="18"/>
  <c r="J646" i="18"/>
  <c r="J647" i="18"/>
  <c r="J648" i="18"/>
  <c r="J649" i="18"/>
  <c r="J650" i="18"/>
  <c r="J651" i="18"/>
  <c r="J652" i="18"/>
  <c r="J653" i="18"/>
  <c r="J654" i="18"/>
  <c r="J655" i="18"/>
  <c r="J656" i="18"/>
  <c r="J657" i="18"/>
  <c r="J658" i="18"/>
  <c r="J659" i="18"/>
  <c r="J660" i="18"/>
  <c r="J661" i="18"/>
  <c r="J662" i="18"/>
  <c r="J663" i="18"/>
  <c r="J664" i="18"/>
  <c r="J665" i="18"/>
  <c r="J666" i="18"/>
  <c r="J667" i="18"/>
  <c r="J668" i="18"/>
  <c r="J669" i="18"/>
  <c r="J670" i="18"/>
  <c r="J671" i="18"/>
  <c r="J672" i="18"/>
  <c r="J673" i="18"/>
  <c r="J674" i="18"/>
  <c r="J675" i="18"/>
  <c r="J676" i="18"/>
  <c r="J677" i="18"/>
  <c r="J678" i="18"/>
  <c r="J679" i="18"/>
  <c r="J680" i="18"/>
  <c r="J681" i="18"/>
  <c r="J682" i="18"/>
  <c r="J683" i="18"/>
  <c r="J684" i="18"/>
  <c r="J685" i="18"/>
  <c r="J686" i="18"/>
  <c r="J687" i="18"/>
  <c r="J688" i="18"/>
  <c r="J689" i="18"/>
  <c r="J690" i="18"/>
  <c r="J691" i="18"/>
  <c r="J692" i="18"/>
  <c r="J693" i="18"/>
  <c r="J694" i="18"/>
  <c r="J695" i="18"/>
  <c r="J696" i="18"/>
  <c r="J697" i="18"/>
  <c r="J698" i="18"/>
  <c r="J699" i="18"/>
  <c r="J700" i="18"/>
  <c r="J701" i="18"/>
  <c r="J702" i="18"/>
  <c r="J703" i="18"/>
  <c r="J704" i="18"/>
  <c r="J705" i="18"/>
  <c r="J706" i="18"/>
  <c r="J707" i="18"/>
  <c r="J708" i="18"/>
  <c r="J709" i="18"/>
  <c r="J710" i="18"/>
  <c r="J711" i="18"/>
  <c r="J712" i="18"/>
  <c r="J713" i="18"/>
  <c r="J714" i="18"/>
  <c r="J715" i="18"/>
  <c r="J716" i="18"/>
  <c r="J717" i="18"/>
  <c r="J718" i="18"/>
  <c r="J719" i="18"/>
  <c r="J720" i="18"/>
  <c r="J721" i="18"/>
  <c r="J722" i="18"/>
  <c r="J723" i="18"/>
  <c r="J724" i="18"/>
  <c r="J725" i="18"/>
  <c r="J726" i="18"/>
  <c r="J727" i="18"/>
  <c r="J728" i="18"/>
  <c r="J729" i="18"/>
  <c r="J730" i="18"/>
  <c r="J731" i="18"/>
  <c r="J732" i="18"/>
  <c r="J733" i="18"/>
  <c r="J734" i="18"/>
  <c r="J735" i="18"/>
  <c r="J736" i="18"/>
  <c r="J737" i="18"/>
  <c r="J738" i="18"/>
  <c r="J739" i="18"/>
  <c r="J740" i="18"/>
  <c r="J741" i="18"/>
  <c r="J742" i="18"/>
  <c r="J743" i="18"/>
  <c r="J744" i="18"/>
  <c r="J745" i="18"/>
  <c r="J746" i="18"/>
  <c r="J747" i="18"/>
  <c r="J748" i="18"/>
  <c r="J749" i="18"/>
  <c r="J750" i="18"/>
  <c r="J751" i="18"/>
  <c r="J752" i="18"/>
  <c r="J753" i="18"/>
  <c r="J754" i="18"/>
  <c r="J755" i="18"/>
  <c r="J756" i="18"/>
  <c r="J757" i="18"/>
  <c r="J758" i="18"/>
  <c r="J759" i="18"/>
  <c r="J760" i="18"/>
  <c r="J761" i="18"/>
  <c r="J762" i="18"/>
  <c r="J763" i="18"/>
  <c r="J764" i="18"/>
  <c r="J765" i="18"/>
  <c r="J766" i="18"/>
  <c r="J767" i="18"/>
  <c r="J768" i="18"/>
  <c r="J769" i="18"/>
  <c r="J770" i="18"/>
  <c r="J771" i="18"/>
  <c r="J772" i="18"/>
  <c r="J773" i="18"/>
  <c r="J774" i="18"/>
  <c r="J775" i="18"/>
  <c r="J776" i="18"/>
  <c r="J777" i="18"/>
  <c r="J778" i="18"/>
  <c r="J779" i="18"/>
  <c r="J780" i="18"/>
  <c r="J781" i="18"/>
  <c r="J782" i="18"/>
  <c r="J783" i="18"/>
  <c r="J784" i="18"/>
  <c r="J785" i="18"/>
  <c r="J786" i="18"/>
  <c r="J787" i="18"/>
  <c r="J788" i="18"/>
  <c r="J789" i="18"/>
  <c r="J790" i="18"/>
  <c r="J791" i="18"/>
  <c r="J792" i="18"/>
  <c r="J793" i="18"/>
  <c r="J794" i="18"/>
  <c r="J795" i="18"/>
  <c r="J796" i="18"/>
  <c r="J797" i="18"/>
  <c r="J798" i="18"/>
  <c r="J799" i="18"/>
  <c r="J800" i="18"/>
  <c r="J801" i="18"/>
  <c r="J802" i="18"/>
  <c r="J803" i="18"/>
  <c r="J804" i="18"/>
  <c r="J805" i="18"/>
  <c r="J806" i="18"/>
  <c r="J807" i="18"/>
  <c r="J808" i="18"/>
  <c r="J809" i="18"/>
  <c r="J810" i="18"/>
  <c r="J811" i="18"/>
  <c r="J812" i="18"/>
  <c r="J813" i="18"/>
  <c r="J814" i="18"/>
  <c r="J815" i="18"/>
  <c r="J816" i="18"/>
  <c r="J817" i="18"/>
  <c r="J818" i="18"/>
  <c r="J819" i="18"/>
  <c r="J820" i="18"/>
  <c r="J821" i="18"/>
  <c r="J822" i="18"/>
  <c r="J823" i="18"/>
  <c r="J824" i="18"/>
  <c r="J825" i="18"/>
  <c r="J826" i="18"/>
  <c r="J827" i="18"/>
  <c r="J828" i="18"/>
  <c r="J829" i="18"/>
  <c r="J830" i="18"/>
  <c r="J831" i="18"/>
  <c r="J832" i="18"/>
  <c r="J833" i="18"/>
  <c r="J834" i="18"/>
  <c r="J835" i="18"/>
  <c r="J836" i="18"/>
  <c r="J837" i="18"/>
  <c r="J838" i="18"/>
  <c r="J839" i="18"/>
  <c r="J840" i="18"/>
  <c r="J841" i="18"/>
  <c r="J842" i="18"/>
  <c r="J843" i="18"/>
  <c r="J844" i="18"/>
  <c r="J845" i="18"/>
  <c r="J846" i="18"/>
  <c r="J847" i="18"/>
  <c r="J848" i="18"/>
  <c r="J849" i="18"/>
  <c r="J850" i="18"/>
  <c r="J851" i="18"/>
  <c r="J852" i="18"/>
  <c r="J853" i="18"/>
  <c r="J854" i="18"/>
  <c r="J855" i="18"/>
  <c r="J856" i="18"/>
  <c r="J857" i="18"/>
  <c r="J858" i="18"/>
  <c r="J859" i="18"/>
  <c r="J860" i="18"/>
  <c r="J861" i="18"/>
  <c r="J862" i="18"/>
  <c r="J863" i="18"/>
  <c r="J864" i="18"/>
  <c r="J865" i="18"/>
  <c r="J866" i="18"/>
  <c r="J867" i="18"/>
  <c r="J868" i="18"/>
  <c r="J869" i="18"/>
  <c r="J870" i="18"/>
  <c r="J871" i="18"/>
  <c r="J872" i="18"/>
  <c r="J873" i="18"/>
  <c r="J874" i="18"/>
  <c r="J875" i="18"/>
  <c r="J876" i="18"/>
  <c r="J877" i="18"/>
  <c r="J878" i="18"/>
  <c r="J879" i="18"/>
  <c r="J880" i="18"/>
  <c r="J881" i="18"/>
  <c r="J882" i="18"/>
  <c r="J883" i="18"/>
  <c r="J884" i="18"/>
  <c r="J885" i="18"/>
  <c r="J886" i="18"/>
  <c r="J887" i="18"/>
  <c r="J888" i="18"/>
  <c r="J889" i="18"/>
  <c r="J890" i="18"/>
  <c r="J891" i="18"/>
  <c r="J892" i="18"/>
  <c r="J893" i="18"/>
  <c r="J894" i="18"/>
  <c r="J895" i="18"/>
  <c r="J896" i="18"/>
  <c r="J897" i="18"/>
  <c r="J898" i="18"/>
  <c r="J899" i="18"/>
  <c r="J900" i="18"/>
  <c r="J901" i="18"/>
  <c r="J902" i="18"/>
  <c r="J903" i="18"/>
  <c r="J904" i="18"/>
  <c r="J905" i="18"/>
  <c r="J906" i="18"/>
  <c r="J907" i="18"/>
  <c r="J908" i="18"/>
  <c r="J909" i="18"/>
  <c r="J910" i="18"/>
  <c r="J911" i="18"/>
  <c r="J912" i="18"/>
  <c r="J913" i="18"/>
  <c r="J914" i="18"/>
  <c r="J915" i="18"/>
  <c r="J916" i="18"/>
  <c r="J917" i="18"/>
  <c r="J918" i="18"/>
  <c r="J919" i="18"/>
  <c r="J920" i="18"/>
  <c r="J921" i="18"/>
  <c r="J922" i="18"/>
  <c r="J923" i="18"/>
  <c r="J924" i="18"/>
  <c r="J925" i="18"/>
  <c r="J926" i="18"/>
  <c r="J927" i="18"/>
  <c r="J928" i="18"/>
  <c r="J929" i="18"/>
  <c r="J930" i="18"/>
  <c r="J931" i="18"/>
  <c r="J932" i="18"/>
  <c r="J933" i="18"/>
  <c r="J934" i="18"/>
  <c r="J935" i="18"/>
  <c r="J936" i="18"/>
  <c r="J937" i="18"/>
  <c r="J938" i="18"/>
  <c r="J939" i="18"/>
  <c r="J940" i="18"/>
  <c r="J941" i="18"/>
  <c r="J942" i="18"/>
  <c r="J943" i="18"/>
  <c r="J944" i="18"/>
  <c r="J945" i="18"/>
  <c r="J946" i="18"/>
  <c r="J947" i="18"/>
  <c r="J948" i="18"/>
  <c r="J949" i="18"/>
  <c r="J950" i="18"/>
  <c r="J951" i="18"/>
  <c r="J952" i="18"/>
  <c r="J953" i="18"/>
  <c r="J954" i="18"/>
  <c r="J955" i="18"/>
  <c r="J956" i="18"/>
  <c r="J957" i="18"/>
  <c r="J958" i="18"/>
  <c r="J959" i="18"/>
  <c r="J960" i="18"/>
  <c r="J961" i="18"/>
  <c r="J962" i="18"/>
  <c r="J963" i="18"/>
  <c r="J964" i="18"/>
  <c r="J965" i="18"/>
  <c r="J966" i="18"/>
  <c r="J967" i="18"/>
  <c r="J968" i="18"/>
  <c r="J969" i="18"/>
  <c r="J970" i="18"/>
  <c r="J971" i="18"/>
  <c r="J972" i="18"/>
  <c r="J973" i="18"/>
  <c r="J974" i="18"/>
  <c r="J975" i="18"/>
  <c r="J976" i="18"/>
  <c r="J977" i="18"/>
  <c r="J978" i="18"/>
  <c r="J979" i="18"/>
  <c r="J980" i="18"/>
  <c r="J981" i="18"/>
  <c r="J982" i="18"/>
  <c r="J983" i="18"/>
  <c r="J984" i="18"/>
  <c r="J985" i="18"/>
  <c r="J986" i="18"/>
  <c r="J987" i="18"/>
  <c r="J988" i="18"/>
  <c r="J989" i="18"/>
  <c r="J990" i="18"/>
  <c r="J991" i="18"/>
  <c r="J992" i="18"/>
  <c r="J993" i="18"/>
  <c r="J994" i="18"/>
  <c r="J995" i="18"/>
  <c r="J996" i="18"/>
  <c r="J997" i="18"/>
  <c r="J998" i="18"/>
  <c r="J999" i="18"/>
  <c r="J1000" i="18"/>
  <c r="J1001" i="18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19" i="18"/>
  <c r="I420" i="18"/>
  <c r="I421" i="18"/>
  <c r="I422" i="18"/>
  <c r="I423" i="18"/>
  <c r="I424" i="18"/>
  <c r="I425" i="18"/>
  <c r="I426" i="18"/>
  <c r="I427" i="18"/>
  <c r="I428" i="18"/>
  <c r="I429" i="18"/>
  <c r="I430" i="18"/>
  <c r="I431" i="18"/>
  <c r="I432" i="18"/>
  <c r="I433" i="18"/>
  <c r="I434" i="18"/>
  <c r="I435" i="18"/>
  <c r="I436" i="18"/>
  <c r="I437" i="18"/>
  <c r="I438" i="18"/>
  <c r="I439" i="18"/>
  <c r="I440" i="18"/>
  <c r="I441" i="18"/>
  <c r="I442" i="18"/>
  <c r="I443" i="18"/>
  <c r="I444" i="18"/>
  <c r="I445" i="18"/>
  <c r="I446" i="18"/>
  <c r="I447" i="18"/>
  <c r="I448" i="18"/>
  <c r="I449" i="18"/>
  <c r="I450" i="18"/>
  <c r="I451" i="18"/>
  <c r="I452" i="18"/>
  <c r="I453" i="18"/>
  <c r="I454" i="18"/>
  <c r="I455" i="18"/>
  <c r="I456" i="18"/>
  <c r="I457" i="18"/>
  <c r="I458" i="18"/>
  <c r="I459" i="18"/>
  <c r="I460" i="18"/>
  <c r="I461" i="18"/>
  <c r="I462" i="18"/>
  <c r="I463" i="18"/>
  <c r="I464" i="18"/>
  <c r="I465" i="18"/>
  <c r="I466" i="18"/>
  <c r="I467" i="18"/>
  <c r="I468" i="18"/>
  <c r="I469" i="18"/>
  <c r="I470" i="18"/>
  <c r="I471" i="18"/>
  <c r="I472" i="18"/>
  <c r="I473" i="18"/>
  <c r="I474" i="18"/>
  <c r="I475" i="18"/>
  <c r="I476" i="18"/>
  <c r="I477" i="18"/>
  <c r="I478" i="18"/>
  <c r="I479" i="18"/>
  <c r="I480" i="18"/>
  <c r="I481" i="18"/>
  <c r="I482" i="18"/>
  <c r="I483" i="18"/>
  <c r="I484" i="18"/>
  <c r="I485" i="18"/>
  <c r="I486" i="18"/>
  <c r="I487" i="18"/>
  <c r="I488" i="18"/>
  <c r="I489" i="18"/>
  <c r="I490" i="18"/>
  <c r="I491" i="18"/>
  <c r="I492" i="18"/>
  <c r="I493" i="18"/>
  <c r="I494" i="18"/>
  <c r="I495" i="18"/>
  <c r="I496" i="18"/>
  <c r="I497" i="18"/>
  <c r="I498" i="18"/>
  <c r="I499" i="18"/>
  <c r="I500" i="18"/>
  <c r="I501" i="18"/>
  <c r="I502" i="18"/>
  <c r="I503" i="18"/>
  <c r="I504" i="18"/>
  <c r="I505" i="18"/>
  <c r="I506" i="18"/>
  <c r="I507" i="18"/>
  <c r="I508" i="18"/>
  <c r="I509" i="18"/>
  <c r="I510" i="18"/>
  <c r="I511" i="18"/>
  <c r="I512" i="18"/>
  <c r="I513" i="18"/>
  <c r="I514" i="18"/>
  <c r="I515" i="18"/>
  <c r="I516" i="18"/>
  <c r="I517" i="18"/>
  <c r="I518" i="18"/>
  <c r="I519" i="18"/>
  <c r="I520" i="18"/>
  <c r="I521" i="18"/>
  <c r="I522" i="18"/>
  <c r="I523" i="18"/>
  <c r="I524" i="18"/>
  <c r="I525" i="18"/>
  <c r="I526" i="18"/>
  <c r="I527" i="18"/>
  <c r="I528" i="18"/>
  <c r="I529" i="18"/>
  <c r="I530" i="18"/>
  <c r="I531" i="18"/>
  <c r="I532" i="18"/>
  <c r="I533" i="18"/>
  <c r="I534" i="18"/>
  <c r="I535" i="18"/>
  <c r="I536" i="18"/>
  <c r="I537" i="18"/>
  <c r="I538" i="18"/>
  <c r="I539" i="18"/>
  <c r="I540" i="18"/>
  <c r="I541" i="18"/>
  <c r="I542" i="18"/>
  <c r="I543" i="18"/>
  <c r="I544" i="18"/>
  <c r="I545" i="18"/>
  <c r="I546" i="18"/>
  <c r="I547" i="18"/>
  <c r="I548" i="18"/>
  <c r="I549" i="18"/>
  <c r="I550" i="18"/>
  <c r="I551" i="18"/>
  <c r="I552" i="18"/>
  <c r="I553" i="18"/>
  <c r="I554" i="18"/>
  <c r="I555" i="18"/>
  <c r="I556" i="18"/>
  <c r="I557" i="18"/>
  <c r="I558" i="18"/>
  <c r="I559" i="18"/>
  <c r="I560" i="18"/>
  <c r="I561" i="18"/>
  <c r="I562" i="18"/>
  <c r="I563" i="18"/>
  <c r="I564" i="18"/>
  <c r="I565" i="18"/>
  <c r="I566" i="18"/>
  <c r="I567" i="18"/>
  <c r="I568" i="18"/>
  <c r="I569" i="18"/>
  <c r="I570" i="18"/>
  <c r="I571" i="18"/>
  <c r="I572" i="18"/>
  <c r="I573" i="18"/>
  <c r="I574" i="18"/>
  <c r="I575" i="18"/>
  <c r="I576" i="18"/>
  <c r="I577" i="18"/>
  <c r="I578" i="18"/>
  <c r="I579" i="18"/>
  <c r="I580" i="18"/>
  <c r="I581" i="18"/>
  <c r="I582" i="18"/>
  <c r="I583" i="18"/>
  <c r="I584" i="18"/>
  <c r="I585" i="18"/>
  <c r="I586" i="18"/>
  <c r="I587" i="18"/>
  <c r="I588" i="18"/>
  <c r="I589" i="18"/>
  <c r="I590" i="18"/>
  <c r="I591" i="18"/>
  <c r="I592" i="18"/>
  <c r="I593" i="18"/>
  <c r="I594" i="18"/>
  <c r="I595" i="18"/>
  <c r="I596" i="18"/>
  <c r="I597" i="18"/>
  <c r="I598" i="18"/>
  <c r="I599" i="18"/>
  <c r="I600" i="18"/>
  <c r="I601" i="18"/>
  <c r="I602" i="18"/>
  <c r="I603" i="18"/>
  <c r="I604" i="18"/>
  <c r="I605" i="18"/>
  <c r="I606" i="18"/>
  <c r="I607" i="18"/>
  <c r="I608" i="18"/>
  <c r="I609" i="18"/>
  <c r="I610" i="18"/>
  <c r="I611" i="18"/>
  <c r="I612" i="18"/>
  <c r="I613" i="18"/>
  <c r="I614" i="18"/>
  <c r="I615" i="18"/>
  <c r="I616" i="18"/>
  <c r="I617" i="18"/>
  <c r="I618" i="18"/>
  <c r="I619" i="18"/>
  <c r="I620" i="18"/>
  <c r="I621" i="18"/>
  <c r="I622" i="18"/>
  <c r="I623" i="18"/>
  <c r="I624" i="18"/>
  <c r="I625" i="18"/>
  <c r="I626" i="18"/>
  <c r="I627" i="18"/>
  <c r="I628" i="18"/>
  <c r="I629" i="18"/>
  <c r="I630" i="18"/>
  <c r="I631" i="18"/>
  <c r="I632" i="18"/>
  <c r="I633" i="18"/>
  <c r="I634" i="18"/>
  <c r="I635" i="18"/>
  <c r="I636" i="18"/>
  <c r="I637" i="18"/>
  <c r="I638" i="18"/>
  <c r="I639" i="18"/>
  <c r="I640" i="18"/>
  <c r="I641" i="18"/>
  <c r="I642" i="18"/>
  <c r="I643" i="18"/>
  <c r="I644" i="18"/>
  <c r="I645" i="18"/>
  <c r="I646" i="18"/>
  <c r="I647" i="18"/>
  <c r="I648" i="18"/>
  <c r="I649" i="18"/>
  <c r="I650" i="18"/>
  <c r="I651" i="18"/>
  <c r="I652" i="18"/>
  <c r="I653" i="18"/>
  <c r="I654" i="18"/>
  <c r="I655" i="18"/>
  <c r="I656" i="18"/>
  <c r="I657" i="18"/>
  <c r="I658" i="18"/>
  <c r="I659" i="18"/>
  <c r="I660" i="18"/>
  <c r="I661" i="18"/>
  <c r="I662" i="18"/>
  <c r="I663" i="18"/>
  <c r="I664" i="18"/>
  <c r="I665" i="18"/>
  <c r="I666" i="18"/>
  <c r="I667" i="18"/>
  <c r="I668" i="18"/>
  <c r="I669" i="18"/>
  <c r="I670" i="18"/>
  <c r="I671" i="18"/>
  <c r="I672" i="18"/>
  <c r="I673" i="18"/>
  <c r="I674" i="18"/>
  <c r="I675" i="18"/>
  <c r="I676" i="18"/>
  <c r="I677" i="18"/>
  <c r="I678" i="18"/>
  <c r="I679" i="18"/>
  <c r="I680" i="18"/>
  <c r="I681" i="18"/>
  <c r="I682" i="18"/>
  <c r="I683" i="18"/>
  <c r="I684" i="18"/>
  <c r="I685" i="18"/>
  <c r="I686" i="18"/>
  <c r="I687" i="18"/>
  <c r="I688" i="18"/>
  <c r="I689" i="18"/>
  <c r="I690" i="18"/>
  <c r="I691" i="18"/>
  <c r="I692" i="18"/>
  <c r="I693" i="18"/>
  <c r="I694" i="18"/>
  <c r="I695" i="18"/>
  <c r="I696" i="18"/>
  <c r="I697" i="18"/>
  <c r="I698" i="18"/>
  <c r="I699" i="18"/>
  <c r="I700" i="18"/>
  <c r="I701" i="18"/>
  <c r="I702" i="18"/>
  <c r="I703" i="18"/>
  <c r="I704" i="18"/>
  <c r="I705" i="18"/>
  <c r="I706" i="18"/>
  <c r="I707" i="18"/>
  <c r="I708" i="18"/>
  <c r="I709" i="18"/>
  <c r="I710" i="18"/>
  <c r="I711" i="18"/>
  <c r="I712" i="18"/>
  <c r="I713" i="18"/>
  <c r="I714" i="18"/>
  <c r="I715" i="18"/>
  <c r="I716" i="18"/>
  <c r="I717" i="18"/>
  <c r="I718" i="18"/>
  <c r="I719" i="18"/>
  <c r="I720" i="18"/>
  <c r="I721" i="18"/>
  <c r="I722" i="18"/>
  <c r="I723" i="18"/>
  <c r="I724" i="18"/>
  <c r="I725" i="18"/>
  <c r="I726" i="18"/>
  <c r="I727" i="18"/>
  <c r="I728" i="18"/>
  <c r="I729" i="18"/>
  <c r="I730" i="18"/>
  <c r="I731" i="18"/>
  <c r="I732" i="18"/>
  <c r="I733" i="18"/>
  <c r="I734" i="18"/>
  <c r="I735" i="18"/>
  <c r="I736" i="18"/>
  <c r="I737" i="18"/>
  <c r="I738" i="18"/>
  <c r="I739" i="18"/>
  <c r="I740" i="18"/>
  <c r="I741" i="18"/>
  <c r="I742" i="18"/>
  <c r="I743" i="18"/>
  <c r="I744" i="18"/>
  <c r="I745" i="18"/>
  <c r="I746" i="18"/>
  <c r="I747" i="18"/>
  <c r="I748" i="18"/>
  <c r="I749" i="18"/>
  <c r="I750" i="18"/>
  <c r="I751" i="18"/>
  <c r="I752" i="18"/>
  <c r="I753" i="18"/>
  <c r="I754" i="18"/>
  <c r="I755" i="18"/>
  <c r="I756" i="18"/>
  <c r="I757" i="18"/>
  <c r="I758" i="18"/>
  <c r="I759" i="18"/>
  <c r="I760" i="18"/>
  <c r="I761" i="18"/>
  <c r="I762" i="18"/>
  <c r="I763" i="18"/>
  <c r="I764" i="18"/>
  <c r="I765" i="18"/>
  <c r="I766" i="18"/>
  <c r="I767" i="18"/>
  <c r="I768" i="18"/>
  <c r="I769" i="18"/>
  <c r="I770" i="18"/>
  <c r="I771" i="18"/>
  <c r="I772" i="18"/>
  <c r="I773" i="18"/>
  <c r="I774" i="18"/>
  <c r="I775" i="18"/>
  <c r="I776" i="18"/>
  <c r="I777" i="18"/>
  <c r="I778" i="18"/>
  <c r="I779" i="18"/>
  <c r="I780" i="18"/>
  <c r="I781" i="18"/>
  <c r="I782" i="18"/>
  <c r="I783" i="18"/>
  <c r="I784" i="18"/>
  <c r="I785" i="18"/>
  <c r="I786" i="18"/>
  <c r="I787" i="18"/>
  <c r="I788" i="18"/>
  <c r="I789" i="18"/>
  <c r="I790" i="18"/>
  <c r="I791" i="18"/>
  <c r="I792" i="18"/>
  <c r="I793" i="18"/>
  <c r="I794" i="18"/>
  <c r="I795" i="18"/>
  <c r="I796" i="18"/>
  <c r="I797" i="18"/>
  <c r="I798" i="18"/>
  <c r="I799" i="18"/>
  <c r="I800" i="18"/>
  <c r="I801" i="18"/>
  <c r="I802" i="18"/>
  <c r="I803" i="18"/>
  <c r="I804" i="18"/>
  <c r="I805" i="18"/>
  <c r="I806" i="18"/>
  <c r="I807" i="18"/>
  <c r="I808" i="18"/>
  <c r="I809" i="18"/>
  <c r="I810" i="18"/>
  <c r="I811" i="18"/>
  <c r="I812" i="18"/>
  <c r="I813" i="18"/>
  <c r="I814" i="18"/>
  <c r="I815" i="18"/>
  <c r="I816" i="18"/>
  <c r="I817" i="18"/>
  <c r="I818" i="18"/>
  <c r="I819" i="18"/>
  <c r="I820" i="18"/>
  <c r="I821" i="18"/>
  <c r="I822" i="18"/>
  <c r="I823" i="18"/>
  <c r="I824" i="18"/>
  <c r="I825" i="18"/>
  <c r="I826" i="18"/>
  <c r="I827" i="18"/>
  <c r="I828" i="18"/>
  <c r="I829" i="18"/>
  <c r="I830" i="18"/>
  <c r="I831" i="18"/>
  <c r="I832" i="18"/>
  <c r="I833" i="18"/>
  <c r="I834" i="18"/>
  <c r="I835" i="18"/>
  <c r="I836" i="18"/>
  <c r="I837" i="18"/>
  <c r="I838" i="18"/>
  <c r="I839" i="18"/>
  <c r="I840" i="18"/>
  <c r="I841" i="18"/>
  <c r="I842" i="18"/>
  <c r="I843" i="18"/>
  <c r="I844" i="18"/>
  <c r="I845" i="18"/>
  <c r="I846" i="18"/>
  <c r="I847" i="18"/>
  <c r="I848" i="18"/>
  <c r="I849" i="18"/>
  <c r="I850" i="18"/>
  <c r="I851" i="18"/>
  <c r="I852" i="18"/>
  <c r="I853" i="18"/>
  <c r="I854" i="18"/>
  <c r="I855" i="18"/>
  <c r="I856" i="18"/>
  <c r="I857" i="18"/>
  <c r="I858" i="18"/>
  <c r="I859" i="18"/>
  <c r="I860" i="18"/>
  <c r="I861" i="18"/>
  <c r="I862" i="18"/>
  <c r="I863" i="18"/>
  <c r="I864" i="18"/>
  <c r="I865" i="18"/>
  <c r="I866" i="18"/>
  <c r="I867" i="18"/>
  <c r="I868" i="18"/>
  <c r="I869" i="18"/>
  <c r="I870" i="18"/>
  <c r="I871" i="18"/>
  <c r="I872" i="18"/>
  <c r="I873" i="18"/>
  <c r="I874" i="18"/>
  <c r="I875" i="18"/>
  <c r="I876" i="18"/>
  <c r="I877" i="18"/>
  <c r="I878" i="18"/>
  <c r="I879" i="18"/>
  <c r="I880" i="18"/>
  <c r="I881" i="18"/>
  <c r="I882" i="18"/>
  <c r="I883" i="18"/>
  <c r="I884" i="18"/>
  <c r="I885" i="18"/>
  <c r="I886" i="18"/>
  <c r="I887" i="18"/>
  <c r="I888" i="18"/>
  <c r="I889" i="18"/>
  <c r="I890" i="18"/>
  <c r="I891" i="18"/>
  <c r="I892" i="18"/>
  <c r="I893" i="18"/>
  <c r="I894" i="18"/>
  <c r="I895" i="18"/>
  <c r="I896" i="18"/>
  <c r="I897" i="18"/>
  <c r="I898" i="18"/>
  <c r="I899" i="18"/>
  <c r="I900" i="18"/>
  <c r="I901" i="18"/>
  <c r="I902" i="18"/>
  <c r="I903" i="18"/>
  <c r="I904" i="18"/>
  <c r="I905" i="18"/>
  <c r="I906" i="18"/>
  <c r="I907" i="18"/>
  <c r="I908" i="18"/>
  <c r="I909" i="18"/>
  <c r="I910" i="18"/>
  <c r="I911" i="18"/>
  <c r="I912" i="18"/>
  <c r="I913" i="18"/>
  <c r="I914" i="18"/>
  <c r="I915" i="18"/>
  <c r="I916" i="18"/>
  <c r="I917" i="18"/>
  <c r="I918" i="18"/>
  <c r="I919" i="18"/>
  <c r="I920" i="18"/>
  <c r="I921" i="18"/>
  <c r="I922" i="18"/>
  <c r="I923" i="18"/>
  <c r="I924" i="18"/>
  <c r="I925" i="18"/>
  <c r="I926" i="18"/>
  <c r="I927" i="18"/>
  <c r="I928" i="18"/>
  <c r="I929" i="18"/>
  <c r="I930" i="18"/>
  <c r="I931" i="18"/>
  <c r="I932" i="18"/>
  <c r="I933" i="18"/>
  <c r="I934" i="18"/>
  <c r="I935" i="18"/>
  <c r="I936" i="18"/>
  <c r="I937" i="18"/>
  <c r="I938" i="18"/>
  <c r="I939" i="18"/>
  <c r="I940" i="18"/>
  <c r="I941" i="18"/>
  <c r="I942" i="18"/>
  <c r="I943" i="18"/>
  <c r="I944" i="18"/>
  <c r="I945" i="18"/>
  <c r="I946" i="18"/>
  <c r="I947" i="18"/>
  <c r="I948" i="18"/>
  <c r="I949" i="18"/>
  <c r="I950" i="18"/>
  <c r="I951" i="18"/>
  <c r="I952" i="18"/>
  <c r="I953" i="18"/>
  <c r="I954" i="18"/>
  <c r="I955" i="18"/>
  <c r="I956" i="18"/>
  <c r="I957" i="18"/>
  <c r="I958" i="18"/>
  <c r="I959" i="18"/>
  <c r="I960" i="18"/>
  <c r="I961" i="18"/>
  <c r="I962" i="18"/>
  <c r="I963" i="18"/>
  <c r="I964" i="18"/>
  <c r="I965" i="18"/>
  <c r="I966" i="18"/>
  <c r="I967" i="18"/>
  <c r="I968" i="18"/>
  <c r="I969" i="18"/>
  <c r="I970" i="18"/>
  <c r="I971" i="18"/>
  <c r="I972" i="18"/>
  <c r="I973" i="18"/>
  <c r="I974" i="18"/>
  <c r="I975" i="18"/>
  <c r="I976" i="18"/>
  <c r="I977" i="18"/>
  <c r="I978" i="18"/>
  <c r="I979" i="18"/>
  <c r="I980" i="18"/>
  <c r="I981" i="18"/>
  <c r="I982" i="18"/>
  <c r="I983" i="18"/>
  <c r="I984" i="18"/>
  <c r="I985" i="18"/>
  <c r="I986" i="18"/>
  <c r="I987" i="18"/>
  <c r="I988" i="18"/>
  <c r="I989" i="18"/>
  <c r="I990" i="18"/>
  <c r="I991" i="18"/>
  <c r="I992" i="18"/>
  <c r="I993" i="18"/>
  <c r="I994" i="18"/>
  <c r="I995" i="18"/>
  <c r="I996" i="18"/>
  <c r="I997" i="18"/>
  <c r="I998" i="18"/>
  <c r="I999" i="18"/>
  <c r="I1000" i="18"/>
  <c r="I100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M2" i="18"/>
  <c r="L2" i="18"/>
  <c r="J2" i="18"/>
  <c r="I2" i="18"/>
  <c r="H2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6" i="18"/>
  <c r="H207" i="18"/>
  <c r="H208" i="18"/>
  <c r="H209" i="18"/>
  <c r="H210" i="18"/>
  <c r="H211" i="18"/>
  <c r="H212" i="18"/>
  <c r="H213" i="18"/>
  <c r="H214" i="18"/>
  <c r="H215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4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59" i="18"/>
  <c r="H260" i="18"/>
  <c r="H261" i="18"/>
  <c r="H262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0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0" i="18"/>
  <c r="H301" i="18"/>
  <c r="H302" i="18"/>
  <c r="H303" i="18"/>
  <c r="H304" i="18"/>
  <c r="H305" i="18"/>
  <c r="H306" i="18"/>
  <c r="H307" i="18"/>
  <c r="H308" i="18"/>
  <c r="H309" i="18"/>
  <c r="H310" i="18"/>
  <c r="H311" i="18"/>
  <c r="H312" i="18"/>
  <c r="H313" i="18"/>
  <c r="H314" i="18"/>
  <c r="H315" i="18"/>
  <c r="H316" i="18"/>
  <c r="H317" i="18"/>
  <c r="H318" i="18"/>
  <c r="H319" i="18"/>
  <c r="H320" i="18"/>
  <c r="H321" i="18"/>
  <c r="H322" i="18"/>
  <c r="H323" i="18"/>
  <c r="H324" i="18"/>
  <c r="H325" i="18"/>
  <c r="H326" i="18"/>
  <c r="H327" i="18"/>
  <c r="H328" i="18"/>
  <c r="H329" i="18"/>
  <c r="H330" i="18"/>
  <c r="H331" i="18"/>
  <c r="H332" i="18"/>
  <c r="H333" i="18"/>
  <c r="H334" i="18"/>
  <c r="H335" i="18"/>
  <c r="H336" i="18"/>
  <c r="H337" i="18"/>
  <c r="H338" i="18"/>
  <c r="H339" i="18"/>
  <c r="H340" i="18"/>
  <c r="H341" i="18"/>
  <c r="H342" i="18"/>
  <c r="H343" i="18"/>
  <c r="H344" i="18"/>
  <c r="H345" i="18"/>
  <c r="H346" i="18"/>
  <c r="H347" i="18"/>
  <c r="H348" i="18"/>
  <c r="H349" i="18"/>
  <c r="H350" i="18"/>
  <c r="H351" i="18"/>
  <c r="H352" i="18"/>
  <c r="H353" i="18"/>
  <c r="H354" i="18"/>
  <c r="H355" i="18"/>
  <c r="H356" i="18"/>
  <c r="H357" i="18"/>
  <c r="H358" i="18"/>
  <c r="H359" i="18"/>
  <c r="H360" i="18"/>
  <c r="H361" i="18"/>
  <c r="H362" i="18"/>
  <c r="H363" i="18"/>
  <c r="H364" i="18"/>
  <c r="H365" i="18"/>
  <c r="H366" i="18"/>
  <c r="H367" i="18"/>
  <c r="H368" i="18"/>
  <c r="H369" i="18"/>
  <c r="H370" i="18"/>
  <c r="H371" i="18"/>
  <c r="H372" i="18"/>
  <c r="H373" i="18"/>
  <c r="H374" i="18"/>
  <c r="H375" i="18"/>
  <c r="H376" i="18"/>
  <c r="H377" i="18"/>
  <c r="H378" i="18"/>
  <c r="H379" i="18"/>
  <c r="H380" i="18"/>
  <c r="H381" i="18"/>
  <c r="H382" i="18"/>
  <c r="H383" i="18"/>
  <c r="H384" i="18"/>
  <c r="H385" i="18"/>
  <c r="H386" i="18"/>
  <c r="H387" i="18"/>
  <c r="H388" i="18"/>
  <c r="H389" i="18"/>
  <c r="H390" i="18"/>
  <c r="H391" i="18"/>
  <c r="H392" i="18"/>
  <c r="H393" i="18"/>
  <c r="H394" i="18"/>
  <c r="H395" i="18"/>
  <c r="H396" i="18"/>
  <c r="H397" i="18"/>
  <c r="H398" i="18"/>
  <c r="H399" i="18"/>
  <c r="H400" i="18"/>
  <c r="H401" i="18"/>
  <c r="H402" i="18"/>
  <c r="H403" i="18"/>
  <c r="H404" i="18"/>
  <c r="H405" i="18"/>
  <c r="H406" i="18"/>
  <c r="H407" i="18"/>
  <c r="H408" i="18"/>
  <c r="H409" i="18"/>
  <c r="H410" i="18"/>
  <c r="H411" i="18"/>
  <c r="H412" i="18"/>
  <c r="H413" i="18"/>
  <c r="H414" i="18"/>
  <c r="H415" i="18"/>
  <c r="H416" i="18"/>
  <c r="H417" i="18"/>
  <c r="H418" i="18"/>
  <c r="H419" i="18"/>
  <c r="H420" i="18"/>
  <c r="H421" i="18"/>
  <c r="H422" i="18"/>
  <c r="H423" i="18"/>
  <c r="H424" i="18"/>
  <c r="H425" i="18"/>
  <c r="H426" i="18"/>
  <c r="H427" i="18"/>
  <c r="H428" i="18"/>
  <c r="H429" i="18"/>
  <c r="H430" i="18"/>
  <c r="H431" i="18"/>
  <c r="H432" i="18"/>
  <c r="H433" i="18"/>
  <c r="H434" i="18"/>
  <c r="H435" i="18"/>
  <c r="H436" i="18"/>
  <c r="H437" i="18"/>
  <c r="H438" i="18"/>
  <c r="H439" i="18"/>
  <c r="H440" i="18"/>
  <c r="H441" i="18"/>
  <c r="H442" i="18"/>
  <c r="H443" i="18"/>
  <c r="H444" i="18"/>
  <c r="H445" i="18"/>
  <c r="H446" i="18"/>
  <c r="H447" i="18"/>
  <c r="H448" i="18"/>
  <c r="H449" i="18"/>
  <c r="H450" i="18"/>
  <c r="H451" i="18"/>
  <c r="H452" i="18"/>
  <c r="H453" i="18"/>
  <c r="H454" i="18"/>
  <c r="H455" i="18"/>
  <c r="H456" i="18"/>
  <c r="H457" i="18"/>
  <c r="H458" i="18"/>
  <c r="H459" i="18"/>
  <c r="H460" i="18"/>
  <c r="H461" i="18"/>
  <c r="H462" i="18"/>
  <c r="H463" i="18"/>
  <c r="H464" i="18"/>
  <c r="H465" i="18"/>
  <c r="H466" i="18"/>
  <c r="H467" i="18"/>
  <c r="H468" i="18"/>
  <c r="H469" i="18"/>
  <c r="H470" i="18"/>
  <c r="H471" i="18"/>
  <c r="H472" i="18"/>
  <c r="H473" i="18"/>
  <c r="H474" i="18"/>
  <c r="H475" i="18"/>
  <c r="H476" i="18"/>
  <c r="H477" i="18"/>
  <c r="H478" i="18"/>
  <c r="H479" i="18"/>
  <c r="H480" i="18"/>
  <c r="H481" i="18"/>
  <c r="H482" i="18"/>
  <c r="H483" i="18"/>
  <c r="H484" i="18"/>
  <c r="H485" i="18"/>
  <c r="H486" i="18"/>
  <c r="H487" i="18"/>
  <c r="H488" i="18"/>
  <c r="H489" i="18"/>
  <c r="H490" i="18"/>
  <c r="H491" i="18"/>
  <c r="H492" i="18"/>
  <c r="H493" i="18"/>
  <c r="H494" i="18"/>
  <c r="H495" i="18"/>
  <c r="H496" i="18"/>
  <c r="H497" i="18"/>
  <c r="H498" i="18"/>
  <c r="H499" i="18"/>
  <c r="H500" i="18"/>
  <c r="H501" i="18"/>
  <c r="H502" i="18"/>
  <c r="H503" i="18"/>
  <c r="H504" i="18"/>
  <c r="H505" i="18"/>
  <c r="H506" i="18"/>
  <c r="H507" i="18"/>
  <c r="H508" i="18"/>
  <c r="H509" i="18"/>
  <c r="H510" i="18"/>
  <c r="H511" i="18"/>
  <c r="H512" i="18"/>
  <c r="H513" i="18"/>
  <c r="H514" i="18"/>
  <c r="H515" i="18"/>
  <c r="H516" i="18"/>
  <c r="H517" i="18"/>
  <c r="H518" i="18"/>
  <c r="H519" i="18"/>
  <c r="H520" i="18"/>
  <c r="H521" i="18"/>
  <c r="H522" i="18"/>
  <c r="H523" i="18"/>
  <c r="H524" i="18"/>
  <c r="H525" i="18"/>
  <c r="H526" i="18"/>
  <c r="H527" i="18"/>
  <c r="H528" i="18"/>
  <c r="H529" i="18"/>
  <c r="H530" i="18"/>
  <c r="H531" i="18"/>
  <c r="H532" i="18"/>
  <c r="H533" i="18"/>
  <c r="H534" i="18"/>
  <c r="H535" i="18"/>
  <c r="H536" i="18"/>
  <c r="H537" i="18"/>
  <c r="H538" i="18"/>
  <c r="H539" i="18"/>
  <c r="H540" i="18"/>
  <c r="H541" i="18"/>
  <c r="H542" i="18"/>
  <c r="H543" i="18"/>
  <c r="H544" i="18"/>
  <c r="H545" i="18"/>
  <c r="H546" i="18"/>
  <c r="H547" i="18"/>
  <c r="H548" i="18"/>
  <c r="H549" i="18"/>
  <c r="H550" i="18"/>
  <c r="H551" i="18"/>
  <c r="H552" i="18"/>
  <c r="H553" i="18"/>
  <c r="H554" i="18"/>
  <c r="H555" i="18"/>
  <c r="H556" i="18"/>
  <c r="H557" i="18"/>
  <c r="H558" i="18"/>
  <c r="H559" i="18"/>
  <c r="H560" i="18"/>
  <c r="H561" i="18"/>
  <c r="H562" i="18"/>
  <c r="H563" i="18"/>
  <c r="H564" i="18"/>
  <c r="H565" i="18"/>
  <c r="H566" i="18"/>
  <c r="H567" i="18"/>
  <c r="H568" i="18"/>
  <c r="H569" i="18"/>
  <c r="H570" i="18"/>
  <c r="H571" i="18"/>
  <c r="H572" i="18"/>
  <c r="H573" i="18"/>
  <c r="H574" i="18"/>
  <c r="H575" i="18"/>
  <c r="H576" i="18"/>
  <c r="H577" i="18"/>
  <c r="H578" i="18"/>
  <c r="H579" i="18"/>
  <c r="H580" i="18"/>
  <c r="H581" i="18"/>
  <c r="H582" i="18"/>
  <c r="H583" i="18"/>
  <c r="H584" i="18"/>
  <c r="H585" i="18"/>
  <c r="H586" i="18"/>
  <c r="H587" i="18"/>
  <c r="H588" i="18"/>
  <c r="H589" i="18"/>
  <c r="H590" i="18"/>
  <c r="H591" i="18"/>
  <c r="H592" i="18"/>
  <c r="H593" i="18"/>
  <c r="H594" i="18"/>
  <c r="H595" i="18"/>
  <c r="H596" i="18"/>
  <c r="H597" i="18"/>
  <c r="H598" i="18"/>
  <c r="H599" i="18"/>
  <c r="H600" i="18"/>
  <c r="H601" i="18"/>
  <c r="H602" i="18"/>
  <c r="H603" i="18"/>
  <c r="H604" i="18"/>
  <c r="H605" i="18"/>
  <c r="H606" i="18"/>
  <c r="H607" i="18"/>
  <c r="H608" i="18"/>
  <c r="H609" i="18"/>
  <c r="H610" i="18"/>
  <c r="H611" i="18"/>
  <c r="H612" i="18"/>
  <c r="H613" i="18"/>
  <c r="H614" i="18"/>
  <c r="H615" i="18"/>
  <c r="H616" i="18"/>
  <c r="H617" i="18"/>
  <c r="H618" i="18"/>
  <c r="H619" i="18"/>
  <c r="H620" i="18"/>
  <c r="H621" i="18"/>
  <c r="H622" i="18"/>
  <c r="H623" i="18"/>
  <c r="H624" i="18"/>
  <c r="H625" i="18"/>
  <c r="H626" i="18"/>
  <c r="H627" i="18"/>
  <c r="H628" i="18"/>
  <c r="H629" i="18"/>
  <c r="H630" i="18"/>
  <c r="H631" i="18"/>
  <c r="H632" i="18"/>
  <c r="H633" i="18"/>
  <c r="H634" i="18"/>
  <c r="H635" i="18"/>
  <c r="H636" i="18"/>
  <c r="H637" i="18"/>
  <c r="H638" i="18"/>
  <c r="H639" i="18"/>
  <c r="H640" i="18"/>
  <c r="H641" i="18"/>
  <c r="H642" i="18"/>
  <c r="H643" i="18"/>
  <c r="H644" i="18"/>
  <c r="H645" i="18"/>
  <c r="H646" i="18"/>
  <c r="H647" i="18"/>
  <c r="H648" i="18"/>
  <c r="H649" i="18"/>
  <c r="H650" i="18"/>
  <c r="H651" i="18"/>
  <c r="H652" i="18"/>
  <c r="H653" i="18"/>
  <c r="H654" i="18"/>
  <c r="H655" i="18"/>
  <c r="H656" i="18"/>
  <c r="H657" i="18"/>
  <c r="H658" i="18"/>
  <c r="H659" i="18"/>
  <c r="H660" i="18"/>
  <c r="H661" i="18"/>
  <c r="H662" i="18"/>
  <c r="H663" i="18"/>
  <c r="H664" i="18"/>
  <c r="H665" i="18"/>
  <c r="H666" i="18"/>
  <c r="H667" i="18"/>
  <c r="H668" i="18"/>
  <c r="H669" i="18"/>
  <c r="H670" i="18"/>
  <c r="H671" i="18"/>
  <c r="H672" i="18"/>
  <c r="H673" i="18"/>
  <c r="H674" i="18"/>
  <c r="H675" i="18"/>
  <c r="H676" i="18"/>
  <c r="H677" i="18"/>
  <c r="H678" i="18"/>
  <c r="H679" i="18"/>
  <c r="H680" i="18"/>
  <c r="H681" i="18"/>
  <c r="H682" i="18"/>
  <c r="H683" i="18"/>
  <c r="H684" i="18"/>
  <c r="H685" i="18"/>
  <c r="H686" i="18"/>
  <c r="H687" i="18"/>
  <c r="H688" i="18"/>
  <c r="H689" i="18"/>
  <c r="H690" i="18"/>
  <c r="H691" i="18"/>
  <c r="H692" i="18"/>
  <c r="H693" i="18"/>
  <c r="H694" i="18"/>
  <c r="H695" i="18"/>
  <c r="H696" i="18"/>
  <c r="H697" i="18"/>
  <c r="H698" i="18"/>
  <c r="H699" i="18"/>
  <c r="H700" i="18"/>
  <c r="H701" i="18"/>
  <c r="H702" i="18"/>
  <c r="H703" i="18"/>
  <c r="H704" i="18"/>
  <c r="H705" i="18"/>
  <c r="H706" i="18"/>
  <c r="H707" i="18"/>
  <c r="H708" i="18"/>
  <c r="H709" i="18"/>
  <c r="H710" i="18"/>
  <c r="H711" i="18"/>
  <c r="H712" i="18"/>
  <c r="H713" i="18"/>
  <c r="H714" i="18"/>
  <c r="H715" i="18"/>
  <c r="H716" i="18"/>
  <c r="H717" i="18"/>
  <c r="H718" i="18"/>
  <c r="H719" i="18"/>
  <c r="H720" i="18"/>
  <c r="H721" i="18"/>
  <c r="H722" i="18"/>
  <c r="H723" i="18"/>
  <c r="H724" i="18"/>
  <c r="H725" i="18"/>
  <c r="H726" i="18"/>
  <c r="H727" i="18"/>
  <c r="H728" i="18"/>
  <c r="H729" i="18"/>
  <c r="H730" i="18"/>
  <c r="H731" i="18"/>
  <c r="H732" i="18"/>
  <c r="H733" i="18"/>
  <c r="H734" i="18"/>
  <c r="H735" i="18"/>
  <c r="H736" i="18"/>
  <c r="H737" i="18"/>
  <c r="H738" i="18"/>
  <c r="H739" i="18"/>
  <c r="H740" i="18"/>
  <c r="H741" i="18"/>
  <c r="H742" i="18"/>
  <c r="H743" i="18"/>
  <c r="H744" i="18"/>
  <c r="H745" i="18"/>
  <c r="H746" i="18"/>
  <c r="H747" i="18"/>
  <c r="H748" i="18"/>
  <c r="H749" i="18"/>
  <c r="H750" i="18"/>
  <c r="H751" i="18"/>
  <c r="H752" i="18"/>
  <c r="H753" i="18"/>
  <c r="H754" i="18"/>
  <c r="H755" i="18"/>
  <c r="H756" i="18"/>
  <c r="H757" i="18"/>
  <c r="H758" i="18"/>
  <c r="H759" i="18"/>
  <c r="H760" i="18"/>
  <c r="H761" i="18"/>
  <c r="H762" i="18"/>
  <c r="H763" i="18"/>
  <c r="H764" i="18"/>
  <c r="H765" i="18"/>
  <c r="H766" i="18"/>
  <c r="H767" i="18"/>
  <c r="H768" i="18"/>
  <c r="H769" i="18"/>
  <c r="H770" i="18"/>
  <c r="H771" i="18"/>
  <c r="H772" i="18"/>
  <c r="H773" i="18"/>
  <c r="H774" i="18"/>
  <c r="H775" i="18"/>
  <c r="H776" i="18"/>
  <c r="H777" i="18"/>
  <c r="H778" i="18"/>
  <c r="H779" i="18"/>
  <c r="H780" i="18"/>
  <c r="H781" i="18"/>
  <c r="H782" i="18"/>
  <c r="H783" i="18"/>
  <c r="H784" i="18"/>
  <c r="H785" i="18"/>
  <c r="H786" i="18"/>
  <c r="H787" i="18"/>
  <c r="H788" i="18"/>
  <c r="H789" i="18"/>
  <c r="H790" i="18"/>
  <c r="H791" i="18"/>
  <c r="H792" i="18"/>
  <c r="H793" i="18"/>
  <c r="H794" i="18"/>
  <c r="H795" i="18"/>
  <c r="H796" i="18"/>
  <c r="H797" i="18"/>
  <c r="H798" i="18"/>
  <c r="H799" i="18"/>
  <c r="H800" i="18"/>
  <c r="H801" i="18"/>
  <c r="H802" i="18"/>
  <c r="H803" i="18"/>
  <c r="H804" i="18"/>
  <c r="H805" i="18"/>
  <c r="H806" i="18"/>
  <c r="H807" i="18"/>
  <c r="H808" i="18"/>
  <c r="H809" i="18"/>
  <c r="H810" i="18"/>
  <c r="H811" i="18"/>
  <c r="H812" i="18"/>
  <c r="H813" i="18"/>
  <c r="H814" i="18"/>
  <c r="H815" i="18"/>
  <c r="H816" i="18"/>
  <c r="H817" i="18"/>
  <c r="H818" i="18"/>
  <c r="H819" i="18"/>
  <c r="H820" i="18"/>
  <c r="H821" i="18"/>
  <c r="H822" i="18"/>
  <c r="H823" i="18"/>
  <c r="H824" i="18"/>
  <c r="H825" i="18"/>
  <c r="H826" i="18"/>
  <c r="H827" i="18"/>
  <c r="H828" i="18"/>
  <c r="H829" i="18"/>
  <c r="H830" i="18"/>
  <c r="H831" i="18"/>
  <c r="H832" i="18"/>
  <c r="H833" i="18"/>
  <c r="H834" i="18"/>
  <c r="H835" i="18"/>
  <c r="H836" i="18"/>
  <c r="H837" i="18"/>
  <c r="H838" i="18"/>
  <c r="H839" i="18"/>
  <c r="H840" i="18"/>
  <c r="H841" i="18"/>
  <c r="H842" i="18"/>
  <c r="H843" i="18"/>
  <c r="H844" i="18"/>
  <c r="H845" i="18"/>
  <c r="H846" i="18"/>
  <c r="H847" i="18"/>
  <c r="H848" i="18"/>
  <c r="H849" i="18"/>
  <c r="H850" i="18"/>
  <c r="H851" i="18"/>
  <c r="H852" i="18"/>
  <c r="H853" i="18"/>
  <c r="H854" i="18"/>
  <c r="H855" i="18"/>
  <c r="H856" i="18"/>
  <c r="H857" i="18"/>
  <c r="H858" i="18"/>
  <c r="H859" i="18"/>
  <c r="H860" i="18"/>
  <c r="H861" i="18"/>
  <c r="H862" i="18"/>
  <c r="H863" i="18"/>
  <c r="H864" i="18"/>
  <c r="H865" i="18"/>
  <c r="H866" i="18"/>
  <c r="H867" i="18"/>
  <c r="H868" i="18"/>
  <c r="H869" i="18"/>
  <c r="H870" i="18"/>
  <c r="H871" i="18"/>
  <c r="H872" i="18"/>
  <c r="H873" i="18"/>
  <c r="H874" i="18"/>
  <c r="H875" i="18"/>
  <c r="H876" i="18"/>
  <c r="H877" i="18"/>
  <c r="H878" i="18"/>
  <c r="H879" i="18"/>
  <c r="H880" i="18"/>
  <c r="H881" i="18"/>
  <c r="H882" i="18"/>
  <c r="H883" i="18"/>
  <c r="H884" i="18"/>
  <c r="H885" i="18"/>
  <c r="H886" i="18"/>
  <c r="H887" i="18"/>
  <c r="H888" i="18"/>
  <c r="H889" i="18"/>
  <c r="H890" i="18"/>
  <c r="H891" i="18"/>
  <c r="H892" i="18"/>
  <c r="H893" i="18"/>
  <c r="H894" i="18"/>
  <c r="H895" i="18"/>
  <c r="H896" i="18"/>
  <c r="H897" i="18"/>
  <c r="H898" i="18"/>
  <c r="H899" i="18"/>
  <c r="H900" i="18"/>
  <c r="H901" i="18"/>
  <c r="H902" i="18"/>
  <c r="H903" i="18"/>
  <c r="H904" i="18"/>
  <c r="H905" i="18"/>
  <c r="H906" i="18"/>
  <c r="H907" i="18"/>
  <c r="H908" i="18"/>
  <c r="H909" i="18"/>
  <c r="H910" i="18"/>
  <c r="H911" i="18"/>
  <c r="H912" i="18"/>
  <c r="H913" i="18"/>
  <c r="H914" i="18"/>
  <c r="H915" i="18"/>
  <c r="H916" i="18"/>
  <c r="H917" i="18"/>
  <c r="H918" i="18"/>
  <c r="H919" i="18"/>
  <c r="H920" i="18"/>
  <c r="H921" i="18"/>
  <c r="H922" i="18"/>
  <c r="H923" i="18"/>
  <c r="H924" i="18"/>
  <c r="H925" i="18"/>
  <c r="H926" i="18"/>
  <c r="H927" i="18"/>
  <c r="H928" i="18"/>
  <c r="H929" i="18"/>
  <c r="H930" i="18"/>
  <c r="H931" i="18"/>
  <c r="H932" i="18"/>
  <c r="H933" i="18"/>
  <c r="H934" i="18"/>
  <c r="H935" i="18"/>
  <c r="H936" i="18"/>
  <c r="H937" i="18"/>
  <c r="H938" i="18"/>
  <c r="H939" i="18"/>
  <c r="H940" i="18"/>
  <c r="H941" i="18"/>
  <c r="H942" i="18"/>
  <c r="H943" i="18"/>
  <c r="H944" i="18"/>
  <c r="H945" i="18"/>
  <c r="H946" i="18"/>
  <c r="H947" i="18"/>
  <c r="H948" i="18"/>
  <c r="H949" i="18"/>
  <c r="H950" i="18"/>
  <c r="H951" i="18"/>
  <c r="H952" i="18"/>
  <c r="H953" i="18"/>
  <c r="H954" i="18"/>
  <c r="H955" i="18"/>
  <c r="H956" i="18"/>
  <c r="H957" i="18"/>
  <c r="H958" i="18"/>
  <c r="H959" i="18"/>
  <c r="H960" i="18"/>
  <c r="H961" i="18"/>
  <c r="H962" i="18"/>
  <c r="H963" i="18"/>
  <c r="H964" i="18"/>
  <c r="H965" i="18"/>
  <c r="H966" i="18"/>
  <c r="H967" i="18"/>
  <c r="H968" i="18"/>
  <c r="H969" i="18"/>
  <c r="H970" i="18"/>
  <c r="H971" i="18"/>
  <c r="H972" i="18"/>
  <c r="H973" i="18"/>
  <c r="H974" i="18"/>
  <c r="H975" i="18"/>
  <c r="H976" i="18"/>
  <c r="H977" i="18"/>
  <c r="H978" i="18"/>
  <c r="H979" i="18"/>
  <c r="H980" i="18"/>
  <c r="H981" i="18"/>
  <c r="H982" i="18"/>
  <c r="H983" i="18"/>
  <c r="H984" i="18"/>
  <c r="H985" i="18"/>
  <c r="H986" i="18"/>
  <c r="H987" i="18"/>
  <c r="H988" i="18"/>
  <c r="H989" i="18"/>
  <c r="H990" i="18"/>
  <c r="H991" i="18"/>
  <c r="H992" i="18"/>
  <c r="H993" i="18"/>
  <c r="H994" i="18"/>
  <c r="H995" i="18"/>
  <c r="H996" i="18"/>
  <c r="H997" i="18"/>
  <c r="H998" i="18"/>
  <c r="H999" i="18"/>
  <c r="H1000" i="18"/>
  <c r="H1001" i="18"/>
</calcChain>
</file>

<file path=xl/sharedStrings.xml><?xml version="1.0" encoding="utf-8"?>
<sst xmlns="http://schemas.openxmlformats.org/spreadsheetml/2006/main" count="16173" uniqueCount="6261">
  <si>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</si>
  <si>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</si>
  <si>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</si>
  <si>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</si>
  <si>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</si>
  <si>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</si>
  <si>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</si>
  <si>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</si>
  <si>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</si>
  <si>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</si>
  <si>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</si>
  <si>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</si>
  <si>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</si>
  <si>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</si>
  <si>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</si>
  <si>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</si>
  <si>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</si>
  <si>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</si>
  <si>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</si>
  <si>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</si>
  <si>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</si>
  <si>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</si>
  <si>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</si>
  <si>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</si>
  <si>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</si>
  <si>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</si>
  <si>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</si>
  <si>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</si>
  <si>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</si>
  <si>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</si>
  <si>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</si>
  <si>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</si>
  <si>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</si>
  <si>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</si>
  <si>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</si>
  <si>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</si>
  <si>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</si>
  <si>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</si>
  <si>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</si>
  <si>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</si>
  <si>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</si>
  <si>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</si>
  <si>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</si>
  <si>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</si>
  <si>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</si>
  <si>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</si>
  <si>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</si>
  <si>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</si>
  <si>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</si>
  <si>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</si>
  <si>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</si>
  <si>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</si>
  <si>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</si>
  <si>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</si>
  <si>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</si>
  <si>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</si>
  <si>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</si>
  <si>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</si>
  <si>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</si>
  <si>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</si>
  <si>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</si>
  <si>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</si>
  <si>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</si>
  <si>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</si>
  <si>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</si>
  <si>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</si>
  <si>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</si>
  <si>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</si>
  <si>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</si>
  <si>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</si>
  <si>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</si>
  <si>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</si>
  <si>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</si>
  <si>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</si>
  <si>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</si>
  <si>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</si>
  <si>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</si>
  <si>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</si>
  <si>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</si>
  <si>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</si>
  <si>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</si>
  <si>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</si>
  <si>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</si>
  <si>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</si>
  <si>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</si>
  <si>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</si>
  <si>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</si>
  <si>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</si>
  <si>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</si>
  <si>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</si>
  <si>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</si>
  <si>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</si>
  <si>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</si>
  <si>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</si>
  <si>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</si>
  <si>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</si>
  <si>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</si>
  <si>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</si>
  <si>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</si>
  <si>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</si>
  <si>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</si>
  <si>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</si>
  <si>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</si>
  <si>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</si>
  <si>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</si>
  <si>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</si>
  <si>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</si>
  <si>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</si>
  <si>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</si>
  <si>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</si>
  <si>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</si>
  <si>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</si>
  <si>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</si>
  <si>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</si>
  <si>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</si>
  <si>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</si>
  <si>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</si>
  <si>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</si>
  <si>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</si>
  <si>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</si>
  <si>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</si>
  <si>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</si>
  <si>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</si>
  <si>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</si>
  <si>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</si>
  <si>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</si>
  <si>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</si>
  <si>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</si>
  <si>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</si>
  <si>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</si>
  <si>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</si>
  <si>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</si>
  <si>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</si>
  <si>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</si>
  <si>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</si>
  <si>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</si>
  <si>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</si>
  <si>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</si>
  <si>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</si>
  <si>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</si>
  <si>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</si>
  <si>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</si>
  <si>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</si>
  <si>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</si>
  <si>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</si>
  <si>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</si>
  <si>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</si>
  <si>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</si>
  <si>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</si>
  <si>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</si>
  <si>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</si>
  <si>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</si>
  <si>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</si>
  <si>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</si>
  <si>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</si>
  <si>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</si>
  <si>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</si>
  <si>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</si>
  <si>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</si>
  <si>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</si>
  <si>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</si>
  <si>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</si>
  <si>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</si>
  <si>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</si>
  <si>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</si>
  <si>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</si>
  <si>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</si>
  <si>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</si>
  <si>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</si>
  <si>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</si>
  <si>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</si>
  <si>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</si>
  <si>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</si>
  <si>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</si>
  <si>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</si>
  <si>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</si>
  <si>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</si>
  <si>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</si>
  <si>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</si>
  <si>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</si>
  <si>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</si>
  <si>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</si>
  <si>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</si>
  <si>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</si>
  <si>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</si>
  <si>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</si>
  <si>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</si>
  <si>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</si>
  <si>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</si>
  <si>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</si>
  <si>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</si>
  <si>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</si>
  <si>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</si>
  <si>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</si>
  <si>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</si>
  <si>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</si>
  <si>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</si>
  <si>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</si>
  <si>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</si>
  <si>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</si>
  <si>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</si>
  <si>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</si>
  <si>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</si>
  <si>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</si>
  <si>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</si>
  <si>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</si>
  <si>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</si>
  <si>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</si>
  <si>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</si>
  <si>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</si>
  <si>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</si>
  <si>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</si>
  <si>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</si>
  <si>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</si>
  <si>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</si>
  <si>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</si>
  <si>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</si>
  <si>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</si>
  <si>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</si>
  <si>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</si>
  <si>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</si>
  <si>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</si>
  <si>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</si>
  <si>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</si>
  <si>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</si>
  <si>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</si>
  <si>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</si>
  <si>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</si>
  <si>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</si>
  <si>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</si>
  <si>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</si>
  <si>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</si>
  <si>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</si>
  <si>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</si>
  <si>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</si>
  <si>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</si>
  <si>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</si>
  <si>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</si>
  <si>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</si>
  <si>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</si>
  <si>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</si>
  <si>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</si>
  <si>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</si>
  <si>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</si>
  <si>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</si>
  <si>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</si>
  <si>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</si>
  <si>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</si>
  <si>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</si>
  <si>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</si>
  <si>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</si>
  <si>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</si>
  <si>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</si>
  <si>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</si>
  <si>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</si>
  <si>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</si>
  <si>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</si>
  <si>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</si>
  <si>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</si>
  <si>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</si>
  <si>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</si>
  <si>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</si>
  <si>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</si>
  <si>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</si>
  <si>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</si>
  <si>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</si>
  <si>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</si>
  <si>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</si>
  <si>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</si>
  <si>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</si>
  <si>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</si>
  <si>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</si>
  <si>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</si>
  <si>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</si>
  <si>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</si>
  <si>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</si>
  <si>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</si>
  <si>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</si>
  <si>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</si>
  <si>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</si>
  <si>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</si>
  <si>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</si>
  <si>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</si>
  <si>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</si>
  <si>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</si>
  <si>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</si>
  <si>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</si>
  <si>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</si>
  <si>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</si>
  <si>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</si>
  <si>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</si>
  <si>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</si>
  <si>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</si>
  <si>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</si>
  <si>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</si>
  <si>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</si>
  <si>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</si>
  <si>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</si>
  <si>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</si>
  <si>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</si>
  <si>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</si>
  <si>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</si>
  <si>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</si>
  <si>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</si>
  <si>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</si>
  <si>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</si>
  <si>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</si>
  <si>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</si>
  <si>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</si>
  <si>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</si>
  <si>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</si>
  <si>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</si>
  <si>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</si>
  <si>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</si>
  <si>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</si>
  <si>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</si>
  <si>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</si>
  <si>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</si>
  <si>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</si>
  <si>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</si>
  <si>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</si>
  <si>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</si>
  <si>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</si>
  <si>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</si>
  <si>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</si>
  <si>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</si>
  <si>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</si>
  <si>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</si>
  <si>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</si>
  <si>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</si>
  <si>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</si>
  <si>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</si>
  <si>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</si>
  <si>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</si>
  <si>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</si>
  <si>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</si>
  <si>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</si>
  <si>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</si>
  <si>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</si>
  <si>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</si>
  <si>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</si>
  <si>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</si>
  <si>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</si>
  <si>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</si>
  <si>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</si>
  <si>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</si>
  <si>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</si>
  <si>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</si>
  <si>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</si>
  <si>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</si>
  <si>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</si>
  <si>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</si>
  <si>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</si>
  <si>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</si>
  <si>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</si>
  <si>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</si>
  <si>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</si>
  <si>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</si>
  <si>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</si>
  <si>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</si>
  <si>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</si>
  <si>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</si>
  <si>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</si>
  <si>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</si>
  <si>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</si>
  <si>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</si>
  <si>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</si>
  <si>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</si>
  <si>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</si>
  <si>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</si>
  <si>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</si>
  <si>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</si>
  <si>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</si>
  <si>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</si>
  <si>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</si>
  <si>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</si>
  <si>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</si>
  <si>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</si>
  <si>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</si>
  <si>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</si>
  <si>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</si>
  <si>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</si>
  <si>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</si>
  <si>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</si>
  <si>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</si>
  <si>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</si>
  <si>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</si>
  <si>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</si>
  <si>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</si>
  <si>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</si>
  <si>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</si>
  <si>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</si>
  <si>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</si>
  <si>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</si>
  <si>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</si>
  <si>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</si>
  <si>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</si>
  <si>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</si>
  <si>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</si>
  <si>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</si>
  <si>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</si>
  <si>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</si>
  <si>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</si>
  <si>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</si>
  <si>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</si>
  <si>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</si>
  <si>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</si>
  <si>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</si>
  <si>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</si>
  <si>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</si>
  <si>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</si>
  <si>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</si>
  <si>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</si>
  <si>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</si>
  <si>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</si>
  <si>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</si>
  <si>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</si>
  <si>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</si>
  <si>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</si>
  <si>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</si>
  <si>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</si>
  <si>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</si>
  <si>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</si>
  <si>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</si>
  <si>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</si>
  <si>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</si>
  <si>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</si>
  <si>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</si>
  <si>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</si>
  <si>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</si>
  <si>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</si>
  <si>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</si>
  <si>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</si>
  <si>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</si>
  <si>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</si>
  <si>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</si>
  <si>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</si>
  <si>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</si>
  <si>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</si>
  <si>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</si>
  <si>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</si>
  <si>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</si>
  <si>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</si>
  <si>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</si>
  <si>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</si>
  <si>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</si>
  <si>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</si>
  <si>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</si>
  <si>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</si>
  <si>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</si>
  <si>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</si>
  <si>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</si>
  <si>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</si>
  <si>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</si>
  <si>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</si>
  <si>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</si>
  <si>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</si>
  <si>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</si>
  <si>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</si>
  <si>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</si>
  <si>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</si>
  <si>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</si>
  <si>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</si>
  <si>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</si>
  <si>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</si>
  <si>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</si>
  <si>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</si>
  <si>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</si>
  <si>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</si>
  <si>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</si>
  <si>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</si>
  <si>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</si>
  <si>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</si>
  <si>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</si>
  <si>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</si>
  <si>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</si>
  <si>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</si>
  <si>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</si>
  <si>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</si>
  <si>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</si>
  <si>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</si>
  <si>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</si>
  <si>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</si>
  <si>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</si>
  <si>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</si>
  <si>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</si>
  <si>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</si>
  <si>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</si>
  <si>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</si>
  <si>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</si>
  <si>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</si>
  <si>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</si>
  <si>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</si>
  <si>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</si>
  <si>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</si>
  <si>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</si>
  <si>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</si>
  <si>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</si>
  <si>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</si>
  <si>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</si>
  <si>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</si>
  <si>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</si>
  <si>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</si>
  <si>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</si>
  <si>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</si>
  <si>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</si>
  <si>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</si>
  <si>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</si>
  <si>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</si>
  <si>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</si>
  <si>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</si>
  <si>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</si>
  <si>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</si>
  <si>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</si>
  <si>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</si>
  <si>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</si>
  <si>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</si>
  <si>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</si>
  <si>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</si>
  <si>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</si>
  <si>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</si>
  <si>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</si>
  <si>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</si>
  <si>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</si>
  <si>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</si>
  <si>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</si>
  <si>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</si>
  <si>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</si>
  <si>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</si>
  <si>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</si>
  <si>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</si>
  <si>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</si>
  <si>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</si>
  <si>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</si>
  <si>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</si>
  <si>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</si>
  <si>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</si>
  <si>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</si>
  <si>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</si>
  <si>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</si>
  <si>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</si>
  <si>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</si>
  <si>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</si>
  <si>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</si>
  <si>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</si>
  <si>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</si>
  <si>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</si>
  <si>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</si>
  <si>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</si>
  <si>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</si>
  <si>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</si>
  <si>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</si>
  <si>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</si>
  <si>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</si>
  <si>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</si>
  <si>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</si>
  <si>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</si>
  <si>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</si>
  <si>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</si>
  <si>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</si>
  <si>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</si>
  <si>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</si>
  <si>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</si>
  <si>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</si>
  <si>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</si>
  <si>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</si>
  <si>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</si>
  <si>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</si>
  <si>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</si>
  <si>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</si>
  <si>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</si>
  <si>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</si>
  <si>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</si>
  <si>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</si>
  <si>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</si>
  <si>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</si>
  <si>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</si>
  <si>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</si>
  <si>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</si>
  <si>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</si>
  <si>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</si>
  <si>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</si>
  <si>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</si>
  <si>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</si>
  <si>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</si>
  <si>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</si>
  <si>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</si>
  <si>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</si>
  <si>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</si>
  <si>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</si>
  <si>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</si>
  <si>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</si>
  <si>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</si>
  <si>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</si>
  <si>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</si>
  <si>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</si>
  <si>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</si>
  <si>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</si>
  <si>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</si>
  <si>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</si>
  <si>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</si>
  <si>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</si>
  <si>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</si>
  <si>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</si>
  <si>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</si>
  <si>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</si>
  <si>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</si>
  <si>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</si>
  <si>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</si>
  <si>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</si>
  <si>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</si>
  <si>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</si>
  <si>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</si>
  <si>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</si>
  <si>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</si>
  <si>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</si>
  <si>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</si>
  <si>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</si>
  <si>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</si>
  <si>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</si>
  <si>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</si>
  <si>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</si>
  <si>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</si>
  <si>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</si>
  <si>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</si>
  <si>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</si>
  <si>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</si>
  <si>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</si>
  <si>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</si>
  <si>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</si>
  <si>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</si>
  <si>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</si>
  <si>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</si>
  <si>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</si>
  <si>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</si>
  <si>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</si>
  <si>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</si>
  <si>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</si>
  <si>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</si>
  <si>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</si>
  <si>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</si>
  <si>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</si>
  <si>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</si>
  <si>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</si>
  <si>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</si>
  <si>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</si>
  <si>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</si>
  <si>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</si>
  <si>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</si>
  <si>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</si>
  <si>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</si>
  <si>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</si>
  <si>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</si>
  <si>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</si>
  <si>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</si>
  <si>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</si>
  <si>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</si>
  <si>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</si>
  <si>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</si>
  <si>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</si>
  <si>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</si>
  <si>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</si>
  <si>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</si>
  <si>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</si>
  <si>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</si>
  <si>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</si>
  <si>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</si>
  <si>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</si>
  <si>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</si>
  <si>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</si>
  <si>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</si>
  <si>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</si>
  <si>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</si>
  <si>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</si>
  <si>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</si>
  <si>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</si>
  <si>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</si>
  <si>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</si>
  <si>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</si>
  <si>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</si>
  <si>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</si>
  <si>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</si>
  <si>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</si>
  <si>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</si>
  <si>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</si>
  <si>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</si>
  <si>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</si>
  <si>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</si>
  <si>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</si>
  <si>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</si>
  <si>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</si>
  <si>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</si>
  <si>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</si>
  <si>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</si>
  <si>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</si>
  <si>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</si>
  <si>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</si>
  <si>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</si>
  <si>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</si>
  <si>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</si>
  <si>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</si>
  <si>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</si>
  <si>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</si>
  <si>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</si>
  <si>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</si>
  <si>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</si>
  <si>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</si>
  <si>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</si>
  <si>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</si>
  <si>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</si>
  <si>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</si>
  <si>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</si>
  <si>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</si>
  <si>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</si>
  <si>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</si>
  <si>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</si>
  <si>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</si>
  <si>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</si>
  <si>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</si>
  <si>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</si>
  <si>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</si>
  <si>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</si>
  <si>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</si>
  <si>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</si>
  <si>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</si>
  <si>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</si>
  <si>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</si>
  <si>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</si>
  <si>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</si>
  <si>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</si>
  <si>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</si>
  <si>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</si>
  <si>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</si>
  <si>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</si>
  <si>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</si>
  <si>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</si>
  <si>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</si>
  <si>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</si>
  <si>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</si>
  <si>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</si>
  <si>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</si>
  <si>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</si>
  <si>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</si>
  <si>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</si>
  <si>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</si>
  <si>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</si>
  <si>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</si>
  <si>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</si>
  <si>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</si>
  <si>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</si>
  <si>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</si>
  <si>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</si>
  <si>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</si>
  <si>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</si>
  <si>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</si>
  <si>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</si>
  <si>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</si>
  <si>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</si>
  <si>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</si>
  <si>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</si>
  <si>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</si>
  <si>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</si>
  <si>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</si>
  <si>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</si>
  <si>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</si>
  <si>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</si>
  <si>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</si>
  <si>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</si>
  <si>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</si>
  <si>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</si>
  <si>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</si>
  <si>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</si>
  <si>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</si>
  <si>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</si>
  <si>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</si>
  <si>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</si>
  <si>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</si>
  <si>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</si>
  <si>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</si>
  <si>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</si>
  <si>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</si>
  <si>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</si>
  <si>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</si>
  <si>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</si>
  <si>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</si>
  <si>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</si>
  <si>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</si>
  <si>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</si>
  <si>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</si>
  <si>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</si>
  <si>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</si>
  <si>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</si>
  <si>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</si>
  <si>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</si>
  <si>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</si>
  <si>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</si>
  <si>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</si>
  <si>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</si>
  <si>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</si>
  <si>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</si>
  <si>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</si>
  <si>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</si>
  <si>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</si>
  <si>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</si>
  <si>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</si>
  <si>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</si>
  <si>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</si>
  <si>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</si>
  <si>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</si>
  <si>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</si>
  <si>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</si>
  <si>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</si>
  <si>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</si>
  <si>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</si>
  <si>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</si>
  <si>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</si>
  <si>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</si>
  <si>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</si>
  <si>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</si>
  <si>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</si>
  <si>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</si>
  <si>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</si>
  <si>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</si>
  <si>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</si>
  <si>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</si>
  <si>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</si>
  <si>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</si>
  <si>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</si>
  <si>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</si>
  <si>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</si>
  <si>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</si>
  <si>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</si>
  <si>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</si>
  <si>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</si>
  <si>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</si>
  <si>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</si>
  <si>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</si>
  <si>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</si>
  <si>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</si>
  <si>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</si>
  <si>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</si>
  <si>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</si>
  <si>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</si>
  <si>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</si>
  <si>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</si>
  <si>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</si>
  <si>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</si>
  <si>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</si>
  <si>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</si>
  <si>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</si>
  <si>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</si>
  <si>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</si>
  <si>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</si>
  <si>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</si>
  <si>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</si>
  <si>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</si>
  <si>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</si>
  <si>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</si>
  <si>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</si>
  <si>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</si>
  <si>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</si>
  <si>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</si>
  <si>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</si>
  <si>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</si>
  <si>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</si>
  <si>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</si>
  <si>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</si>
  <si>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</si>
  <si>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</si>
  <si>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</si>
  <si>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</si>
  <si>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</si>
  <si>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</si>
  <si>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</si>
  <si>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</si>
  <si>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</si>
  <si>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</si>
  <si>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</si>
  <si>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</si>
  <si>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</si>
  <si>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</si>
  <si>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</si>
  <si>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</si>
  <si>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</si>
  <si>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</si>
  <si>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</si>
  <si>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</si>
  <si>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</si>
  <si>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</si>
  <si>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</si>
  <si>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</si>
  <si>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</si>
  <si>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</si>
  <si>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</si>
  <si>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</si>
  <si>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</si>
  <si>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</si>
  <si>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</si>
  <si>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</si>
  <si>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</si>
  <si>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</si>
  <si>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</si>
  <si>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</si>
  <si>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</si>
  <si>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</si>
  <si>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</si>
  <si>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</si>
  <si>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</si>
  <si>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</si>
  <si>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</si>
  <si>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</si>
  <si>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</si>
  <si>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</si>
  <si>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</si>
  <si>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</si>
  <si>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</si>
  <si>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</si>
  <si>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</si>
  <si>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</si>
  <si>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</si>
  <si>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</si>
  <si>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</si>
  <si>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</si>
  <si>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</si>
  <si>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</si>
  <si>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</si>
  <si>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</si>
  <si>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</si>
  <si>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</si>
  <si>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</si>
  <si>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</si>
  <si>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</si>
  <si>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</si>
  <si>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</si>
  <si>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</si>
  <si>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</si>
  <si>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</si>
  <si>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</si>
  <si>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</si>
  <si>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</si>
  <si>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</si>
  <si>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</si>
  <si>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</si>
  <si>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</si>
  <si>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</si>
  <si>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</si>
  <si>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</si>
  <si>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</si>
  <si>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</si>
  <si>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</si>
  <si>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</si>
  <si>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</si>
  <si>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</si>
  <si>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</si>
  <si>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</si>
  <si>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</si>
  <si>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</si>
  <si>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</si>
  <si>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</si>
  <si>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</si>
  <si>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</si>
  <si>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</si>
  <si>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</si>
  <si>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</si>
  <si>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</si>
  <si>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</si>
  <si>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</si>
  <si>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</si>
  <si>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</si>
  <si>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</si>
  <si>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</si>
  <si>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</si>
  <si>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</si>
  <si>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</si>
  <si>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</si>
  <si>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</si>
  <si>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</si>
  <si>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</si>
  <si>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</si>
  <si>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</si>
  <si>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</si>
  <si>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</si>
  <si>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</si>
  <si>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</si>
  <si>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</si>
  <si>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</si>
  <si>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</si>
  <si>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</si>
  <si>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</si>
  <si>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</si>
  <si>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</si>
  <si>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</si>
  <si>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</si>
  <si>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</si>
  <si>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</si>
  <si>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</si>
  <si>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</si>
  <si>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</si>
  <si>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</si>
  <si>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</si>
  <si>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</si>
  <si>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</si>
  <si>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</si>
  <si>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</si>
  <si>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</si>
  <si>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</si>
  <si>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</si>
  <si>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</si>
  <si>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</si>
  <si>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</si>
  <si>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</si>
  <si>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</si>
  <si>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</si>
  <si>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</si>
  <si>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</si>
  <si>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</si>
  <si>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</si>
  <si>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</si>
  <si>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</si>
  <si>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</si>
  <si>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</si>
  <si>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</si>
  <si>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</si>
  <si>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</si>
  <si>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</si>
  <si>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</si>
  <si>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</si>
  <si>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</si>
  <si>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</si>
  <si>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</si>
  <si>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</si>
  <si>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</si>
  <si>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</si>
  <si>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</si>
  <si>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</si>
  <si>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</si>
  <si>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</si>
  <si>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</si>
  <si>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</si>
  <si>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</si>
  <si>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</si>
  <si>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</si>
  <si>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</si>
  <si>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</si>
  <si>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</si>
  <si>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</si>
  <si>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</si>
  <si>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</si>
  <si>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</si>
  <si>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</si>
  <si>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</si>
  <si>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</si>
  <si>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</si>
  <si>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</si>
  <si>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</si>
  <si>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</si>
  <si>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</si>
  <si>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</si>
  <si>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</si>
  <si>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</si>
  <si>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</si>
  <si>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</si>
  <si>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</si>
  <si>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</si>
  <si>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</si>
  <si>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</si>
  <si>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</si>
  <si>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</si>
  <si>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</si>
  <si>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</si>
  <si>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</si>
  <si>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</si>
  <si>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</si>
  <si>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</si>
  <si>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</si>
  <si>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</si>
  <si>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</si>
  <si>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</si>
  <si>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</si>
  <si>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</si>
  <si>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</si>
  <si>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</si>
  <si>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</si>
  <si>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</si>
  <si>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</si>
  <si>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</si>
  <si>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</si>
  <si>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</si>
  <si>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</si>
  <si>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</si>
  <si>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</si>
  <si>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</si>
  <si>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</si>
  <si>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</si>
  <si>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</si>
  <si>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</si>
  <si>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</si>
  <si>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</si>
  <si>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</si>
  <si>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</si>
  <si>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</si>
  <si>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</si>
  <si>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</si>
  <si>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</si>
  <si>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</si>
  <si>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</si>
  <si>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</si>
  <si>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</si>
  <si>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</si>
  <si>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</si>
  <si>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</si>
  <si>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</si>
  <si>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</si>
  <si>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</si>
  <si>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</si>
  <si>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</si>
  <si>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</si>
  <si>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</si>
  <si>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</si>
  <si>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</si>
  <si>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</si>
  <si>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</si>
  <si>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</si>
  <si>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</si>
  <si>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</si>
  <si>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</si>
  <si>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</si>
  <si>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</si>
  <si>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</si>
  <si>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</si>
  <si>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</si>
  <si>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</si>
  <si>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</si>
  <si>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</si>
  <si>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</si>
  <si>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</si>
  <si>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</si>
  <si>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</si>
  <si>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</si>
  <si>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</si>
  <si>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</si>
  <si>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</si>
  <si>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</si>
  <si>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</si>
  <si>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</si>
  <si>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</si>
  <si>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</si>
  <si>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</si>
  <si>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</si>
  <si>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</si>
  <si>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</si>
  <si>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</si>
  <si>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</si>
  <si>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</si>
  <si>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</si>
  <si>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</si>
  <si>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</si>
  <si>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</si>
  <si>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</si>
  <si>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</si>
  <si>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</si>
  <si>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</si>
  <si>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</si>
  <si>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</si>
  <si>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</si>
  <si>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</si>
  <si>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</si>
  <si>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</si>
  <si>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</si>
  <si>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</si>
  <si>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</si>
  <si>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</si>
  <si>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</si>
  <si>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</si>
  <si>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</si>
  <si>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</si>
  <si>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</si>
  <si>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</si>
  <si>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</si>
  <si>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</si>
  <si>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</si>
  <si>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</si>
  <si>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</si>
  <si>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</si>
  <si>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</si>
  <si>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</si>
  <si>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</si>
  <si>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</si>
  <si>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</si>
  <si>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</si>
  <si>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</si>
  <si>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</si>
  <si>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</si>
  <si>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</si>
  <si>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</si>
  <si>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</si>
  <si>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</si>
  <si>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</si>
  <si>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</si>
  <si>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</si>
  <si>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</si>
  <si>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</si>
  <si>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</si>
  <si>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</si>
  <si>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</si>
  <si>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</si>
  <si>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</si>
  <si>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</si>
  <si>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</si>
  <si>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</si>
  <si>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</si>
  <si>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</si>
  <si>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</si>
  <si>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</si>
  <si>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</si>
  <si>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</si>
  <si>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</si>
  <si>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</si>
  <si>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</si>
  <si>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</si>
  <si>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</si>
  <si>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</si>
  <si>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</si>
  <si>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</si>
  <si>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</si>
  <si>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</si>
  <si>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</si>
  <si>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</si>
  <si>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</si>
  <si>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</si>
  <si>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</si>
  <si>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</si>
  <si>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</si>
  <si>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</si>
  <si>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</si>
  <si>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</si>
  <si>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</si>
  <si>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</si>
  <si>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</si>
  <si>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</si>
  <si>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</si>
  <si>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</si>
  <si>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</si>
  <si>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</si>
  <si>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</si>
  <si>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</si>
  <si>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</si>
  <si>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</si>
  <si>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</si>
  <si>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</si>
  <si>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</si>
  <si>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</si>
  <si>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</si>
  <si>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</si>
  <si>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</si>
  <si>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</si>
  <si>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</si>
  <si>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</si>
  <si>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</si>
  <si>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</si>
  <si>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</si>
  <si>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</si>
  <si>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</si>
  <si>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</si>
  <si>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</si>
  <si>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</si>
  <si>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</si>
  <si>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</si>
  <si>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</si>
  <si>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</si>
  <si>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</si>
  <si>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</si>
  <si>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</si>
  <si>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</si>
  <si>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</si>
  <si>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</si>
  <si>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</si>
  <si>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</si>
  <si>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</si>
  <si>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</si>
  <si>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</si>
  <si>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</si>
  <si>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</si>
  <si>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</si>
  <si>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</si>
  <si>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</si>
  <si>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</si>
  <si>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</si>
  <si>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</si>
  <si>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</si>
  <si>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</si>
  <si>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</si>
  <si>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</si>
  <si>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</si>
  <si>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</si>
  <si>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</si>
  <si>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</si>
  <si>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</si>
  <si>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</si>
  <si>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</si>
  <si>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</si>
  <si>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</si>
  <si>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</si>
  <si>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</si>
  <si>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</si>
  <si>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</si>
  <si>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</si>
  <si>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</si>
  <si>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</si>
  <si>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</si>
  <si>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</si>
  <si>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</si>
  <si>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</si>
  <si>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</si>
  <si>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</si>
  <si>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</si>
  <si>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</si>
  <si>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</si>
  <si>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</si>
  <si>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</si>
  <si>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</si>
  <si>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</si>
  <si>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</si>
  <si>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</si>
  <si>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</si>
  <si>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</si>
  <si>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</si>
  <si>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</si>
  <si>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</si>
  <si>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</si>
  <si>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</si>
  <si>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</si>
  <si>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</si>
  <si>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</si>
  <si>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</si>
  <si>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</si>
  <si>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</si>
  <si>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</si>
  <si>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</si>
  <si>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</si>
  <si>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</si>
  <si>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</si>
  <si>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</si>
  <si>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</si>
  <si>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</si>
  <si>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</si>
  <si>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</si>
  <si>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</si>
  <si>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</si>
  <si>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</si>
  <si>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</si>
  <si>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</si>
  <si>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</si>
  <si>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</si>
  <si>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</si>
  <si>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</si>
  <si>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</si>
  <si>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</si>
  <si>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</si>
  <si>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</si>
  <si>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</si>
  <si>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</si>
  <si>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</si>
  <si>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</si>
  <si>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</si>
  <si>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</si>
  <si>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</si>
  <si>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</si>
  <si>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</si>
  <si>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</si>
  <si>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</si>
  <si>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</si>
  <si>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</si>
  <si>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</si>
  <si>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</si>
  <si>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</si>
  <si>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</si>
  <si>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</si>
  <si>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</si>
  <si>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</si>
  <si>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</si>
  <si>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</si>
  <si>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</si>
  <si>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</si>
  <si>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</si>
  <si>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</si>
  <si>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</si>
  <si>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</si>
  <si>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</si>
  <si>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</si>
  <si>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</si>
  <si>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</si>
  <si>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</si>
  <si>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</si>
  <si>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</si>
  <si>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</si>
  <si>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</si>
  <si>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</si>
  <si>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</si>
  <si>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</si>
  <si>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</si>
  <si>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</si>
  <si>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</si>
  <si>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</si>
  <si>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</si>
  <si>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</si>
  <si>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</si>
  <si>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</si>
  <si>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</si>
  <si>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</si>
  <si>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</si>
  <si>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</si>
  <si>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</si>
  <si>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</si>
  <si>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</si>
  <si>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</si>
  <si>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</si>
  <si>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</si>
  <si>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</si>
  <si>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</si>
  <si>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</si>
  <si>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</si>
  <si>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</si>
  <si>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</si>
  <si>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</si>
  <si>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</si>
  <si>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</si>
  <si>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</si>
  <si>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</si>
  <si>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</si>
  <si>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</si>
  <si>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</si>
  <si>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</si>
  <si>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</si>
  <si>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</si>
  <si>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</si>
  <si>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</si>
  <si>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</si>
  <si>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</si>
  <si>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</si>
  <si>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</si>
  <si>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</si>
  <si>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</si>
  <si>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</si>
  <si>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</si>
  <si>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</si>
  <si>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</si>
  <si>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</si>
  <si>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</si>
  <si>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</si>
  <si>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</si>
  <si>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</si>
  <si>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</si>
  <si>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</si>
  <si>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</si>
  <si>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</si>
  <si>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</si>
  <si>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</si>
  <si>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</si>
  <si>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</si>
  <si>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</si>
  <si>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</si>
  <si>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</si>
  <si>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</si>
  <si>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</si>
  <si>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</si>
  <si>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</si>
  <si>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</si>
  <si>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</si>
  <si>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</si>
  <si>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</si>
  <si>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</si>
  <si>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</si>
  <si>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</si>
  <si>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</si>
  <si>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</si>
  <si>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</si>
  <si>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</si>
  <si>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</si>
  <si>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</si>
  <si>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</si>
  <si>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</si>
  <si>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</si>
  <si>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</si>
  <si>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</si>
  <si>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</si>
  <si>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</si>
  <si>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</si>
  <si>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</si>
  <si>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</si>
  <si>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</si>
  <si>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</si>
  <si>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</si>
  <si>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</si>
  <si>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</si>
  <si>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</si>
  <si>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</si>
  <si>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</si>
  <si>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</si>
  <si>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</si>
  <si>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</si>
  <si>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</si>
  <si>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</si>
  <si>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</si>
  <si>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</si>
  <si>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</si>
  <si>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</si>
  <si>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</si>
  <si>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</si>
  <si>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</si>
  <si>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</si>
  <si>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</si>
  <si>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</si>
  <si>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</si>
  <si>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</si>
  <si>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</si>
  <si>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</si>
  <si>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</si>
  <si>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</si>
  <si>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</si>
  <si>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</si>
  <si>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</si>
  <si>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</si>
  <si>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</si>
  <si>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</si>
  <si>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</si>
  <si>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</si>
  <si>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</si>
  <si>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</si>
  <si>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</si>
  <si>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</si>
  <si>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</si>
  <si>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</si>
  <si>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</si>
  <si>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</si>
  <si>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</si>
  <si>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</si>
  <si>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</si>
  <si>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</si>
  <si>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</si>
  <si>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</si>
  <si>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</si>
  <si>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</si>
  <si>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</si>
  <si>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</si>
  <si>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</si>
  <si>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</si>
  <si>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</si>
  <si>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</si>
  <si>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</si>
  <si>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</si>
  <si>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</si>
  <si>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</si>
  <si>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</si>
  <si>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</si>
  <si>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</si>
  <si>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</si>
  <si>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</si>
  <si>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</si>
  <si>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</si>
  <si>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</si>
  <si>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</si>
  <si>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</si>
  <si>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</si>
  <si>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</si>
  <si>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</si>
  <si>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</si>
  <si>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</si>
  <si>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</si>
  <si>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</si>
  <si>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</si>
  <si>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</si>
  <si>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</si>
  <si>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</si>
  <si>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</si>
  <si>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</si>
  <si>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</si>
  <si>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</si>
  <si>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</si>
  <si>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</si>
  <si>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</si>
  <si>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</si>
  <si>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</si>
  <si>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</si>
  <si>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</si>
  <si>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</si>
  <si>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</si>
  <si>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</si>
  <si>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</si>
  <si>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</si>
  <si>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</si>
  <si>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</si>
  <si>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</si>
  <si>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</si>
  <si>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</si>
  <si>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</si>
  <si>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</si>
  <si>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</si>
  <si>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</si>
  <si>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</si>
  <si>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</si>
  <si>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</si>
  <si>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</si>
  <si>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</si>
  <si>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</si>
  <si>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</si>
  <si>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</si>
  <si>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</si>
  <si>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</si>
  <si>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</si>
  <si>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</si>
  <si>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</si>
  <si>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</si>
  <si>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</si>
  <si>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</si>
  <si>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</si>
  <si>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</si>
  <si>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</si>
  <si>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</si>
  <si>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</si>
  <si>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</si>
  <si>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</si>
  <si>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</si>
  <si>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</si>
  <si>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</si>
  <si>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</si>
  <si>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</si>
  <si>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</si>
  <si>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</si>
  <si>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</si>
  <si>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</si>
  <si>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</si>
  <si>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</si>
  <si>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</si>
  <si>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</si>
  <si>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</si>
  <si>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</si>
  <si>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</si>
  <si>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</si>
  <si>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</si>
  <si>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</si>
  <si>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</si>
  <si>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</si>
  <si>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</si>
  <si>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</si>
  <si>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</si>
  <si>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</si>
  <si>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</si>
  <si>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</si>
  <si>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</si>
  <si>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</si>
  <si>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</si>
  <si>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</si>
  <si>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</si>
  <si>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</si>
  <si>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</si>
  <si>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</si>
  <si>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</si>
  <si>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</si>
  <si>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</si>
  <si>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</si>
  <si>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</si>
  <si>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</si>
  <si>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</si>
  <si>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</si>
  <si>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</si>
  <si>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</si>
  <si>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</si>
  <si>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</si>
  <si>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</si>
  <si>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</si>
  <si>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</si>
  <si>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</si>
  <si>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</si>
  <si>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</si>
  <si>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</si>
  <si>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</si>
  <si>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</si>
  <si>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</si>
  <si>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</si>
  <si>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</si>
  <si>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</si>
  <si>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</si>
  <si>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</si>
  <si>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</si>
  <si>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</si>
  <si>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</si>
  <si>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</si>
  <si>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</si>
  <si>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</si>
  <si>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</si>
  <si>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</si>
  <si>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</si>
  <si>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</si>
  <si>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</si>
  <si>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</si>
  <si>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</si>
  <si>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</si>
  <si>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</si>
  <si>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</si>
  <si>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</si>
  <si>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</si>
  <si>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</si>
  <si>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</si>
  <si>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</si>
  <si>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</si>
  <si>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</si>
  <si>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</si>
  <si>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</si>
  <si>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</si>
  <si>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</si>
  <si>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</si>
  <si>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</si>
  <si>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</si>
  <si>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</si>
  <si>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</si>
  <si>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</si>
  <si>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</si>
  <si>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</si>
  <si>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</si>
  <si>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</si>
  <si>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</si>
  <si>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</si>
  <si>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</si>
  <si>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</si>
  <si>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</si>
  <si>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</si>
  <si>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</si>
  <si>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</si>
  <si>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</si>
  <si>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</si>
  <si>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</si>
  <si>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</si>
  <si>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</si>
  <si>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</si>
  <si>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</si>
  <si>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</si>
  <si>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</si>
  <si>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</si>
  <si>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</si>
  <si>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</si>
  <si>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</si>
  <si>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</si>
  <si>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</si>
  <si>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</si>
  <si>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</si>
  <si>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</si>
  <si>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</si>
  <si>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</si>
  <si>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</si>
  <si>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</si>
  <si>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</si>
  <si>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</si>
  <si>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</si>
  <si>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</si>
  <si>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</si>
  <si>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</si>
  <si>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</si>
  <si>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</si>
  <si>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</si>
  <si>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</si>
  <si>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</si>
  <si>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</si>
  <si>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</si>
  <si>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</si>
  <si>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</si>
  <si>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</si>
  <si>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</si>
  <si>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</si>
  <si>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</si>
  <si>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</si>
  <si>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</si>
  <si>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</si>
  <si>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</si>
  <si>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</si>
  <si>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</si>
  <si>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</si>
  <si>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</si>
  <si>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</si>
  <si>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</si>
  <si>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</si>
  <si>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</si>
  <si>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</si>
  <si>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</si>
  <si>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</si>
  <si>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</si>
  <si>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</si>
  <si>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</si>
  <si>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</si>
  <si>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</si>
  <si>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</si>
  <si>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</si>
  <si>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</si>
  <si>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</si>
  <si>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</si>
  <si>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</si>
  <si>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</si>
  <si>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</si>
  <si>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</si>
  <si>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</si>
  <si>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</si>
  <si>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</si>
  <si>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</si>
  <si>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</si>
  <si>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</si>
  <si>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</si>
  <si>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</si>
  <si>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</si>
  <si>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</si>
  <si>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</si>
  <si>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</si>
  <si>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</si>
  <si>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</si>
  <si>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</si>
  <si>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</si>
  <si>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</si>
  <si>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</si>
  <si>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</si>
  <si>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</si>
  <si>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</si>
  <si>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</si>
  <si>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</si>
  <si>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</si>
  <si>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</si>
  <si>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</si>
  <si>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</si>
  <si>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</si>
  <si>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</si>
  <si>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</si>
  <si>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</si>
  <si>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</si>
  <si>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</si>
  <si>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</si>
  <si>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</si>
  <si>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</si>
  <si>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</si>
  <si>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</si>
  <si>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</si>
  <si>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</si>
  <si>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</si>
  <si>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</si>
  <si>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</si>
  <si>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</si>
  <si>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</si>
  <si>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</si>
  <si>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</si>
  <si>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</si>
  <si>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</si>
  <si>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</si>
  <si>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</si>
  <si>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</si>
  <si>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</si>
  <si>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</si>
  <si>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</si>
  <si>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</si>
  <si>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</si>
  <si>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</si>
  <si>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</si>
  <si>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</si>
  <si>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</si>
  <si>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</si>
  <si>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</si>
  <si>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</si>
  <si>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</si>
  <si>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</si>
  <si>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</si>
  <si>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</si>
  <si>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</si>
  <si>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</si>
  <si>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</si>
  <si>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</si>
  <si>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</si>
  <si>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</si>
  <si>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</si>
  <si>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</si>
  <si>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</si>
  <si>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</si>
  <si>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</si>
  <si>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</si>
  <si>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</si>
  <si>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</si>
  <si>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</si>
  <si>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</si>
  <si>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</si>
  <si>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</si>
  <si>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</si>
  <si>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</si>
  <si>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</si>
  <si>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</si>
  <si>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</si>
  <si>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</si>
  <si>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</si>
  <si>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</si>
  <si>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</si>
  <si>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</si>
  <si>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</si>
  <si>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</si>
  <si>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</si>
  <si>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</si>
  <si>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</si>
  <si>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</si>
  <si>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</si>
  <si>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</si>
  <si>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</si>
  <si>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</si>
  <si>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</si>
  <si>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</si>
  <si>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</si>
  <si>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</si>
  <si>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</si>
  <si>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</si>
  <si>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</si>
  <si>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</si>
  <si>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</si>
  <si>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</si>
  <si>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</si>
  <si>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</si>
  <si>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</si>
  <si>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</si>
  <si>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</si>
  <si>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</si>
  <si>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</si>
  <si>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</si>
  <si>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</si>
  <si>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</si>
  <si>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</si>
  <si>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</si>
  <si>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</si>
  <si>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</si>
  <si>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</si>
  <si>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</si>
  <si>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</si>
  <si>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</si>
  <si>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</si>
  <si>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</si>
  <si>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</si>
  <si>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</si>
  <si>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</si>
  <si>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</si>
  <si>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</si>
  <si>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</si>
  <si>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</si>
  <si>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</si>
  <si>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</si>
  <si>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</si>
  <si>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</si>
  <si>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</si>
  <si>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</si>
  <si>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</si>
  <si>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</si>
  <si>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</si>
  <si>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</si>
  <si>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</si>
  <si>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</si>
  <si>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</si>
  <si>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</si>
  <si>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</si>
  <si>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</si>
  <si>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</si>
  <si>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</si>
  <si>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</si>
  <si>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</si>
  <si>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</si>
  <si>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</si>
  <si>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</si>
  <si>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</si>
  <si>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</si>
  <si>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</si>
  <si>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</si>
  <si>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</si>
  <si>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</si>
  <si>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</si>
  <si>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</si>
  <si>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</si>
  <si>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</si>
  <si>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</si>
  <si>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</si>
  <si>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</si>
  <si>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</si>
  <si>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</si>
  <si>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</si>
  <si>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</si>
  <si>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</si>
  <si>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</si>
  <si>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</si>
  <si>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</si>
  <si>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</si>
  <si>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</si>
  <si>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</si>
  <si>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</si>
  <si>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</si>
  <si>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</si>
  <si>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</si>
  <si>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</si>
  <si>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</si>
  <si>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</si>
  <si>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</si>
  <si>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</si>
  <si>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</si>
  <si>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</si>
  <si>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</si>
  <si>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</si>
  <si>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</si>
  <si>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</si>
  <si>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</si>
  <si>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</si>
  <si>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</si>
  <si>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</si>
  <si>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</si>
  <si>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</si>
  <si>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</si>
  <si>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</si>
  <si>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</si>
  <si>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</si>
  <si>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</si>
  <si>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</si>
  <si>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</si>
  <si>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</si>
  <si>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</si>
  <si>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</si>
  <si>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</si>
  <si>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</si>
  <si>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</si>
  <si>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</si>
  <si>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</si>
  <si>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</si>
  <si>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</si>
  <si>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</si>
  <si>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</si>
  <si>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</si>
  <si>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</si>
  <si>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</si>
  <si>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</si>
  <si>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</si>
  <si>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</si>
  <si>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</si>
  <si>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</si>
  <si>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</si>
  <si>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</si>
  <si>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</si>
  <si>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</si>
  <si>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</si>
  <si>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</si>
  <si>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</si>
  <si>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</si>
  <si>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</si>
  <si>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</si>
  <si>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</si>
  <si>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</si>
  <si>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</si>
  <si>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</si>
  <si>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</si>
  <si>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</si>
  <si>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</si>
  <si>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</si>
  <si>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</si>
  <si>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</si>
  <si>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</si>
  <si>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</si>
  <si>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</si>
  <si>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</si>
  <si>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</si>
  <si>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</si>
  <si>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</si>
  <si>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</si>
  <si>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</si>
  <si>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</si>
  <si>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</si>
  <si>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</si>
  <si>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</si>
  <si>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</si>
  <si>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</si>
  <si>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</si>
  <si>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</si>
  <si>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</si>
  <si>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</si>
  <si>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</si>
  <si>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</si>
  <si>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</si>
  <si>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</si>
  <si>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</si>
  <si>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</si>
  <si>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</si>
  <si>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</si>
  <si>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</si>
  <si>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</si>
  <si>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</si>
  <si>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</si>
  <si>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</si>
  <si>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</si>
  <si>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</si>
  <si>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</si>
  <si>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</si>
  <si>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</si>
  <si>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</si>
  <si>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</si>
  <si>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</si>
  <si>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</si>
  <si>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</si>
  <si>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</si>
  <si>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</si>
  <si>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</si>
  <si>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</si>
  <si>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</si>
  <si>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</si>
  <si>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</si>
  <si>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</si>
  <si>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</si>
  <si>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</si>
  <si>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</si>
  <si>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</si>
  <si>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</si>
  <si>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</si>
  <si>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</si>
  <si>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</si>
  <si>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</si>
  <si>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</si>
  <si>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</si>
  <si>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</si>
  <si>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</si>
  <si>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</si>
  <si>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</si>
  <si>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</si>
  <si>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</si>
  <si>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</si>
  <si>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</si>
  <si>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</si>
  <si>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</si>
  <si>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</si>
  <si>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</si>
  <si>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</si>
  <si>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</si>
  <si>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</si>
  <si>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</si>
  <si>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</si>
  <si>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</si>
  <si>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</si>
  <si>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</si>
  <si>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</si>
  <si>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</si>
  <si>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</si>
  <si>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</si>
  <si>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</si>
  <si>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</si>
  <si>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</si>
  <si>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</si>
  <si>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</si>
  <si>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</si>
  <si>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</si>
  <si>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</si>
  <si>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</si>
  <si>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</si>
  <si>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</si>
  <si>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</si>
  <si>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</si>
  <si>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</si>
  <si>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</si>
  <si>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</si>
  <si>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</si>
  <si>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</si>
  <si>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</si>
  <si>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</si>
  <si>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</si>
  <si>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</si>
  <si>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</si>
  <si>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</si>
  <si>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</si>
  <si>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</si>
  <si>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</si>
  <si>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</si>
  <si>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</si>
  <si>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</si>
  <si>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</si>
  <si>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</si>
  <si>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</si>
  <si>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</si>
  <si>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</si>
  <si>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</si>
  <si>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</si>
  <si>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</si>
  <si>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</si>
  <si>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</si>
  <si>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</si>
  <si>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</si>
  <si>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</si>
  <si>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</si>
  <si>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</si>
  <si>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</si>
  <si>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</si>
  <si>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</si>
  <si>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</si>
  <si>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</si>
  <si>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</si>
  <si>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</si>
  <si>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</si>
  <si>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</si>
  <si>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</si>
  <si>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</si>
  <si>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</si>
  <si>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</si>
  <si>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</si>
  <si>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</si>
  <si>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</si>
  <si>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</si>
  <si>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</si>
  <si>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</si>
  <si>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</si>
  <si>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</si>
  <si>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</si>
  <si>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</si>
  <si>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</si>
  <si>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</si>
  <si>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</si>
  <si>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</si>
  <si>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</si>
  <si>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</si>
  <si>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</si>
  <si>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</si>
  <si>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</si>
  <si>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</si>
  <si>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</si>
  <si>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</si>
  <si>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</si>
  <si>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</si>
  <si>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</si>
  <si>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</si>
  <si>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</si>
  <si>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</si>
  <si>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</si>
  <si>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</si>
  <si>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</si>
  <si>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</si>
  <si>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</si>
  <si>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</si>
  <si>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</si>
  <si>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</si>
  <si>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</si>
  <si>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</si>
  <si>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</si>
  <si>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</si>
  <si>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</si>
  <si>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</si>
  <si>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</si>
  <si>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</si>
  <si>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</si>
  <si>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</si>
  <si>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</si>
  <si>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</si>
  <si>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</si>
  <si>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</si>
  <si>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</si>
  <si>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</si>
  <si>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</si>
  <si>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</si>
  <si>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</si>
  <si>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</si>
  <si>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</si>
  <si>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</si>
  <si>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</si>
  <si>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</si>
  <si>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</si>
  <si>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</si>
  <si>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</si>
  <si>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</si>
  <si>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</si>
  <si>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</si>
  <si>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</si>
  <si>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</si>
  <si>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</si>
  <si>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</si>
  <si>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</si>
  <si>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</si>
  <si>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</si>
  <si>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</si>
  <si>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</si>
  <si>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</si>
  <si>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</si>
  <si>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</si>
  <si>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</si>
  <si>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</si>
  <si>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</si>
  <si>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</si>
  <si>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</si>
  <si>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</si>
  <si>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</si>
  <si>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</si>
  <si>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</si>
  <si>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</si>
  <si>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</si>
  <si>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</si>
  <si>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</si>
  <si>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</si>
  <si>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</si>
  <si>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</si>
  <si>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</si>
  <si>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</si>
  <si>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</si>
  <si>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</si>
  <si>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</si>
  <si>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</si>
  <si>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</si>
  <si>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</si>
  <si>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</si>
  <si>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</si>
  <si>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</si>
  <si>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</si>
  <si>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</si>
  <si>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</si>
  <si>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</si>
  <si>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</si>
  <si>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</si>
  <si>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</si>
  <si>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</si>
  <si>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</si>
  <si>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</si>
  <si>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</si>
  <si>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</si>
  <si>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</si>
  <si>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</si>
  <si>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</si>
  <si>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</si>
  <si>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</si>
  <si>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</si>
  <si>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</si>
  <si>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</si>
  <si>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</si>
  <si>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</si>
  <si>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</si>
  <si>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</si>
  <si>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</si>
  <si>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</si>
  <si>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</si>
  <si>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</si>
  <si>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</si>
  <si>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</si>
  <si>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</si>
  <si>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</si>
  <si>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</si>
  <si>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</si>
  <si>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</si>
  <si>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</si>
  <si>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</si>
  <si>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</si>
  <si>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</si>
  <si>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</si>
  <si>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</si>
  <si>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</si>
  <si>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</si>
  <si>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</si>
  <si>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</si>
  <si>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</si>
  <si>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</si>
  <si>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</si>
  <si>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</si>
  <si>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</si>
  <si>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</si>
  <si>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</si>
  <si>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</si>
  <si>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</si>
  <si>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</si>
  <si>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</si>
  <si>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</si>
  <si>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</si>
  <si>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</si>
  <si>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</si>
  <si>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</si>
  <si>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</si>
  <si>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</si>
  <si>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</si>
  <si>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</si>
  <si>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</si>
  <si>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</si>
  <si>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</si>
  <si>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</si>
  <si>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</si>
  <si>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</si>
  <si>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</si>
  <si>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</si>
  <si>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</si>
  <si>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</si>
  <si>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</si>
  <si>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</si>
  <si>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</si>
  <si>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</si>
  <si>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</si>
  <si>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</si>
  <si>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</si>
  <si>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</si>
  <si>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</si>
  <si>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</si>
  <si>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</si>
  <si>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</si>
  <si>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</si>
  <si>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</si>
  <si>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</si>
  <si>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</si>
  <si>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</si>
  <si>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</si>
  <si>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</si>
  <si>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</si>
  <si>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</si>
  <si>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</si>
  <si>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</si>
  <si>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</si>
  <si>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</si>
  <si>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</si>
  <si>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</si>
  <si>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</si>
  <si>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</si>
  <si>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</si>
  <si>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</si>
  <si>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</si>
  <si>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</si>
  <si>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</si>
  <si>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</si>
  <si>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</si>
  <si>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</si>
  <si>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</si>
  <si>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</si>
  <si>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</si>
  <si>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</si>
  <si>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</si>
  <si>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</si>
  <si>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</si>
  <si>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</si>
  <si>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</si>
  <si>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</si>
  <si>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</si>
  <si>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</si>
  <si>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</si>
  <si>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</si>
  <si>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</si>
  <si>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</si>
  <si>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</si>
  <si>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</si>
  <si>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</si>
  <si>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</si>
  <si>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</si>
  <si>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</si>
  <si>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</si>
  <si>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</si>
  <si>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</si>
  <si>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</si>
  <si>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</si>
  <si>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</si>
  <si>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</si>
  <si>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</si>
  <si>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</si>
  <si>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</si>
  <si>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</si>
  <si>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</si>
  <si>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</si>
  <si>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</si>
  <si>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</si>
  <si>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</si>
  <si>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</si>
  <si>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</si>
  <si>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</si>
  <si>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</si>
  <si>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</si>
  <si>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</si>
  <si>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</si>
  <si>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</si>
  <si>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</si>
  <si>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</si>
  <si>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</si>
  <si>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</si>
  <si>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</si>
  <si>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</si>
  <si>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</si>
  <si>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</si>
  <si>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</si>
  <si>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</si>
  <si>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</si>
  <si>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</si>
  <si>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</si>
  <si>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</si>
  <si>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</si>
  <si>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</si>
  <si>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</si>
  <si>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</si>
  <si>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</si>
  <si>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</si>
  <si>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</si>
  <si>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</si>
  <si>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</si>
  <si>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</si>
  <si>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</si>
  <si>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</si>
  <si>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</si>
  <si>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</si>
  <si>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</si>
  <si>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</si>
  <si>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</si>
  <si>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</si>
  <si>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</si>
  <si>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</si>
  <si>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</si>
  <si>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</si>
  <si>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</si>
  <si>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</si>
  <si>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</si>
  <si>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</si>
  <si>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</si>
  <si>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</si>
  <si>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</si>
  <si>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</si>
  <si>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</si>
  <si>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</si>
  <si>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</si>
  <si>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</si>
  <si>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</si>
  <si>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</si>
  <si>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</si>
  <si>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</si>
  <si>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</si>
  <si>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</si>
  <si>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</si>
  <si>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</si>
  <si>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</si>
  <si>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</si>
  <si>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</si>
  <si>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</si>
  <si>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</si>
  <si>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</si>
  <si>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</si>
  <si>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</si>
  <si>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</si>
  <si>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</si>
  <si>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</si>
  <si>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</si>
  <si>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</si>
  <si>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</si>
  <si>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</si>
  <si>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</si>
  <si>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</si>
  <si>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</si>
  <si>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</si>
  <si>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</si>
  <si>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</si>
  <si>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</si>
  <si>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</si>
  <si>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</si>
  <si>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</si>
  <si>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</si>
  <si>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</si>
  <si>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</si>
  <si>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</si>
  <si>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</si>
  <si>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</si>
  <si>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</si>
  <si>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</si>
  <si>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</si>
  <si>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</si>
  <si>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</si>
  <si>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</si>
  <si>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</si>
  <si>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</si>
  <si>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</si>
  <si>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</si>
  <si>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</si>
  <si>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</si>
  <si>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</si>
  <si>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</si>
  <si>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</si>
  <si>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</si>
  <si>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</si>
  <si>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</si>
  <si>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</si>
  <si>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</si>
  <si>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</si>
  <si>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</si>
  <si>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</si>
  <si>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</si>
  <si>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</si>
  <si>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</si>
  <si>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</si>
  <si>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</si>
  <si>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</si>
  <si>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</si>
  <si>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</si>
  <si>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</si>
  <si>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</si>
  <si>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</si>
  <si>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</si>
  <si>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</si>
  <si>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</si>
  <si>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</si>
  <si>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</si>
  <si>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</si>
  <si>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</si>
  <si>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</si>
  <si>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</si>
  <si>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</si>
  <si>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</si>
  <si>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</si>
  <si>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</si>
  <si>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</si>
  <si>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</si>
  <si>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</si>
  <si>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</si>
  <si>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</si>
  <si>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</si>
  <si>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</si>
  <si>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</si>
  <si>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</si>
  <si>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</si>
  <si>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</si>
  <si>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</si>
  <si>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</si>
  <si>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</si>
  <si>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</si>
  <si>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</si>
  <si>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</si>
  <si>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</si>
  <si>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</si>
  <si>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</si>
  <si>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</si>
  <si>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</si>
  <si>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</si>
  <si>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</si>
  <si>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</si>
  <si>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</si>
  <si>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</si>
  <si>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</si>
  <si>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</si>
  <si>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</si>
  <si>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</si>
  <si>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</si>
  <si>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</si>
  <si>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</si>
  <si>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</si>
  <si>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</si>
  <si>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</si>
  <si>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</si>
  <si>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</si>
  <si>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</si>
  <si>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</si>
  <si>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</si>
  <si>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</si>
  <si>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</si>
  <si>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</si>
  <si>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</si>
  <si>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</si>
  <si>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</si>
  <si>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</si>
  <si>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</si>
  <si>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</si>
  <si>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</si>
  <si>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</si>
  <si>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</si>
  <si>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</si>
  <si>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</si>
  <si>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</si>
  <si>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</si>
  <si>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</si>
  <si>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</si>
  <si>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</si>
  <si>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</si>
  <si>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</si>
  <si>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</si>
  <si>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</si>
  <si>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</si>
  <si>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</si>
  <si>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</si>
  <si>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</si>
  <si>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</si>
  <si>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</si>
  <si>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</si>
  <si>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</si>
  <si>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</si>
  <si>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</si>
  <si>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</si>
  <si>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</si>
  <si>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</si>
  <si>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</si>
  <si>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</si>
  <si>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</si>
  <si>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</si>
  <si>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</si>
  <si>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</si>
  <si>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</si>
  <si>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</si>
  <si>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</si>
  <si>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</si>
  <si>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</si>
  <si>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</si>
  <si>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</si>
  <si>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</si>
  <si>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</si>
  <si>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</si>
  <si>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</si>
  <si>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</si>
  <si>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</si>
  <si>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</si>
  <si>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</si>
  <si>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</si>
  <si>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</si>
  <si>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</si>
  <si>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</si>
  <si>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</si>
  <si>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</si>
  <si>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</si>
  <si>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</si>
  <si>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</si>
  <si>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</si>
  <si>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</si>
  <si>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</si>
  <si>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</si>
  <si>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</si>
  <si>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</si>
  <si>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</si>
  <si>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</si>
  <si>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</si>
  <si>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</si>
  <si>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</si>
  <si>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</si>
  <si>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</si>
  <si>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</si>
  <si>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</si>
  <si>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</si>
  <si>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</si>
  <si>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</si>
  <si>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</si>
  <si>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</si>
  <si>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</si>
  <si>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</si>
  <si>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</si>
  <si>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</si>
  <si>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</si>
  <si>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</si>
  <si>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</si>
  <si>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</si>
  <si>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</si>
  <si>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</si>
  <si>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</si>
  <si>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</si>
  <si>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</si>
  <si>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</si>
  <si>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</si>
  <si>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</si>
  <si>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</si>
  <si>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</si>
  <si>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</si>
  <si>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</si>
  <si>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</si>
  <si>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</si>
  <si>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</si>
  <si>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</si>
  <si>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</si>
  <si>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</si>
  <si>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</si>
  <si>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</si>
  <si>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</si>
  <si>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</si>
  <si>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</si>
  <si>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</si>
  <si>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</si>
  <si>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</si>
  <si>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</si>
  <si>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</si>
  <si>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</si>
  <si>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</si>
  <si>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</si>
  <si>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</si>
  <si>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</si>
  <si>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</si>
  <si>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</si>
  <si>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</si>
  <si>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</si>
  <si>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</si>
  <si>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</si>
  <si>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</si>
  <si>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</si>
  <si>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</si>
  <si>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</si>
  <si>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</si>
  <si>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</si>
  <si>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</si>
  <si>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</si>
  <si>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</si>
  <si>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</si>
  <si>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</si>
  <si>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</si>
  <si>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</si>
  <si>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</si>
  <si>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</si>
  <si>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</si>
  <si>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</si>
  <si>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</si>
  <si>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</si>
  <si>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</si>
  <si>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</si>
  <si>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</si>
  <si>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</si>
  <si>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</si>
  <si>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</si>
  <si>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</si>
  <si>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</si>
  <si>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</si>
  <si>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</si>
  <si>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</si>
  <si>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</si>
  <si>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</si>
  <si>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</si>
  <si>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</si>
  <si>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</si>
  <si>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</si>
  <si>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</si>
  <si>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</si>
  <si>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</si>
  <si>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</si>
  <si>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</si>
  <si>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</si>
  <si>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</si>
  <si>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</si>
  <si>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</si>
  <si>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</si>
  <si>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</si>
  <si>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</si>
  <si>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</si>
  <si>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</si>
  <si>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</si>
  <si>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</si>
  <si>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</si>
  <si>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</si>
  <si>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</si>
  <si>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</si>
  <si>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</si>
  <si>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</si>
  <si>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</si>
  <si>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</si>
  <si>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</si>
  <si>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</si>
  <si>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</si>
  <si>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</si>
  <si>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</si>
  <si>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</si>
  <si>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</si>
  <si>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</si>
  <si>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</si>
  <si>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</si>
  <si>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</si>
  <si>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</si>
  <si>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</si>
  <si>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</si>
  <si>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</si>
  <si>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</si>
  <si>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</si>
  <si>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</si>
  <si>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</si>
  <si>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</si>
  <si>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</si>
  <si>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</si>
  <si>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</si>
  <si>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</si>
  <si>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</si>
  <si>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</si>
  <si>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</si>
  <si>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</si>
  <si>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</si>
  <si>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</si>
  <si>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</si>
  <si>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</si>
  <si>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</si>
  <si>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</si>
  <si>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</si>
  <si>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</si>
  <si>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</si>
  <si>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</si>
  <si>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</si>
  <si>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</si>
  <si>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</si>
  <si>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</si>
  <si>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</si>
  <si>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</si>
  <si>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</si>
  <si>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</si>
  <si>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</si>
  <si>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</si>
  <si>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</si>
  <si>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</si>
  <si>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</si>
  <si>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</si>
  <si>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</si>
  <si>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</si>
  <si>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</si>
  <si>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</si>
  <si>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</si>
  <si>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</si>
  <si>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</si>
  <si>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</si>
  <si>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</si>
  <si>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</si>
  <si>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</si>
  <si>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</si>
  <si>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</si>
  <si>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</si>
  <si>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</si>
  <si>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</si>
  <si>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</si>
  <si>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</si>
  <si>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</si>
  <si>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</si>
  <si>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</si>
  <si>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</si>
  <si>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</si>
  <si>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</si>
  <si>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</si>
  <si>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</si>
  <si>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</si>
  <si>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</si>
  <si>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</si>
  <si>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</si>
  <si>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</si>
  <si>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</si>
  <si>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</si>
  <si>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</si>
  <si>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</si>
  <si>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</si>
  <si>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</si>
  <si>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</si>
  <si>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</si>
  <si>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</si>
  <si>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</si>
  <si>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</si>
  <si>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</si>
  <si>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</si>
  <si>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</si>
  <si>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</si>
  <si>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</si>
  <si>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</si>
  <si>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</si>
  <si>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</si>
  <si>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</si>
  <si>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</si>
  <si>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</si>
  <si>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</si>
  <si>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</si>
  <si>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</si>
  <si>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</si>
  <si>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</si>
  <si>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</si>
  <si>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</si>
  <si>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</si>
  <si>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</si>
  <si>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</si>
  <si>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</si>
  <si>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</si>
  <si>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</si>
  <si>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</si>
  <si>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</si>
  <si>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</si>
  <si>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</si>
  <si>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</si>
  <si>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</si>
  <si>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</si>
  <si>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</si>
  <si>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</si>
  <si>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</si>
  <si>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</si>
  <si>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</si>
  <si>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</si>
  <si>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</si>
  <si>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</si>
  <si>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</si>
  <si>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</si>
  <si>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</si>
  <si>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</si>
  <si>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</si>
  <si>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</si>
  <si>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</si>
  <si>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</si>
  <si>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</si>
  <si>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</si>
  <si>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</si>
  <si>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</si>
  <si>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</si>
  <si>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</si>
  <si>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</si>
  <si>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</si>
  <si>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</si>
  <si>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</si>
  <si>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</si>
  <si>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</si>
  <si>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</si>
  <si>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</si>
  <si>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</si>
  <si>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</si>
  <si>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</si>
  <si>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</si>
  <si>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</si>
  <si>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</si>
  <si>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</si>
  <si>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</si>
  <si>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</si>
  <si>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</si>
  <si>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</si>
  <si>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</si>
  <si>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</si>
  <si>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</si>
  <si>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</si>
  <si>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</si>
  <si>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</si>
  <si>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</si>
  <si>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</si>
  <si>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</si>
  <si>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</si>
  <si>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</si>
  <si>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</si>
  <si>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</si>
  <si>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</si>
  <si>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</si>
  <si>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</si>
  <si>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</si>
  <si>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</si>
  <si>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</si>
  <si>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</si>
  <si>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</si>
  <si>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</si>
  <si>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</si>
  <si>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</si>
  <si>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</si>
  <si>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</si>
  <si>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</si>
  <si>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</si>
  <si>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</si>
  <si>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</si>
  <si>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</si>
  <si>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</si>
  <si>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</si>
  <si>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</si>
  <si>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</si>
  <si>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</si>
  <si>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</si>
  <si>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</si>
  <si>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</si>
  <si>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</si>
  <si>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</si>
  <si>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</si>
  <si>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</si>
  <si>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</si>
  <si>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</si>
  <si>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</si>
  <si>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</si>
  <si>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</si>
  <si>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</si>
  <si>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</si>
  <si>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</si>
  <si>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</si>
  <si>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</si>
  <si>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</si>
  <si>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</si>
  <si>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</si>
  <si>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</si>
  <si>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</si>
  <si>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</si>
  <si>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</si>
  <si>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</si>
  <si>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</si>
  <si>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</si>
  <si>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</si>
  <si>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</si>
  <si>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</si>
  <si>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</si>
  <si>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</si>
  <si>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</si>
  <si>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</si>
  <si>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</si>
  <si>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</si>
  <si>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</si>
  <si>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</si>
  <si>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</si>
  <si>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</si>
  <si>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</si>
  <si>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</si>
  <si>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</si>
  <si>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</si>
  <si>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</si>
  <si>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</si>
  <si>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</si>
  <si>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</si>
  <si>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</si>
  <si>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</si>
  <si>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</si>
  <si>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</si>
  <si>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</si>
  <si>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</si>
  <si>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</si>
  <si>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</si>
  <si>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</si>
  <si>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</si>
  <si>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</si>
  <si>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</si>
  <si>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</si>
  <si>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</si>
  <si>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</si>
  <si>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</si>
  <si>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</si>
  <si>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</si>
  <si>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</si>
  <si>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</si>
  <si>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</si>
  <si>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</si>
  <si>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</si>
  <si>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</si>
  <si>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</si>
  <si>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</si>
  <si>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</si>
  <si>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</si>
  <si>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</si>
  <si>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</si>
  <si>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</si>
  <si>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</si>
  <si>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</si>
  <si>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</si>
  <si>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</si>
  <si>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</si>
  <si>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</si>
  <si>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</si>
  <si>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</si>
  <si>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</si>
  <si>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</si>
  <si>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</si>
  <si>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</si>
  <si>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</si>
  <si>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</si>
  <si>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</si>
  <si>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</si>
  <si>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</si>
  <si>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</si>
  <si>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</si>
  <si>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</si>
  <si>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</si>
  <si>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</si>
  <si>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</si>
  <si>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</si>
  <si>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</si>
  <si>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</si>
  <si>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</si>
  <si>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</si>
  <si>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</si>
  <si>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</si>
  <si>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</si>
  <si>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</si>
  <si>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</si>
  <si>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</si>
  <si>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</si>
  <si>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</si>
  <si>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</si>
  <si>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</si>
  <si>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</si>
  <si>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</si>
  <si>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</si>
  <si>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</si>
  <si>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</si>
  <si>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</si>
  <si>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</si>
  <si>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</si>
  <si>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</si>
  <si>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</si>
  <si>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</si>
  <si>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</si>
  <si>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</si>
  <si>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</si>
  <si>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</si>
  <si>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</si>
  <si>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</si>
  <si>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</si>
  <si>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</si>
  <si>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</si>
  <si>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</si>
  <si>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</si>
  <si>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</si>
  <si>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</si>
  <si>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</si>
  <si>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</si>
  <si>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</si>
  <si>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</si>
  <si>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</si>
  <si>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</si>
  <si>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</si>
  <si>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</si>
  <si>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</si>
  <si>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</si>
  <si>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</si>
  <si>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</si>
  <si>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</si>
  <si>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</si>
  <si>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</si>
  <si>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</si>
  <si>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</si>
  <si>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</si>
  <si>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</si>
  <si>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</si>
  <si>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</si>
  <si>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</si>
  <si>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</si>
  <si>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</si>
  <si>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</si>
  <si>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</si>
  <si>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</si>
  <si>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</si>
  <si>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</si>
  <si>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</si>
  <si>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</si>
  <si>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</si>
  <si>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</si>
  <si>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</si>
  <si>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</si>
  <si>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</si>
  <si>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</si>
  <si>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</si>
  <si>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</si>
  <si>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</si>
  <si>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</si>
  <si>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</si>
  <si>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</si>
  <si>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</si>
  <si>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</si>
  <si>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</si>
  <si>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</si>
  <si>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</si>
  <si>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</si>
  <si>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</si>
  <si>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</si>
  <si>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</si>
  <si>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</si>
  <si>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</si>
  <si>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</si>
  <si>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</si>
  <si>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</si>
  <si>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</si>
  <si>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</si>
  <si>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</si>
  <si>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</si>
  <si>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</si>
  <si>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</si>
  <si>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</si>
  <si>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</si>
  <si>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</si>
  <si>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</si>
  <si>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</si>
  <si>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</si>
  <si>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</si>
  <si>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</si>
  <si>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</si>
  <si>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</si>
  <si>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</si>
  <si>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</si>
  <si>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</si>
  <si>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</si>
  <si>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</si>
  <si>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</si>
  <si>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</si>
  <si>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</si>
  <si>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</si>
  <si>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</si>
  <si>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</si>
  <si>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</si>
  <si>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</si>
  <si>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</si>
  <si>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</si>
  <si>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</si>
  <si>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</si>
  <si>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</si>
  <si>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</si>
  <si>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</si>
  <si>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</si>
  <si>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</si>
  <si>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</si>
  <si>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</si>
  <si>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</si>
  <si>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</si>
  <si>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</si>
  <si>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</si>
  <si>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</si>
  <si>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</si>
  <si>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</si>
  <si>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</si>
  <si>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</si>
  <si>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</si>
  <si>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</si>
  <si>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</si>
  <si>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</si>
  <si>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</si>
  <si>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</si>
  <si>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</si>
  <si>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</si>
  <si>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</si>
  <si>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</si>
  <si>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</si>
  <si>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</si>
  <si>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</si>
  <si>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</si>
  <si>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</si>
  <si>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</si>
  <si>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</si>
  <si>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</si>
  <si>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</si>
  <si>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</si>
  <si>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</si>
  <si>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</si>
  <si>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</si>
  <si>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</si>
  <si>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</si>
  <si>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</si>
  <si>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</si>
  <si>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</si>
  <si>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</si>
  <si>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</si>
  <si>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</si>
  <si>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</si>
  <si>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</si>
  <si>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</si>
  <si>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</si>
  <si>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</si>
  <si>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</si>
  <si>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</si>
  <si>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</si>
  <si>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</si>
  <si>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</si>
  <si>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</si>
  <si>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</si>
  <si>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</si>
  <si>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</si>
  <si>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</si>
  <si>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</si>
  <si>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</si>
  <si>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</si>
  <si>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</si>
  <si>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</si>
  <si>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</si>
  <si>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</si>
  <si>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</si>
  <si>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</si>
  <si>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</si>
  <si>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</si>
  <si>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</si>
  <si>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</si>
  <si>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</si>
  <si>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</si>
  <si>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</si>
  <si>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</si>
  <si>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</si>
  <si>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</si>
  <si>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</si>
  <si>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</si>
  <si>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</si>
  <si>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</si>
  <si>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</si>
  <si>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</si>
  <si>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</si>
  <si>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</si>
  <si>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</si>
  <si>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</si>
  <si>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</si>
  <si>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</si>
  <si>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</si>
  <si>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</si>
  <si>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</si>
  <si>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</si>
  <si>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</si>
  <si>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</si>
  <si>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</si>
  <si>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</si>
  <si>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</si>
  <si>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</si>
  <si>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</si>
  <si>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</si>
  <si>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</si>
  <si>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</si>
  <si>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</si>
  <si>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</si>
  <si>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</si>
  <si>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</si>
  <si>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</si>
  <si>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</si>
  <si>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</si>
  <si>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</si>
  <si>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</si>
  <si>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</si>
  <si>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</si>
  <si>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</si>
  <si>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</si>
  <si>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</si>
  <si>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</si>
  <si>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</si>
  <si>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</si>
  <si>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</si>
  <si>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</si>
  <si>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</si>
  <si>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</si>
  <si>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</si>
  <si>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</si>
  <si>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</si>
  <si>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</si>
  <si>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</si>
  <si>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</si>
  <si>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</si>
  <si>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</si>
  <si>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</si>
  <si>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</si>
  <si>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</si>
  <si>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</si>
  <si>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</si>
  <si>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</si>
  <si>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</si>
  <si>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</si>
  <si>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</si>
  <si>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</si>
  <si>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</si>
  <si>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</si>
  <si>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</si>
  <si>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</si>
  <si>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</si>
  <si>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</si>
  <si>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</si>
  <si>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</si>
  <si>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</si>
  <si>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</si>
  <si>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</si>
  <si>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</si>
  <si>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</si>
  <si>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</si>
  <si>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</si>
  <si>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</si>
  <si>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</si>
  <si>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</si>
  <si>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</si>
  <si>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</si>
  <si>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</si>
  <si>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</si>
  <si>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</si>
  <si>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</si>
  <si>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</si>
  <si>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</si>
  <si>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</si>
  <si>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</si>
  <si>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</si>
  <si>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</si>
  <si>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</si>
  <si>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</si>
  <si>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</si>
  <si>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</si>
  <si>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</si>
  <si>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</si>
  <si>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</si>
  <si>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</si>
  <si>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</si>
  <si>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</si>
  <si>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</si>
  <si>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</si>
  <si>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</si>
  <si>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</si>
  <si>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</si>
  <si>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</si>
  <si>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</si>
  <si>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</si>
  <si>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</si>
  <si>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</si>
  <si>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</si>
  <si>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</si>
  <si>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</si>
  <si>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</si>
  <si>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</si>
  <si>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</si>
  <si>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</si>
  <si>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</si>
  <si>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</si>
  <si>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</si>
  <si>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</si>
  <si>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</si>
  <si>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</si>
  <si>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</si>
  <si>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</si>
  <si>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</si>
  <si>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</si>
  <si>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</si>
  <si>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</si>
  <si>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</si>
  <si>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</si>
  <si>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</si>
  <si>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</si>
  <si>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</si>
  <si>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</si>
  <si>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</si>
  <si>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</si>
  <si>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</si>
  <si>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</si>
  <si>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</si>
  <si>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</si>
  <si>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</si>
  <si>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</si>
  <si>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</si>
  <si>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</si>
  <si>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</si>
  <si>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</si>
  <si>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</si>
  <si>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</si>
  <si>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</si>
  <si>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</si>
  <si>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</si>
  <si>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</si>
  <si>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</si>
  <si>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</si>
  <si>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</si>
  <si>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</si>
  <si>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</si>
  <si>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</si>
  <si>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</si>
  <si>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</si>
  <si>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</si>
  <si>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</si>
  <si>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</si>
  <si>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</si>
  <si>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</si>
  <si>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</si>
  <si>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</si>
  <si>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</si>
  <si>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</si>
  <si>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</si>
  <si>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</si>
  <si>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</si>
  <si>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</si>
  <si>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</si>
  <si>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</si>
  <si>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</si>
  <si>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</si>
  <si>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</si>
  <si>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</si>
  <si>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</si>
  <si>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</si>
  <si>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</si>
  <si>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</si>
  <si>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</si>
  <si>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</si>
  <si>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</si>
  <si>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</si>
  <si>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</si>
  <si>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</si>
  <si>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</si>
  <si>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</si>
  <si>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</si>
  <si>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</si>
  <si>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</si>
  <si>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</si>
  <si>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</si>
  <si>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</si>
  <si>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</si>
  <si>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</si>
  <si>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</si>
  <si>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</si>
  <si>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</si>
  <si>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</si>
  <si>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</si>
  <si>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</si>
  <si>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</si>
  <si>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</si>
  <si>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</si>
  <si>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</si>
  <si>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</si>
  <si>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</si>
  <si>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</si>
  <si>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</si>
  <si>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</si>
  <si>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</si>
  <si>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</si>
  <si>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</si>
  <si>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</si>
  <si>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</si>
  <si>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</si>
  <si>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</si>
  <si>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</si>
  <si>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</si>
  <si>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</si>
  <si>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</si>
  <si>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</si>
  <si>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</si>
  <si>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</si>
  <si>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</si>
  <si>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</si>
  <si>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</si>
  <si>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</si>
  <si>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</si>
  <si>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</si>
  <si>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</si>
  <si>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</si>
  <si>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</si>
  <si>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</si>
  <si>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</si>
  <si>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</si>
  <si>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</si>
  <si>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</si>
  <si>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</si>
  <si>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</si>
  <si>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</si>
  <si>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</si>
  <si>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</si>
  <si>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</si>
  <si>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</si>
  <si>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</si>
  <si>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</si>
  <si>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</si>
  <si>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</si>
  <si>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</si>
  <si>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</si>
  <si>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</si>
  <si>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</si>
  <si>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</si>
  <si>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</si>
  <si>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</si>
  <si>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</si>
  <si>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</si>
  <si>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</si>
  <si>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</si>
  <si>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</si>
  <si>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</si>
  <si>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</si>
  <si>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</si>
  <si>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</si>
  <si>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</si>
  <si>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</si>
  <si>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</si>
  <si>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</si>
  <si>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</si>
  <si>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</si>
  <si>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</si>
  <si>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</si>
  <si>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</si>
  <si>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</si>
  <si>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</si>
  <si>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</si>
  <si>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</si>
  <si>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</si>
  <si>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</si>
  <si>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</si>
  <si>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</si>
  <si>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</si>
  <si>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</si>
  <si>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</si>
  <si>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</si>
  <si>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</si>
  <si>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</si>
  <si>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</si>
  <si>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</si>
  <si>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</si>
  <si>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</si>
  <si>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</si>
  <si>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</si>
  <si>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</si>
  <si>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</si>
  <si>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</si>
  <si>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</si>
  <si>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</si>
  <si>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</si>
  <si>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</si>
  <si>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</si>
  <si>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</si>
  <si>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</si>
  <si>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</si>
  <si>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</si>
  <si>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</si>
  <si>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</si>
  <si>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</si>
  <si>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</si>
  <si>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</si>
  <si>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</si>
  <si>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</si>
  <si>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</si>
  <si>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</si>
  <si>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</si>
  <si>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</si>
  <si>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</si>
  <si>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</si>
  <si>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</si>
  <si>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</si>
  <si>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</si>
  <si>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</si>
  <si>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</si>
  <si>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</si>
  <si>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</si>
  <si>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</si>
  <si>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</si>
  <si>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</si>
  <si>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</si>
  <si>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</si>
  <si>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</si>
  <si>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</si>
  <si>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</si>
  <si>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</si>
  <si>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</si>
  <si>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</si>
  <si>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</si>
  <si>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</si>
  <si>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</si>
  <si>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</si>
  <si>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</si>
  <si>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</si>
  <si>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</si>
  <si>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</si>
  <si>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</si>
  <si>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</si>
  <si>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</si>
  <si>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</si>
  <si>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</si>
  <si>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</si>
  <si>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</si>
  <si>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</si>
  <si>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</si>
  <si>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</si>
  <si>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</si>
  <si>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</si>
  <si>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</si>
  <si>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</si>
  <si>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</si>
  <si>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</si>
  <si>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</si>
  <si>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</si>
  <si>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</si>
  <si>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</si>
  <si>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</si>
  <si>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</si>
  <si>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</si>
  <si>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</si>
  <si>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</si>
  <si>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</si>
  <si>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</si>
  <si>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</si>
  <si>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</si>
  <si>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</si>
  <si>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</si>
  <si>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</si>
  <si>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</si>
  <si>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</si>
  <si>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</si>
  <si>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</si>
  <si>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</si>
  <si>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</si>
  <si>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</si>
  <si>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</si>
  <si>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</si>
  <si>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</si>
  <si>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</si>
  <si>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</si>
  <si>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</si>
  <si>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</si>
  <si>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</si>
  <si>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</si>
  <si>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</si>
  <si>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</si>
  <si>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</si>
  <si>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</si>
  <si>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</si>
  <si>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</si>
  <si>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</si>
  <si>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</si>
  <si>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</si>
  <si>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</si>
  <si>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</si>
  <si>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</si>
  <si>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</si>
  <si>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</si>
  <si>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</si>
  <si>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</si>
  <si>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</si>
  <si>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</si>
  <si>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</si>
  <si>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</si>
  <si>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</si>
  <si>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</si>
  <si>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</si>
  <si>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</si>
  <si>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</si>
  <si>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</si>
  <si>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</si>
  <si>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</si>
  <si>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</si>
  <si>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</si>
  <si>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</si>
  <si>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</si>
  <si>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</si>
  <si>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</si>
  <si>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</si>
  <si>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</si>
  <si>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</si>
  <si>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</si>
  <si>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</si>
  <si>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</si>
  <si>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</si>
  <si>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</si>
  <si>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</si>
  <si>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</si>
  <si>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</si>
  <si>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</si>
  <si>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</si>
  <si>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</si>
  <si>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</si>
  <si>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</si>
  <si>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</si>
  <si>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</si>
  <si>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</si>
  <si>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</si>
  <si>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</si>
  <si>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</si>
  <si>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</si>
  <si>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</si>
  <si>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</si>
  <si>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</si>
  <si>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</si>
  <si>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</si>
  <si>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</si>
  <si>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</si>
  <si>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</si>
  <si>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</si>
  <si>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</si>
  <si>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</si>
  <si>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</si>
  <si>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</si>
  <si>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</si>
  <si>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</si>
  <si>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</si>
  <si>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</si>
  <si>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</si>
  <si>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</si>
  <si>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</si>
  <si>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</si>
  <si>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</si>
  <si>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</si>
  <si>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</si>
  <si>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</si>
  <si>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</si>
  <si>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</si>
  <si>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</si>
  <si>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</si>
  <si>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</si>
  <si>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</si>
  <si>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</si>
  <si>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</si>
  <si>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</si>
  <si>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</si>
  <si>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</si>
  <si>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</si>
  <si>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</si>
  <si>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</si>
  <si>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</si>
  <si>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</si>
  <si>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</si>
  <si>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</si>
  <si>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</si>
  <si>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</si>
  <si>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</si>
  <si>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</si>
  <si>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</si>
  <si>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</si>
  <si>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</si>
  <si>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</si>
  <si>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</si>
  <si>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</si>
  <si>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</si>
  <si>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</si>
  <si>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</si>
  <si>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</si>
  <si>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</si>
  <si>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</si>
  <si>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</si>
  <si>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</si>
  <si>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</si>
  <si>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</si>
  <si>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</si>
  <si>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</si>
  <si>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</si>
  <si>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</si>
  <si>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</si>
  <si>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</si>
  <si>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</si>
  <si>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</si>
  <si>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</si>
  <si>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</si>
  <si>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</si>
  <si>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</si>
  <si>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</si>
  <si>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</si>
  <si>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</si>
  <si>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</si>
  <si>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</si>
  <si>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</si>
  <si>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</si>
  <si>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</si>
  <si>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</si>
  <si>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</si>
  <si>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</si>
  <si>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</si>
  <si>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</si>
  <si>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</si>
  <si>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</si>
  <si>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</si>
  <si>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</si>
  <si>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</si>
  <si>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</si>
  <si>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</si>
  <si>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</si>
  <si>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</si>
  <si>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</si>
  <si>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</si>
  <si>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</si>
  <si>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</si>
  <si>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</si>
  <si>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</si>
  <si>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</si>
  <si>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</si>
  <si>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</si>
  <si>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</si>
  <si>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</si>
  <si>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</si>
  <si>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</si>
  <si>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</si>
  <si>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</si>
  <si>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</si>
  <si>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</si>
  <si>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</si>
  <si>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</si>
  <si>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</si>
  <si>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</si>
  <si>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</si>
  <si>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</si>
  <si>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</si>
  <si>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</si>
  <si>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</si>
  <si>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</si>
  <si>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</si>
  <si>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</si>
  <si>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</si>
  <si>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</si>
  <si>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</si>
  <si>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</si>
  <si>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</si>
  <si>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</si>
  <si>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</si>
  <si>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</si>
  <si>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</si>
  <si>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</si>
  <si>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</si>
  <si>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</si>
  <si>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</si>
  <si>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</si>
  <si>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</si>
  <si>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</si>
  <si>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</si>
  <si>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</si>
  <si>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</si>
  <si>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</si>
  <si>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</si>
  <si>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</si>
  <si>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</si>
  <si>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</si>
  <si>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</si>
  <si>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</si>
  <si>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</si>
  <si>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</si>
  <si>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</si>
  <si>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</si>
  <si>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</si>
  <si>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</si>
  <si>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</si>
  <si>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</si>
  <si>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</si>
  <si>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</si>
  <si>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</si>
  <si>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</si>
  <si>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</si>
  <si>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</si>
  <si>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</si>
  <si>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</si>
  <si>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</si>
  <si>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</si>
  <si>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</si>
  <si>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</si>
  <si>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</si>
  <si>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</si>
  <si>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</si>
  <si>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</si>
  <si>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</si>
  <si>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</si>
  <si>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</si>
  <si>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</si>
  <si>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</si>
  <si>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</si>
  <si>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</si>
  <si>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</si>
  <si>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</si>
  <si>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</si>
  <si>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</si>
  <si>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</si>
  <si>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</si>
  <si>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</si>
  <si>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</si>
  <si>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</si>
  <si>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</si>
  <si>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</si>
  <si>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</si>
  <si>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</si>
  <si>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</si>
  <si>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</si>
  <si>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</si>
  <si>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</si>
  <si>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</si>
  <si>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</si>
  <si>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</si>
  <si>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</si>
  <si>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</si>
  <si>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</si>
  <si>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</si>
  <si>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</si>
  <si>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</si>
  <si>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</si>
  <si>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</si>
  <si>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</si>
  <si>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</si>
  <si>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</si>
  <si>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</si>
  <si>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</si>
  <si>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</si>
  <si>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</si>
  <si>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</si>
  <si>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</si>
  <si>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</si>
  <si>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</si>
  <si>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</si>
  <si>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</si>
  <si>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</si>
  <si>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</si>
  <si>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</si>
  <si>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</si>
  <si>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</si>
  <si>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</si>
  <si>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</si>
  <si>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</si>
  <si>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</si>
  <si>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</si>
  <si>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</si>
  <si>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</si>
  <si>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</si>
  <si>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</si>
  <si>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</si>
  <si>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</si>
  <si>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</si>
  <si>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</si>
  <si>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</si>
  <si>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</si>
  <si>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</si>
  <si>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</si>
  <si>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</si>
  <si>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</si>
  <si>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</si>
  <si>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</si>
  <si>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</si>
  <si>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</si>
  <si>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</si>
  <si>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</si>
  <si>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</si>
  <si>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</si>
  <si>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</si>
  <si>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</si>
  <si>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</si>
  <si>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</si>
  <si>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</si>
  <si>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</si>
  <si>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</si>
  <si>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</si>
  <si>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</si>
  <si>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</si>
  <si>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</si>
  <si>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</si>
  <si>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</si>
  <si>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</si>
  <si>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</si>
  <si>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</si>
  <si>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</si>
  <si>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</si>
  <si>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</si>
  <si>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</si>
  <si>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</si>
  <si>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</si>
  <si>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</si>
  <si>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</si>
  <si>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</si>
  <si>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</si>
  <si>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</si>
  <si>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</si>
  <si>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</si>
  <si>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</si>
  <si>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</si>
  <si>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</si>
  <si>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</si>
  <si>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</si>
  <si>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</si>
  <si>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</si>
  <si>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</si>
  <si>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</si>
  <si>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</si>
  <si>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</si>
  <si>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</si>
  <si>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</si>
  <si>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</si>
  <si>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</si>
  <si>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</si>
  <si>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</si>
  <si>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</si>
  <si>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</si>
  <si>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</si>
  <si>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</si>
  <si>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</si>
  <si>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</si>
  <si>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</si>
  <si>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</si>
  <si>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</si>
  <si>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</si>
  <si>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</si>
  <si>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</si>
  <si>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</si>
  <si>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</si>
  <si>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</si>
  <si>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</si>
  <si>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</si>
  <si>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</si>
  <si>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</si>
  <si>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</si>
  <si>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</si>
  <si>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</si>
  <si>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</si>
  <si>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</si>
  <si>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</si>
  <si>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</si>
  <si>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</si>
  <si>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</si>
  <si>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</si>
  <si>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</si>
  <si>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</si>
  <si>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</si>
  <si>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</si>
  <si>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</si>
  <si>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</si>
  <si>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</si>
  <si>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</si>
  <si>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</si>
  <si>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</si>
  <si>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</si>
  <si>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</si>
  <si>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</si>
  <si>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</si>
  <si>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</si>
  <si>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</si>
  <si>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</si>
  <si>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</si>
  <si>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</si>
  <si>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</si>
  <si>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</si>
  <si>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</si>
  <si>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</si>
  <si>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</si>
  <si>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</si>
  <si>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</si>
  <si>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</si>
  <si>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</si>
  <si>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</si>
  <si>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</si>
  <si>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</si>
  <si>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</si>
  <si>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</si>
  <si>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</si>
  <si>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</si>
  <si>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</si>
  <si>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</si>
  <si>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</si>
  <si>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</si>
  <si>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</si>
  <si>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</si>
  <si>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</si>
  <si>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</si>
  <si>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</si>
  <si>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</si>
  <si>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</si>
  <si>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</si>
  <si>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</si>
  <si>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</si>
  <si>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</si>
  <si>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</si>
  <si>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</si>
  <si>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</si>
  <si>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</si>
  <si>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</si>
  <si>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</si>
  <si>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</si>
  <si>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</si>
  <si>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</si>
  <si>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</si>
  <si>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</si>
  <si>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</si>
  <si>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</si>
  <si>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</si>
  <si>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</si>
  <si>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</si>
  <si>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</si>
  <si>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</si>
  <si>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</si>
  <si>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</si>
  <si>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</si>
  <si>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</si>
  <si>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</si>
  <si>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</si>
  <si>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</si>
  <si>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</si>
  <si>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</si>
  <si>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</si>
  <si>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</si>
  <si>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</si>
  <si>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</si>
  <si>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</si>
  <si>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</si>
  <si>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</si>
  <si>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</si>
  <si>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</si>
  <si>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</si>
  <si>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</si>
  <si>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</si>
  <si>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</si>
  <si>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</si>
  <si>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</si>
  <si>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</si>
  <si>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</si>
  <si>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</si>
  <si>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</si>
  <si>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</si>
  <si>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</si>
  <si>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</si>
  <si>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</si>
  <si>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</si>
  <si>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</si>
  <si>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</si>
  <si>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</si>
  <si>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</si>
  <si>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</si>
  <si>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</si>
  <si>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</si>
  <si>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</si>
  <si>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</si>
  <si>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</si>
  <si>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</si>
  <si>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</si>
  <si>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</si>
  <si>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</si>
  <si>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</si>
  <si>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</si>
  <si>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</si>
  <si>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</si>
  <si>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</si>
  <si>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</si>
  <si>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</si>
  <si>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</si>
  <si>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</si>
  <si>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</si>
  <si>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</si>
  <si>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</si>
  <si>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</si>
  <si>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</si>
  <si>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</si>
  <si>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</si>
  <si>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</si>
  <si>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</si>
  <si>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</si>
  <si>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</si>
  <si>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</si>
  <si>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</si>
  <si>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</si>
  <si>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</si>
  <si>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</si>
  <si>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</si>
  <si>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</si>
  <si>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</si>
  <si>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</si>
  <si>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</si>
  <si>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</si>
  <si>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</si>
  <si>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</si>
  <si>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</si>
  <si>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</si>
  <si>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</si>
  <si>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</si>
  <si>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</si>
  <si>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</si>
  <si>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</si>
  <si>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</si>
  <si>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</si>
  <si>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</si>
  <si>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</si>
  <si>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</si>
  <si>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</si>
  <si>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</si>
  <si>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</si>
  <si>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</si>
  <si>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</si>
  <si>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</si>
  <si>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</si>
  <si>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</si>
  <si>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</si>
  <si>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</si>
  <si>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</si>
  <si>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</si>
  <si>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</si>
  <si>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</si>
  <si>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</si>
  <si>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</si>
  <si>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</si>
  <si>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</si>
  <si>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</si>
  <si>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</si>
  <si>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</si>
  <si>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</si>
  <si>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</si>
  <si>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</si>
  <si>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</si>
  <si>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</si>
  <si>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</si>
  <si>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</si>
  <si>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</si>
  <si>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</si>
  <si>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</si>
  <si>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</si>
  <si>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</si>
  <si>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</si>
  <si>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</si>
  <si>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</si>
  <si>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</si>
  <si>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</si>
  <si>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</si>
  <si>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</si>
  <si>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</si>
  <si>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</si>
  <si>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</si>
  <si>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</si>
  <si>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</si>
  <si>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</si>
  <si>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</si>
  <si>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</si>
  <si>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</si>
  <si>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</si>
  <si>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</si>
  <si>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</si>
  <si>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</si>
  <si>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</si>
  <si>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</si>
  <si>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</si>
  <si>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</si>
  <si>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</si>
  <si>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</si>
  <si>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</si>
  <si>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</si>
  <si>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</si>
  <si>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</si>
  <si>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</si>
  <si>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</si>
  <si>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</si>
  <si>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</si>
  <si>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</si>
  <si>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</si>
  <si>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</si>
  <si>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</si>
  <si>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</si>
  <si>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</si>
  <si>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</si>
  <si>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</si>
  <si>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</si>
  <si>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</si>
  <si>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</si>
  <si>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</si>
  <si>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</si>
  <si>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</si>
  <si>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</si>
  <si>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</si>
  <si>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</si>
  <si>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</si>
  <si>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</si>
  <si>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</si>
  <si>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</si>
  <si>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</si>
  <si>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</si>
  <si>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</si>
  <si>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</si>
  <si>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</si>
  <si>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</si>
  <si>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</si>
  <si>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</si>
  <si>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</si>
  <si>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</si>
  <si>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</si>
  <si>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</si>
  <si>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</si>
  <si>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</si>
  <si>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</si>
  <si>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</si>
  <si>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</si>
  <si>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</si>
  <si>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</si>
  <si>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</si>
  <si>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</si>
  <si>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</si>
  <si>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</si>
  <si>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</si>
  <si>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</si>
  <si>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</si>
  <si>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</si>
  <si>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</si>
  <si>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</si>
  <si>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</si>
  <si>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</si>
  <si>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</si>
  <si>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</si>
  <si>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</si>
  <si>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</si>
  <si>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</si>
  <si>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</si>
  <si>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</si>
  <si>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</si>
  <si>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</si>
  <si>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</si>
  <si>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</si>
  <si>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</si>
  <si>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</si>
  <si>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</si>
  <si>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</si>
  <si>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</si>
  <si>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</si>
  <si>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</si>
  <si>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</si>
  <si>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</si>
  <si>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</si>
  <si>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</si>
  <si>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</si>
  <si>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</si>
  <si>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</si>
  <si>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</si>
  <si>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</si>
  <si>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</si>
  <si>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</si>
  <si>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</si>
  <si>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</si>
  <si>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</si>
  <si>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</si>
  <si>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</si>
  <si>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</si>
  <si>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</si>
  <si>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</si>
  <si>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</si>
  <si>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</si>
  <si>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</si>
  <si>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</si>
  <si>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</si>
  <si>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</si>
  <si>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</si>
  <si>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</si>
  <si>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</si>
  <si>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</si>
  <si>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</si>
  <si>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</si>
  <si>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</si>
  <si>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</si>
  <si>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</si>
  <si>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</si>
  <si>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</si>
  <si>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</si>
  <si>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</si>
  <si>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</si>
  <si>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</si>
  <si>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</si>
  <si>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</si>
  <si>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</si>
  <si>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</si>
  <si>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</si>
  <si>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</si>
  <si>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</si>
  <si>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</si>
  <si>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</si>
  <si>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</si>
  <si>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</si>
  <si>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</si>
  <si>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</si>
  <si>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</si>
  <si>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</si>
  <si>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</si>
  <si>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</si>
  <si>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</si>
  <si>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</si>
  <si>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</si>
  <si>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</si>
  <si>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</si>
  <si>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</si>
  <si>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</si>
  <si>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</si>
  <si>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</si>
  <si>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</si>
  <si>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</si>
  <si>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</si>
  <si>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</si>
  <si>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</si>
  <si>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</si>
  <si>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</si>
  <si>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</si>
  <si>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</si>
  <si>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</si>
  <si>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</si>
  <si>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</si>
  <si>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</si>
  <si>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</si>
  <si>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</si>
  <si>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</si>
  <si>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</si>
  <si>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</si>
  <si>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</si>
  <si>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</si>
  <si>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</si>
  <si>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</si>
  <si>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</si>
  <si>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</si>
  <si>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</si>
  <si>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</si>
  <si>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</si>
  <si>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</si>
  <si>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</si>
  <si>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</si>
  <si>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</si>
  <si>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</si>
  <si>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</si>
  <si>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</si>
  <si>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</si>
  <si>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</si>
  <si>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</si>
  <si>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</si>
  <si>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</si>
  <si>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</si>
  <si>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</si>
  <si>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</si>
  <si>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</si>
  <si>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</si>
  <si>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</si>
  <si>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</si>
  <si>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</si>
  <si>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</si>
  <si>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</si>
  <si>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</si>
  <si>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</si>
  <si>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</si>
  <si>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</si>
  <si>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</si>
  <si>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</si>
  <si>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</si>
  <si>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</si>
  <si>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</si>
  <si>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</si>
  <si>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</si>
  <si>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</si>
  <si>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</si>
  <si>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</si>
  <si>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</si>
  <si>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</si>
  <si>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</si>
  <si>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</si>
  <si>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</si>
  <si>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</si>
  <si>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</si>
  <si>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</si>
  <si>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</si>
  <si>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</si>
  <si>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</si>
  <si>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</si>
  <si>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</si>
  <si>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</si>
  <si>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</si>
  <si>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</si>
  <si>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</si>
  <si>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</si>
  <si>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</si>
  <si>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</si>
  <si>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</si>
  <si>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</si>
  <si>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</si>
  <si>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</si>
  <si>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</si>
  <si>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</si>
  <si>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</si>
  <si>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</si>
  <si>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</si>
  <si>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</si>
  <si>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</si>
  <si>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</si>
  <si>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</si>
  <si>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</si>
  <si>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</si>
  <si>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</si>
  <si>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</si>
  <si>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</si>
  <si>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</si>
  <si>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</si>
  <si>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</si>
  <si>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</si>
  <si>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</si>
  <si>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</si>
  <si>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</si>
  <si>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</si>
  <si>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</si>
  <si>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</si>
  <si>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</si>
  <si>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</si>
  <si>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</si>
  <si>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</si>
  <si>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</si>
  <si>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</si>
  <si>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</si>
  <si>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</si>
  <si>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</si>
  <si>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</si>
  <si>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</si>
  <si>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</si>
  <si>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</si>
  <si>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</si>
  <si>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</si>
  <si>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</si>
  <si>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</si>
  <si>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</si>
  <si>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</si>
  <si>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</si>
  <si>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</si>
  <si>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</si>
  <si>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</si>
  <si>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</si>
  <si>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</si>
  <si>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</si>
  <si>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</si>
  <si>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</si>
  <si>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</si>
  <si>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</si>
  <si>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</si>
  <si>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</si>
  <si>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</si>
  <si>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</si>
  <si>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</si>
  <si>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</si>
  <si>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</si>
  <si>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</si>
  <si>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</si>
  <si>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</si>
  <si>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</si>
  <si>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</si>
  <si>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</si>
  <si>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</si>
  <si>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</si>
  <si>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</si>
  <si>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</si>
  <si>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</si>
  <si>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</si>
  <si>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</si>
  <si>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</si>
  <si>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</si>
  <si>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</si>
  <si>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</si>
  <si>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</si>
  <si>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</si>
  <si>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</si>
  <si>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</si>
  <si>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</si>
  <si>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</si>
  <si>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</si>
  <si>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</si>
  <si>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</si>
  <si>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</si>
  <si>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</si>
  <si>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</si>
  <si>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</si>
  <si>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</si>
  <si>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</si>
  <si>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</si>
  <si>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</si>
  <si>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</si>
  <si>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</si>
  <si>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</si>
  <si>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</si>
  <si>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</si>
  <si>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</si>
  <si>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</si>
  <si>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</si>
  <si>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</si>
  <si>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</si>
  <si>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</si>
  <si>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</si>
  <si>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</si>
  <si>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</si>
  <si>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</si>
  <si>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</si>
  <si>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</si>
  <si>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</si>
  <si>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</si>
  <si>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</si>
  <si>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</si>
  <si>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</si>
  <si>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</si>
  <si>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</si>
  <si>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</si>
  <si>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</si>
  <si>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</si>
  <si>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</si>
  <si>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</si>
  <si>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</si>
  <si>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</si>
  <si>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</si>
  <si>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</si>
  <si>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</si>
  <si>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</si>
  <si>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</si>
  <si>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</si>
  <si>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</si>
  <si>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</si>
  <si>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</si>
  <si>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</si>
  <si>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</si>
  <si>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</si>
  <si>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</si>
  <si>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</si>
  <si>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</si>
  <si>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</si>
  <si>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</si>
  <si>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</si>
  <si>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</si>
  <si>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</si>
  <si>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</si>
  <si>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</si>
  <si>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</si>
  <si>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</si>
  <si>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</si>
  <si>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</si>
  <si>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</si>
  <si>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</si>
  <si>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</si>
  <si>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</si>
  <si>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</si>
  <si>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</si>
  <si>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</si>
  <si>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</si>
  <si>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</si>
  <si>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</si>
  <si>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</si>
  <si>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</si>
  <si>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</si>
  <si>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</si>
  <si>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</si>
  <si>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</si>
  <si>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</si>
  <si>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</si>
  <si>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</si>
  <si>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</si>
  <si>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</si>
  <si>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</si>
  <si>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</si>
  <si>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</si>
  <si>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</si>
  <si>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</si>
  <si>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</si>
  <si>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</si>
  <si>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</si>
  <si>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</si>
  <si>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</si>
  <si>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</si>
  <si>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</si>
  <si>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</si>
  <si>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</si>
  <si>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</si>
  <si>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</si>
  <si>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</si>
  <si>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</si>
  <si>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</si>
  <si>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</si>
  <si>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</si>
  <si>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</si>
  <si>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</si>
  <si>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</si>
  <si>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</si>
  <si>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</si>
  <si>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</si>
  <si>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</si>
  <si>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</si>
  <si>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</si>
  <si>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</si>
  <si>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</si>
  <si>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</si>
  <si>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</si>
  <si>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</si>
  <si>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</si>
  <si>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</si>
  <si>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</si>
  <si>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</si>
  <si>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</si>
  <si>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</si>
  <si>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</si>
  <si>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</si>
  <si>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</si>
  <si>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</si>
  <si>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</si>
  <si>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</si>
  <si>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</si>
  <si>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</si>
  <si>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</si>
  <si>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</si>
  <si>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</si>
  <si>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</si>
  <si>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</si>
  <si>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</si>
  <si>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</si>
  <si>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</si>
  <si>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</si>
  <si>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</si>
  <si>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</si>
  <si>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</si>
  <si>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</si>
  <si>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</si>
  <si>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</si>
  <si>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</si>
  <si>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</si>
  <si>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</si>
  <si>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</si>
  <si>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</si>
  <si>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</si>
  <si>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</si>
  <si>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</si>
  <si>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</si>
  <si>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</si>
  <si>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</si>
  <si>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</si>
  <si>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</si>
  <si>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</si>
  <si>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</si>
  <si>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</si>
  <si>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</si>
  <si>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</si>
  <si>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</si>
  <si>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</si>
  <si>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</si>
  <si>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</si>
  <si>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</si>
  <si>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</si>
  <si>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</si>
  <si>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</si>
  <si>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</si>
  <si>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</si>
  <si>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</si>
  <si>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</si>
  <si>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</si>
  <si>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</si>
  <si>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</si>
  <si>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</si>
  <si>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</si>
  <si>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</si>
  <si>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</si>
  <si>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</si>
  <si>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</si>
  <si>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</si>
  <si>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</si>
  <si>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</si>
  <si>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</si>
  <si>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</si>
  <si>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</si>
  <si>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</si>
  <si>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</si>
  <si>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</si>
  <si>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</si>
  <si>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</si>
  <si>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</si>
  <si>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</si>
  <si>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</si>
  <si>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</si>
  <si>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</si>
  <si>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</si>
  <si>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</si>
  <si>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</si>
  <si>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</si>
  <si>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</si>
  <si>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</si>
  <si>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</si>
  <si>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</si>
  <si>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</si>
  <si>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</si>
  <si>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</si>
  <si>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</si>
  <si>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</si>
  <si>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</si>
  <si>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</si>
  <si>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</si>
  <si>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</si>
  <si>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</si>
  <si>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</si>
  <si>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</si>
  <si>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</si>
  <si>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</si>
  <si>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</si>
  <si>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</si>
  <si>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</si>
  <si>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</si>
  <si>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</si>
  <si>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</si>
  <si>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</si>
  <si>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</si>
  <si>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</si>
  <si>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</si>
  <si>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</si>
  <si>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</si>
  <si>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</si>
  <si>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</si>
  <si>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</si>
  <si>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</si>
  <si>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</si>
  <si>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</si>
  <si>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</si>
  <si>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</si>
  <si>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</si>
  <si>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</si>
  <si>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</si>
  <si>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</si>
  <si>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</si>
  <si>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</si>
  <si>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</si>
  <si>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</si>
  <si>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</si>
  <si>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</si>
  <si>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</si>
  <si>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</si>
  <si>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</si>
  <si>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</si>
  <si>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</si>
  <si>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</si>
  <si>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</si>
  <si>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</si>
  <si>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</si>
  <si>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</si>
  <si>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</si>
  <si>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</si>
  <si>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</si>
  <si>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</si>
  <si>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</si>
  <si>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</si>
  <si>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</si>
  <si>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</si>
  <si>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</si>
  <si>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</si>
  <si>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</si>
  <si>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</si>
  <si>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</si>
  <si>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</si>
  <si>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</si>
  <si>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</si>
  <si>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</si>
  <si>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</si>
  <si>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</si>
  <si>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</si>
  <si>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</si>
  <si>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</si>
  <si>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</si>
  <si>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</si>
  <si>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</si>
  <si>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</si>
  <si>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</si>
  <si>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</si>
  <si>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</si>
  <si>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</si>
  <si>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</si>
  <si>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</si>
  <si>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</si>
  <si>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</si>
  <si>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</si>
  <si>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</si>
  <si>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</si>
  <si>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</si>
  <si>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</si>
  <si>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</si>
  <si>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</si>
  <si>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</si>
  <si>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</si>
  <si>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</si>
  <si>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</si>
  <si>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</si>
  <si>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</si>
  <si>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</si>
  <si>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</si>
  <si>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</si>
  <si>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</si>
  <si>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</si>
  <si>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</si>
  <si>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</si>
  <si>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</si>
  <si>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</si>
  <si>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</si>
  <si>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</si>
  <si>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</si>
  <si>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</si>
  <si>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</si>
  <si>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</si>
  <si>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</si>
  <si>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</si>
  <si>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</si>
  <si>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</si>
  <si>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</si>
  <si>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</si>
  <si>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</si>
  <si>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</si>
  <si>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</si>
  <si>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</si>
  <si>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</si>
  <si>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</si>
  <si>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</si>
  <si>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</si>
  <si>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</si>
  <si>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</si>
  <si>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</si>
  <si>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</si>
  <si>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</si>
  <si>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</si>
  <si>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</si>
  <si>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</si>
  <si>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</si>
  <si>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</si>
  <si>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</si>
  <si>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</si>
  <si>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</si>
  <si>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</si>
  <si>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</si>
  <si>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</si>
  <si>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</si>
  <si>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</si>
  <si>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</si>
  <si>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</si>
  <si>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</si>
  <si>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</si>
  <si>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</si>
  <si>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</si>
  <si>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</si>
  <si>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</si>
  <si>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</si>
  <si>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</si>
  <si>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</si>
  <si>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</si>
  <si>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</si>
  <si>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</si>
  <si>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</si>
  <si>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</si>
  <si>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</si>
  <si>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</si>
  <si>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</si>
  <si>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</si>
  <si>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</si>
  <si>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</si>
  <si>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</si>
  <si>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</si>
  <si>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</si>
  <si>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</si>
  <si>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</si>
  <si>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</si>
  <si>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</si>
  <si>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</si>
  <si>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</si>
  <si>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</si>
  <si>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</si>
  <si>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</si>
  <si>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</si>
  <si>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</si>
  <si>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</si>
  <si>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</si>
  <si>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</si>
  <si>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</si>
  <si>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</si>
  <si>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</si>
  <si>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</si>
  <si>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</si>
  <si>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</si>
  <si>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</si>
  <si>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</si>
  <si>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</si>
  <si>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</si>
  <si>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</si>
  <si>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</si>
  <si>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</si>
  <si>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</si>
  <si>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</si>
  <si>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</si>
  <si>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</si>
  <si>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</si>
  <si>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</si>
  <si>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</si>
  <si>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</si>
  <si>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</si>
  <si>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</si>
  <si>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</si>
  <si>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</si>
  <si>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</si>
  <si>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</si>
  <si>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</si>
  <si>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</si>
  <si>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</si>
  <si>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</si>
  <si>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</si>
  <si>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</si>
  <si>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</si>
  <si>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</si>
  <si>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</si>
  <si>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</si>
  <si>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</si>
  <si>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</si>
  <si>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</si>
  <si>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</si>
  <si>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</si>
  <si>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</si>
  <si>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</si>
  <si>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</si>
  <si>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</si>
  <si>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</si>
  <si>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</si>
  <si>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</si>
  <si>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</si>
  <si>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</si>
  <si>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</si>
  <si>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</si>
  <si>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</si>
  <si>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</si>
  <si>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</si>
  <si>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</si>
  <si>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</si>
  <si>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</si>
  <si>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</si>
  <si>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</si>
  <si>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</si>
  <si>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</si>
  <si>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</si>
  <si>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</si>
  <si>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</si>
  <si>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</si>
  <si>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</si>
  <si>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</si>
  <si>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</si>
  <si>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</si>
  <si>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</si>
  <si>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</si>
  <si>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</si>
  <si>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</si>
  <si>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</si>
  <si>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</si>
  <si>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</si>
  <si>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</si>
  <si>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</si>
  <si>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</si>
  <si>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</si>
  <si>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</si>
  <si>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</si>
  <si>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</si>
  <si>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</si>
  <si>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</si>
  <si>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</si>
  <si>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</si>
  <si>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</si>
  <si>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</si>
  <si>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</si>
  <si>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</si>
  <si>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</si>
  <si>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</si>
  <si>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</si>
  <si>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</si>
  <si>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</si>
  <si>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</si>
  <si>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</si>
  <si>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</si>
  <si>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</si>
  <si>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</si>
  <si>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</si>
  <si>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</si>
  <si>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</si>
  <si>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</si>
  <si>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</si>
  <si>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</si>
  <si>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</si>
  <si>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</si>
  <si>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</si>
  <si>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</si>
  <si>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</si>
  <si>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</si>
  <si>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</si>
  <si>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</si>
  <si>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</si>
  <si>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</si>
  <si>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</si>
  <si>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</si>
  <si>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</si>
  <si>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</si>
  <si>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</si>
  <si>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</si>
  <si>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</si>
  <si>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</si>
  <si>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</si>
  <si>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</si>
  <si>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</si>
  <si>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</si>
  <si>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</si>
  <si>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</si>
  <si>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</si>
  <si>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</si>
  <si>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</si>
  <si>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</si>
  <si>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</si>
  <si>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</si>
  <si>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</si>
  <si>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</si>
  <si>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</si>
  <si>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</si>
  <si>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</si>
  <si>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</si>
  <si>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</si>
  <si>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</si>
  <si>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</si>
  <si>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</si>
  <si>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</si>
  <si>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</si>
  <si>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</si>
  <si>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</si>
  <si>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</si>
  <si>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</si>
  <si>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</si>
  <si>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</si>
  <si>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</si>
  <si>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</si>
  <si>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</si>
  <si>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</si>
  <si>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</si>
  <si>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</si>
  <si>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</si>
  <si>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</si>
  <si>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</si>
  <si>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</si>
  <si>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</si>
  <si>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</si>
  <si>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</si>
  <si>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</si>
  <si>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</si>
  <si>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</si>
  <si>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</si>
  <si>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</si>
  <si>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</si>
  <si>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</si>
  <si>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</si>
  <si>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</si>
  <si>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</si>
  <si>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</si>
  <si>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</si>
  <si>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</si>
  <si>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</si>
  <si>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</si>
  <si>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</si>
  <si>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</si>
  <si>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</si>
  <si>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</si>
  <si>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</si>
  <si>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</si>
  <si>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</si>
  <si>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</si>
  <si>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</si>
  <si>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</si>
  <si>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</si>
  <si>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</si>
  <si>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</si>
  <si>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</si>
  <si>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</si>
  <si>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</si>
  <si>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</si>
  <si>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</si>
  <si>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</si>
  <si>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</si>
  <si>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</si>
  <si>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</si>
  <si>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</si>
  <si>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</si>
  <si>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</si>
  <si>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</si>
  <si>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</si>
  <si>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</si>
  <si>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</si>
  <si>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</si>
  <si>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</si>
  <si>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</si>
  <si>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</si>
  <si>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</si>
  <si>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</si>
  <si>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</si>
  <si>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</si>
  <si>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</si>
  <si>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</si>
  <si>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</si>
  <si>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</si>
  <si>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</si>
  <si>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</si>
  <si>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</si>
  <si>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</si>
  <si>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</si>
  <si>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</si>
  <si>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</si>
  <si>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</si>
  <si>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</si>
  <si>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</si>
  <si>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</si>
  <si>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</si>
  <si>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</si>
  <si>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</si>
  <si>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</si>
  <si>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</si>
  <si>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</si>
  <si>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</si>
  <si>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</si>
  <si>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</si>
  <si>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</si>
  <si>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</si>
  <si>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</si>
  <si>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</si>
  <si>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</si>
  <si>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</si>
  <si>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</si>
  <si>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</si>
  <si>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</si>
  <si>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</si>
  <si>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</si>
  <si>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</si>
  <si>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</si>
  <si>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</si>
  <si>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</si>
  <si>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</si>
  <si>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</si>
  <si>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</si>
  <si>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</si>
  <si>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</si>
  <si>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</si>
  <si>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</si>
  <si>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</si>
  <si>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</si>
  <si>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</si>
  <si>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</si>
  <si>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</si>
  <si>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</si>
  <si>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</si>
  <si>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</si>
  <si>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</si>
  <si>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</si>
  <si>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</si>
  <si>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</si>
  <si>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</si>
  <si>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</si>
  <si>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</si>
  <si>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</si>
  <si>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</si>
  <si>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</si>
  <si>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</si>
  <si>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</si>
  <si>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</si>
  <si>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</si>
  <si>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</si>
  <si>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</si>
  <si>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</si>
  <si>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</si>
  <si>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</si>
  <si>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</si>
  <si>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</si>
  <si>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</si>
  <si>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</si>
  <si>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</si>
  <si>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</si>
  <si>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</si>
  <si>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</si>
  <si>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</si>
  <si>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</si>
  <si>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</si>
  <si>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</si>
  <si>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</si>
  <si>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</si>
  <si>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</si>
  <si>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</si>
  <si>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</si>
  <si>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</si>
  <si>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</si>
  <si>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</si>
  <si>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</si>
  <si>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</si>
  <si>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</si>
  <si>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</si>
  <si>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</si>
  <si>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</si>
  <si>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</si>
  <si>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</si>
  <si>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</si>
  <si>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</si>
  <si>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</si>
  <si>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</si>
  <si>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</si>
  <si>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</si>
  <si>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</si>
  <si>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</si>
  <si>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</si>
  <si>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</si>
  <si>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</si>
  <si>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</si>
  <si>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</si>
  <si>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</si>
  <si>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</si>
  <si>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</si>
  <si>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</si>
  <si>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</si>
  <si>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</si>
  <si>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</si>
  <si>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</si>
  <si>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</si>
  <si>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</si>
  <si>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</si>
  <si>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</si>
  <si>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</si>
  <si>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</si>
  <si>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</si>
  <si>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</si>
  <si>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</si>
  <si>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</si>
  <si>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</si>
  <si>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</si>
  <si>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</si>
  <si>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</si>
  <si>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</si>
  <si>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</si>
  <si>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</si>
  <si>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</si>
  <si>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</si>
  <si>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</si>
  <si>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</si>
  <si>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</si>
  <si>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</si>
  <si>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</si>
  <si>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</si>
  <si>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</si>
  <si>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</si>
  <si>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</si>
  <si>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</si>
  <si>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</si>
  <si>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</si>
  <si>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</si>
  <si>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</si>
  <si>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</si>
  <si>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</si>
  <si>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</si>
  <si>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</si>
  <si>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</si>
  <si>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</si>
  <si>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</si>
  <si>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</si>
  <si>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</si>
  <si>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</si>
  <si>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</si>
  <si>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</si>
  <si>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</si>
  <si>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</si>
  <si>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</si>
  <si>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</si>
  <si>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</si>
  <si>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</si>
  <si>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</si>
  <si>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</si>
  <si>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</si>
  <si>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</si>
  <si>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</si>
  <si>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</si>
  <si>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</si>
  <si>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</si>
  <si>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</si>
  <si>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</si>
  <si>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</si>
  <si>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</si>
  <si>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</si>
  <si>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</si>
  <si>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</si>
  <si>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</si>
  <si>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</si>
  <si>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</si>
  <si>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</si>
  <si>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</si>
  <si>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</si>
  <si>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</si>
  <si>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</si>
  <si>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</si>
  <si>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</si>
  <si>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</si>
  <si>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</si>
  <si>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</si>
  <si>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</si>
  <si>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</si>
  <si>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</si>
  <si>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</si>
  <si>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</si>
  <si>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</si>
  <si>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</si>
  <si>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</si>
  <si>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</si>
  <si>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</si>
  <si>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</si>
  <si>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</si>
  <si>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</si>
  <si>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</si>
  <si>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</si>
  <si>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</si>
  <si>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</si>
  <si>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</si>
  <si>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</si>
  <si>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</si>
  <si>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</si>
  <si>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</si>
  <si>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</si>
  <si>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</si>
  <si>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</si>
  <si>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</si>
  <si>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</si>
  <si>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</si>
  <si>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</si>
  <si>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</si>
  <si>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</si>
  <si>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</si>
  <si>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</si>
  <si>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</si>
  <si>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</si>
  <si>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</si>
  <si>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</si>
  <si>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</si>
  <si>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</si>
  <si>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</si>
  <si>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</si>
  <si>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</si>
  <si>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</si>
  <si>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</si>
  <si>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</si>
  <si>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</si>
  <si>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</si>
  <si>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</si>
  <si>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</si>
  <si>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</si>
  <si>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</si>
  <si>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</si>
  <si>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</si>
  <si>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</si>
  <si>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</si>
  <si>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</si>
  <si>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</si>
  <si>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</si>
  <si>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</si>
  <si>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</si>
  <si>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</si>
  <si>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</si>
  <si>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</si>
  <si>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</si>
  <si>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</si>
  <si>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</si>
  <si>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</si>
  <si>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</si>
  <si>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</si>
  <si>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</si>
  <si>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</si>
  <si>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</si>
  <si>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</si>
  <si>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</si>
  <si>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</si>
  <si>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</si>
  <si>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</si>
  <si>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</si>
  <si>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</si>
  <si>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</si>
  <si>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</si>
  <si>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</si>
  <si>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</si>
  <si>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</si>
  <si>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</si>
  <si>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</si>
  <si>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</si>
  <si>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</si>
  <si>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</si>
  <si>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</si>
  <si>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</si>
  <si>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</si>
  <si>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</si>
  <si>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</si>
  <si>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</si>
  <si>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</si>
  <si>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</si>
  <si>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</si>
  <si>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</si>
  <si>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</si>
  <si>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</si>
  <si>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</si>
  <si>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</si>
  <si>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</si>
  <si>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</si>
  <si>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</si>
  <si>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</si>
  <si>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</si>
  <si>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</si>
  <si>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</si>
  <si>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</si>
  <si>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</si>
  <si>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</si>
  <si>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</si>
  <si>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</si>
  <si>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</si>
  <si>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</si>
  <si>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</si>
  <si>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</si>
  <si>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</si>
  <si>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</si>
  <si>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</si>
  <si>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</si>
  <si>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</si>
  <si>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</si>
  <si>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</si>
  <si>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</si>
  <si>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</si>
  <si>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</si>
  <si>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</si>
  <si>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</si>
  <si>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</si>
  <si>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</si>
  <si>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</si>
  <si>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</si>
  <si>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</si>
  <si>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</si>
  <si>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</si>
  <si>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</si>
  <si>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</si>
  <si>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</si>
  <si>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</si>
  <si>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</si>
  <si>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</si>
  <si>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</si>
  <si>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</si>
  <si>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</si>
  <si>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</si>
  <si>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</si>
  <si>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</si>
  <si>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</si>
  <si>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</si>
  <si>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</si>
  <si>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</si>
  <si>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</si>
  <si>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</si>
  <si>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</si>
  <si>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</si>
  <si>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</si>
  <si>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</si>
  <si>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</si>
  <si>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</si>
  <si>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</si>
  <si>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</si>
  <si>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</si>
  <si>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</si>
  <si>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</si>
  <si>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</si>
  <si>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</si>
  <si>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</si>
  <si>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</si>
  <si>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</si>
  <si>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</si>
  <si>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</si>
  <si>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</si>
  <si>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</si>
  <si>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</si>
  <si>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</si>
  <si>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</si>
  <si>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</si>
  <si>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</si>
  <si>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</si>
  <si>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</si>
  <si>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</si>
  <si>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</si>
  <si>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</si>
  <si>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</si>
  <si>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</si>
  <si>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</si>
  <si>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</si>
  <si>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</si>
  <si>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</si>
  <si>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</si>
  <si>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</si>
  <si>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</si>
  <si>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</si>
  <si>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</si>
  <si>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</si>
  <si>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</si>
  <si>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</si>
  <si>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</si>
  <si>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</si>
  <si>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</si>
  <si>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</si>
  <si>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</si>
  <si>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</si>
  <si>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</si>
  <si>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</si>
  <si>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</si>
  <si>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</si>
  <si>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</si>
  <si>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</si>
  <si>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</si>
  <si>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</si>
  <si>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</si>
  <si>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</si>
  <si>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</si>
  <si>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</si>
  <si>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</si>
  <si>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</si>
  <si>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</si>
  <si>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</si>
  <si>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</si>
  <si>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</si>
  <si>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</si>
  <si>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</si>
  <si>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</si>
  <si>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</si>
  <si>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</si>
  <si>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</si>
  <si>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</si>
  <si>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</si>
  <si>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</si>
  <si>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</si>
  <si>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</si>
  <si>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</si>
  <si>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</si>
  <si>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</si>
  <si>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</si>
  <si>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</si>
  <si>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</si>
  <si>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</si>
  <si>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</si>
  <si>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</si>
  <si>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</si>
  <si>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</si>
  <si>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</si>
  <si>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</si>
  <si>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</si>
  <si>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</si>
  <si>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</si>
  <si>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</si>
  <si>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</si>
  <si>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</si>
  <si>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</si>
  <si>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</si>
  <si>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</si>
  <si>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</si>
  <si>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</si>
  <si>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</si>
  <si>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</si>
  <si>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</si>
  <si>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</si>
  <si>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</si>
  <si>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</si>
  <si>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</si>
  <si>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</si>
  <si>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</si>
  <si>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</si>
  <si>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</si>
  <si>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</si>
  <si>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</si>
  <si>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</si>
  <si>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</si>
  <si>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</si>
  <si>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</si>
  <si>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</si>
  <si>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</si>
  <si>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</si>
  <si>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</si>
  <si>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</si>
  <si>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</si>
  <si>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</si>
  <si>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</si>
  <si>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</si>
  <si>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</si>
  <si>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</si>
  <si>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</si>
  <si>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</si>
  <si>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</si>
  <si>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</si>
  <si>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</si>
  <si>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</si>
  <si>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</si>
  <si>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</si>
  <si>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</si>
  <si>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</si>
  <si>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</si>
  <si>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</si>
  <si>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</si>
  <si>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</si>
  <si>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</si>
  <si>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</si>
  <si>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</si>
  <si>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</si>
  <si>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</si>
  <si>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</si>
  <si>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</si>
  <si>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</si>
  <si>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</si>
  <si>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</si>
  <si>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</si>
  <si>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</si>
  <si>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</si>
  <si>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</si>
  <si>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</si>
  <si>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</si>
  <si>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</si>
  <si>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</si>
  <si>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</si>
  <si>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</si>
  <si>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</si>
  <si>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</si>
  <si>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</si>
  <si>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</si>
  <si>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</si>
  <si>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</si>
  <si>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</si>
  <si>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</si>
  <si>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</si>
  <si>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</si>
  <si>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</si>
  <si>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</si>
  <si>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</si>
  <si>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</si>
  <si>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</si>
  <si>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</si>
  <si>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</si>
  <si>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</si>
  <si>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</si>
  <si>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</si>
  <si>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</si>
  <si>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</si>
  <si>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</si>
  <si>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</si>
  <si>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</si>
  <si>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</si>
  <si>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</si>
  <si>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</si>
  <si>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</si>
  <si>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</si>
  <si>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</si>
  <si>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</si>
  <si>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</si>
  <si>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</si>
  <si>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</si>
  <si>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</si>
  <si>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</si>
  <si>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</si>
  <si>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</si>
  <si>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</si>
  <si>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</si>
  <si>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</si>
  <si>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</si>
  <si>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</si>
  <si>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</si>
  <si>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</si>
  <si>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</si>
  <si>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</si>
  <si>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</si>
  <si>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</si>
  <si>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</si>
  <si>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</si>
  <si>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</si>
  <si>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</si>
  <si>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</si>
  <si>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</si>
  <si>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</si>
  <si>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</si>
  <si>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</si>
  <si>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</si>
  <si>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</si>
  <si>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</si>
  <si>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</si>
  <si>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</si>
  <si>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</si>
  <si>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</si>
  <si>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</si>
  <si>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</si>
  <si>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</si>
  <si>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</si>
  <si>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</si>
  <si>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</si>
  <si>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</si>
  <si>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</si>
  <si>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</si>
  <si>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</si>
  <si>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</si>
  <si>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</si>
  <si>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</si>
  <si>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</si>
  <si>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</si>
  <si>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</si>
  <si>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</si>
  <si>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</si>
  <si>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</si>
  <si>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</si>
  <si>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</si>
  <si>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</si>
  <si>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</si>
  <si>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</si>
  <si>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</si>
  <si>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</si>
  <si>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</si>
  <si>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</si>
  <si>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</si>
  <si>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</si>
  <si>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</si>
  <si>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</si>
  <si>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</si>
  <si>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</si>
  <si>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</si>
  <si>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</si>
  <si>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</si>
  <si>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</si>
  <si>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</si>
  <si>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</si>
  <si>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</si>
  <si>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</si>
  <si>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</si>
  <si>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</si>
  <si>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</si>
  <si>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</si>
  <si>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</si>
  <si>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</si>
  <si>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</si>
  <si>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</si>
  <si>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</si>
  <si>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</si>
  <si>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</si>
  <si>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</si>
  <si>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</si>
  <si>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</si>
  <si>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</si>
  <si>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</si>
  <si>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</si>
  <si>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</si>
  <si>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</si>
  <si>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</si>
  <si>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</si>
  <si>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</si>
  <si>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</si>
  <si>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</si>
  <si>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</si>
  <si>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</si>
  <si>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</si>
  <si>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</si>
  <si>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</si>
  <si>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</si>
  <si>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</si>
  <si>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</si>
  <si>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</si>
  <si>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</si>
  <si>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</si>
  <si>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</si>
  <si>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</si>
  <si>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</si>
  <si>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</si>
  <si>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</si>
  <si>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</si>
  <si>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</si>
  <si>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</si>
  <si>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</si>
  <si>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</si>
  <si>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</si>
  <si>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</si>
  <si>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</si>
  <si>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</si>
  <si>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</si>
  <si>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</si>
  <si>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</si>
  <si>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</si>
  <si>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</si>
  <si>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</si>
  <si>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</si>
  <si>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</si>
  <si>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</si>
  <si>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</si>
  <si>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</si>
  <si>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</si>
  <si>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</si>
  <si>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</si>
  <si>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</si>
  <si>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</si>
  <si>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</si>
  <si>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</si>
  <si>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</si>
  <si>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</si>
  <si>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</si>
  <si>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</si>
  <si>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</si>
  <si>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</si>
  <si>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</si>
  <si>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</si>
  <si>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</si>
  <si>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</si>
  <si>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</si>
  <si>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</si>
  <si>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</si>
  <si>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</si>
  <si>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</si>
  <si>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</si>
  <si>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</si>
  <si>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</si>
  <si>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</si>
  <si>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</si>
  <si>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</si>
  <si>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</si>
  <si>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</si>
  <si>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</si>
  <si>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</si>
  <si>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</si>
  <si>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</si>
  <si>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</si>
  <si>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</si>
  <si>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</si>
  <si>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</si>
  <si>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</si>
  <si>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</si>
  <si>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</si>
  <si>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</si>
  <si>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</si>
  <si>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</si>
  <si>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</si>
  <si>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</si>
  <si>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</si>
  <si>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</si>
  <si>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</si>
  <si>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</si>
  <si>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</si>
  <si>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</si>
  <si>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</si>
  <si>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</si>
  <si>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</si>
  <si>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</si>
  <si>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</si>
  <si>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</si>
  <si>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</si>
  <si>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</si>
  <si>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</si>
  <si>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</si>
  <si>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</si>
  <si>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</si>
  <si>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</si>
  <si>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</si>
  <si>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</si>
  <si>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</si>
  <si>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</si>
  <si>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</si>
  <si>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</si>
  <si>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</si>
  <si>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</si>
  <si>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</si>
  <si>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</si>
  <si>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</si>
  <si>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</si>
  <si>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</si>
  <si>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</si>
  <si>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</si>
  <si>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</si>
  <si>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</si>
  <si>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</si>
  <si>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</si>
  <si>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</si>
  <si>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</si>
  <si>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</si>
  <si>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</si>
  <si>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</si>
  <si>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</si>
  <si>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</si>
  <si>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</si>
  <si>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</si>
  <si>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</si>
  <si>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</si>
  <si>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</si>
  <si>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</si>
  <si>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</si>
  <si>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</si>
  <si>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</si>
  <si>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</si>
  <si>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</si>
  <si>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</si>
  <si>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</si>
  <si>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</si>
  <si>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</si>
  <si>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</si>
  <si>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</si>
  <si>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</si>
  <si>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</si>
  <si>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</si>
  <si>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</si>
  <si>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</si>
  <si>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</si>
  <si>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</si>
  <si>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</si>
  <si>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</si>
  <si>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</si>
  <si>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</si>
  <si>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</si>
  <si>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</si>
  <si>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</si>
  <si>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</si>
  <si>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</si>
  <si>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</si>
  <si>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</si>
  <si>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</si>
  <si>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</si>
  <si>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</si>
  <si>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</si>
  <si>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</si>
  <si>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</si>
  <si>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</si>
  <si>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</si>
  <si>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</si>
  <si>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</si>
  <si>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</si>
  <si>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</si>
  <si>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</si>
  <si>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</si>
  <si>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</si>
  <si>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</si>
  <si>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</si>
  <si>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</si>
  <si>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</si>
  <si>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</si>
  <si>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</si>
  <si>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</si>
  <si>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</si>
  <si>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</si>
  <si>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</si>
  <si>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</si>
  <si>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</si>
  <si>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</si>
  <si>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</si>
  <si>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</si>
  <si>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</si>
  <si>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</si>
  <si>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</si>
  <si>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</si>
  <si>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</si>
  <si>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</si>
  <si>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</si>
  <si>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</si>
  <si>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</si>
  <si>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</si>
  <si>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</si>
  <si>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</si>
  <si>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</si>
  <si>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</si>
  <si>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</si>
  <si>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</si>
  <si>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</si>
  <si>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</si>
  <si>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</si>
  <si>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</si>
  <si>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</si>
  <si>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</si>
  <si>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</si>
  <si>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</si>
  <si>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</si>
  <si>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</si>
  <si>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</si>
  <si>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</si>
  <si>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</si>
  <si>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</si>
  <si>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</si>
  <si>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</si>
  <si>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</si>
  <si>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</si>
  <si>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</si>
  <si>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</si>
  <si>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</si>
  <si>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</si>
  <si>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</si>
  <si>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</si>
  <si>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</si>
  <si>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</si>
  <si>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</si>
  <si>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</si>
  <si>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</si>
  <si>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</si>
  <si>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</si>
  <si>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</si>
  <si>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</si>
  <si>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</si>
  <si>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</si>
  <si>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</si>
  <si>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</si>
  <si>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</si>
  <si>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Unite Price</t>
  </si>
  <si>
    <t>Month-Year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</si>
  <si>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</si>
  <si>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</si>
  <si>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</si>
  <si>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</si>
  <si>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</si>
  <si>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</si>
  <si>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</si>
  <si>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</si>
  <si>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</si>
  <si>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</si>
  <si>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</si>
  <si>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</si>
  <si>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</si>
  <si>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Year</t>
  </si>
  <si>
    <t>Sum of Revenue</t>
  </si>
  <si>
    <t>Row Labels</t>
  </si>
  <si>
    <t>Apr 2019</t>
  </si>
  <si>
    <t>Apr 2020</t>
  </si>
  <si>
    <t>Apr 2021</t>
  </si>
  <si>
    <t>Apr 2022</t>
  </si>
  <si>
    <t>Aug 2019</t>
  </si>
  <si>
    <t>Aug 2020</t>
  </si>
  <si>
    <t>Aug 2021</t>
  </si>
  <si>
    <t>Aug 2022</t>
  </si>
  <si>
    <t>Dec 2019</t>
  </si>
  <si>
    <t>Dec 2020</t>
  </si>
  <si>
    <t>Dec 2021</t>
  </si>
  <si>
    <t>Feb 2019</t>
  </si>
  <si>
    <t>Feb 2020</t>
  </si>
  <si>
    <t>Feb 2021</t>
  </si>
  <si>
    <t>Feb 2022</t>
  </si>
  <si>
    <t>Jan 2019</t>
  </si>
  <si>
    <t>Jan 2020</t>
  </si>
  <si>
    <t>Jan 2021</t>
  </si>
  <si>
    <t>Jan 2022</t>
  </si>
  <si>
    <t>Jul 2019</t>
  </si>
  <si>
    <t>Jul 2020</t>
  </si>
  <si>
    <t>Jul 2021</t>
  </si>
  <si>
    <t>Jul 2022</t>
  </si>
  <si>
    <t>Jun 2019</t>
  </si>
  <si>
    <t>Jun 2020</t>
  </si>
  <si>
    <t>Jun 2021</t>
  </si>
  <si>
    <t>Jun 2022</t>
  </si>
  <si>
    <t>Mar 2019</t>
  </si>
  <si>
    <t>Mar 2020</t>
  </si>
  <si>
    <t>Mar 2021</t>
  </si>
  <si>
    <t>Mar 2022</t>
  </si>
  <si>
    <t>May 2019</t>
  </si>
  <si>
    <t>May 2020</t>
  </si>
  <si>
    <t>May 2021</t>
  </si>
  <si>
    <t>May 2022</t>
  </si>
  <si>
    <t>Nov 2019</t>
  </si>
  <si>
    <t>Nov 2020</t>
  </si>
  <si>
    <t>Nov 2021</t>
  </si>
  <si>
    <t>Oct 2019</t>
  </si>
  <si>
    <t>Oct 2020</t>
  </si>
  <si>
    <t>Oct 2021</t>
  </si>
  <si>
    <t>Sep 2019</t>
  </si>
  <si>
    <t>Sep 2020</t>
  </si>
  <si>
    <t>Sep 2021</t>
  </si>
  <si>
    <t>Grand Total</t>
  </si>
  <si>
    <t>Column Labels</t>
  </si>
  <si>
    <t>Correlattion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</si>
</sst>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2" fillId="0" borderId="0" xfId="0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'Combined table'!$O$1</c:f>
              <c:strCache>
                <c:ptCount val="1"/>
                <c:pt idx="0">
                  <c:v>Revenue</c:v>
                </c:pt>
              </c:strCache>
            </c:strRef>
          </c:tx>
          <c:spPr>
            <a:ln w="19050">
              <a:noFill/>
            </a:ln>
          </c:spPr>
          <c:xVal>
            <c:numRef>
              <c:f>'Combined table'!$M$2:$M$1001</c:f>
              <c:numCache>
                <c:formatCode>General</c:formatCode>
                <c:ptCount val="1000"/>
                <c:pt idx="0">
                  <c:v>0.59699999999999998</c:v>
                </c:pt>
                <c:pt idx="1">
                  <c:v>0.90749999999999997</c:v>
                </c:pt>
                <c:pt idx="2">
                  <c:v>1.1655</c:v>
                </c:pt>
                <c:pt idx="3">
                  <c:v>1.5125</c:v>
                </c:pt>
                <c:pt idx="4">
                  <c:v>1.6490999999999998</c:v>
                </c:pt>
                <c:pt idx="5">
                  <c:v>1.6835</c:v>
                </c:pt>
                <c:pt idx="6">
                  <c:v>0.80190000000000006</c:v>
                </c:pt>
                <c:pt idx="7">
                  <c:v>0.61814999999999998</c:v>
                </c:pt>
                <c:pt idx="8">
                  <c:v>0.35819999999999996</c:v>
                </c:pt>
                <c:pt idx="9">
                  <c:v>0.35819999999999996</c:v>
                </c:pt>
                <c:pt idx="10">
                  <c:v>0.89549999999999985</c:v>
                </c:pt>
                <c:pt idx="11">
                  <c:v>3.7570499999999996</c:v>
                </c:pt>
                <c:pt idx="12">
                  <c:v>0.59699999999999998</c:v>
                </c:pt>
                <c:pt idx="13">
                  <c:v>1.2350999999999999</c:v>
                </c:pt>
                <c:pt idx="14">
                  <c:v>0.50505</c:v>
                </c:pt>
                <c:pt idx="15">
                  <c:v>1.3730999999999998</c:v>
                </c:pt>
                <c:pt idx="16">
                  <c:v>0.30374999999999996</c:v>
                </c:pt>
                <c:pt idx="17">
                  <c:v>1.1655</c:v>
                </c:pt>
                <c:pt idx="18">
                  <c:v>1.2350999999999999</c:v>
                </c:pt>
                <c:pt idx="19">
                  <c:v>0.30374999999999996</c:v>
                </c:pt>
                <c:pt idx="20">
                  <c:v>0.40095000000000003</c:v>
                </c:pt>
                <c:pt idx="21">
                  <c:v>0.26865</c:v>
                </c:pt>
                <c:pt idx="22">
                  <c:v>1.3730999999999998</c:v>
                </c:pt>
                <c:pt idx="23">
                  <c:v>0.26865</c:v>
                </c:pt>
                <c:pt idx="24">
                  <c:v>1.0125</c:v>
                </c:pt>
                <c:pt idx="25">
                  <c:v>0.45374999999999999</c:v>
                </c:pt>
                <c:pt idx="26">
                  <c:v>0.60749999999999993</c:v>
                </c:pt>
                <c:pt idx="27">
                  <c:v>0.30374999999999996</c:v>
                </c:pt>
                <c:pt idx="28">
                  <c:v>0.5373</c:v>
                </c:pt>
                <c:pt idx="29">
                  <c:v>0.89549999999999985</c:v>
                </c:pt>
                <c:pt idx="30">
                  <c:v>0.56745000000000001</c:v>
                </c:pt>
                <c:pt idx="31">
                  <c:v>0.5373</c:v>
                </c:pt>
                <c:pt idx="32">
                  <c:v>1.1349</c:v>
                </c:pt>
                <c:pt idx="33">
                  <c:v>0.61814999999999998</c:v>
                </c:pt>
                <c:pt idx="34">
                  <c:v>1.2363</c:v>
                </c:pt>
                <c:pt idx="35">
                  <c:v>0.5373</c:v>
                </c:pt>
                <c:pt idx="36">
                  <c:v>0.56745000000000001</c:v>
                </c:pt>
                <c:pt idx="37">
                  <c:v>1.2363</c:v>
                </c:pt>
                <c:pt idx="38">
                  <c:v>1.3730999999999998</c:v>
                </c:pt>
                <c:pt idx="39">
                  <c:v>0.59699999999999998</c:v>
                </c:pt>
                <c:pt idx="40">
                  <c:v>1.8915000000000002</c:v>
                </c:pt>
                <c:pt idx="41">
                  <c:v>0.40095000000000003</c:v>
                </c:pt>
                <c:pt idx="42">
                  <c:v>0.16109999999999997</c:v>
                </c:pt>
                <c:pt idx="43">
                  <c:v>4.7391499999999995</c:v>
                </c:pt>
                <c:pt idx="44">
                  <c:v>0.90749999999999997</c:v>
                </c:pt>
                <c:pt idx="45">
                  <c:v>3.8720499999999998</c:v>
                </c:pt>
                <c:pt idx="46">
                  <c:v>3.4787499999999998</c:v>
                </c:pt>
                <c:pt idx="47">
                  <c:v>0.34964999999999996</c:v>
                </c:pt>
                <c:pt idx="48">
                  <c:v>2.0596499999999995</c:v>
                </c:pt>
                <c:pt idx="49">
                  <c:v>1.1655</c:v>
                </c:pt>
                <c:pt idx="50">
                  <c:v>1.0101</c:v>
                </c:pt>
                <c:pt idx="51">
                  <c:v>4.7391499999999995</c:v>
                </c:pt>
                <c:pt idx="52">
                  <c:v>0.35819999999999996</c:v>
                </c:pt>
                <c:pt idx="53">
                  <c:v>4.7391499999999995</c:v>
                </c:pt>
                <c:pt idx="54">
                  <c:v>1.8915000000000002</c:v>
                </c:pt>
                <c:pt idx="55">
                  <c:v>2.0605000000000002</c:v>
                </c:pt>
                <c:pt idx="56">
                  <c:v>0.40095000000000003</c:v>
                </c:pt>
                <c:pt idx="57">
                  <c:v>1.6335</c:v>
                </c:pt>
                <c:pt idx="58">
                  <c:v>3.8720499999999998</c:v>
                </c:pt>
                <c:pt idx="59">
                  <c:v>1.1349</c:v>
                </c:pt>
                <c:pt idx="60">
                  <c:v>2.0596499999999995</c:v>
                </c:pt>
                <c:pt idx="61">
                  <c:v>0.32219999999999993</c:v>
                </c:pt>
                <c:pt idx="62">
                  <c:v>0.61814999999999998</c:v>
                </c:pt>
                <c:pt idx="63">
                  <c:v>0.60749999999999993</c:v>
                </c:pt>
                <c:pt idx="64">
                  <c:v>0.35819999999999996</c:v>
                </c:pt>
                <c:pt idx="65">
                  <c:v>1.2350999999999999</c:v>
                </c:pt>
                <c:pt idx="66">
                  <c:v>0.43019999999999992</c:v>
                </c:pt>
                <c:pt idx="67">
                  <c:v>0.61814999999999998</c:v>
                </c:pt>
                <c:pt idx="68">
                  <c:v>0.17909999999999998</c:v>
                </c:pt>
                <c:pt idx="69">
                  <c:v>0.59699999999999998</c:v>
                </c:pt>
                <c:pt idx="70">
                  <c:v>3.7570499999999996</c:v>
                </c:pt>
                <c:pt idx="71">
                  <c:v>0.61814999999999998</c:v>
                </c:pt>
                <c:pt idx="72">
                  <c:v>2.3287499999999994</c:v>
                </c:pt>
                <c:pt idx="73">
                  <c:v>0.56745000000000001</c:v>
                </c:pt>
                <c:pt idx="74">
                  <c:v>0.98009999999999997</c:v>
                </c:pt>
                <c:pt idx="75">
                  <c:v>0.53699999999999992</c:v>
                </c:pt>
                <c:pt idx="76">
                  <c:v>0.21509999999999996</c:v>
                </c:pt>
                <c:pt idx="77">
                  <c:v>0.40095000000000003</c:v>
                </c:pt>
                <c:pt idx="78">
                  <c:v>0.60749999999999993</c:v>
                </c:pt>
                <c:pt idx="79">
                  <c:v>0.71699999999999997</c:v>
                </c:pt>
                <c:pt idx="80">
                  <c:v>0.69929999999999992</c:v>
                </c:pt>
                <c:pt idx="81">
                  <c:v>4.7391499999999995</c:v>
                </c:pt>
                <c:pt idx="82">
                  <c:v>4.3504499999999995</c:v>
                </c:pt>
                <c:pt idx="83">
                  <c:v>1.2350999999999999</c:v>
                </c:pt>
                <c:pt idx="84">
                  <c:v>1.2363</c:v>
                </c:pt>
                <c:pt idx="85">
                  <c:v>2.6806499999999995</c:v>
                </c:pt>
                <c:pt idx="86">
                  <c:v>0.26865</c:v>
                </c:pt>
                <c:pt idx="87">
                  <c:v>1.0125</c:v>
                </c:pt>
                <c:pt idx="88">
                  <c:v>0.71699999999999997</c:v>
                </c:pt>
                <c:pt idx="89">
                  <c:v>1.1655</c:v>
                </c:pt>
                <c:pt idx="90">
                  <c:v>1.1655</c:v>
                </c:pt>
                <c:pt idx="91">
                  <c:v>2.3287499999999994</c:v>
                </c:pt>
                <c:pt idx="92">
                  <c:v>1.6335</c:v>
                </c:pt>
                <c:pt idx="93">
                  <c:v>0.98009999999999997</c:v>
                </c:pt>
                <c:pt idx="94">
                  <c:v>0.26865</c:v>
                </c:pt>
                <c:pt idx="95">
                  <c:v>2.3287499999999994</c:v>
                </c:pt>
                <c:pt idx="96">
                  <c:v>0.26865</c:v>
                </c:pt>
                <c:pt idx="97">
                  <c:v>0.60749999999999993</c:v>
                </c:pt>
                <c:pt idx="98">
                  <c:v>0.26865</c:v>
                </c:pt>
                <c:pt idx="99">
                  <c:v>0.56745000000000001</c:v>
                </c:pt>
                <c:pt idx="100">
                  <c:v>0.34964999999999996</c:v>
                </c:pt>
                <c:pt idx="101">
                  <c:v>3.8720499999999998</c:v>
                </c:pt>
                <c:pt idx="102">
                  <c:v>1.6835</c:v>
                </c:pt>
                <c:pt idx="103">
                  <c:v>0.17909999999999998</c:v>
                </c:pt>
                <c:pt idx="104">
                  <c:v>1.8915000000000002</c:v>
                </c:pt>
                <c:pt idx="105">
                  <c:v>0.60749999999999993</c:v>
                </c:pt>
                <c:pt idx="106">
                  <c:v>1.3365</c:v>
                </c:pt>
                <c:pt idx="107">
                  <c:v>0.35819999999999996</c:v>
                </c:pt>
                <c:pt idx="108">
                  <c:v>0.60749999999999993</c:v>
                </c:pt>
                <c:pt idx="109">
                  <c:v>1.0101</c:v>
                </c:pt>
                <c:pt idx="110">
                  <c:v>0.49004999999999999</c:v>
                </c:pt>
                <c:pt idx="111">
                  <c:v>0.32219999999999993</c:v>
                </c:pt>
                <c:pt idx="112">
                  <c:v>1.0125</c:v>
                </c:pt>
                <c:pt idx="113">
                  <c:v>1.8915000000000002</c:v>
                </c:pt>
                <c:pt idx="114">
                  <c:v>0.21509999999999996</c:v>
                </c:pt>
                <c:pt idx="115">
                  <c:v>2.0605000000000002</c:v>
                </c:pt>
                <c:pt idx="116">
                  <c:v>0.61814999999999998</c:v>
                </c:pt>
                <c:pt idx="117">
                  <c:v>1.2363</c:v>
                </c:pt>
                <c:pt idx="118">
                  <c:v>0.80190000000000006</c:v>
                </c:pt>
                <c:pt idx="119">
                  <c:v>0.45374999999999999</c:v>
                </c:pt>
                <c:pt idx="120">
                  <c:v>0.34964999999999996</c:v>
                </c:pt>
                <c:pt idx="121">
                  <c:v>1.5125</c:v>
                </c:pt>
                <c:pt idx="122">
                  <c:v>0.5373</c:v>
                </c:pt>
                <c:pt idx="123">
                  <c:v>4.7391499999999995</c:v>
                </c:pt>
                <c:pt idx="124">
                  <c:v>0.56745000000000001</c:v>
                </c:pt>
                <c:pt idx="125">
                  <c:v>1.1349</c:v>
                </c:pt>
                <c:pt idx="126">
                  <c:v>1.0125</c:v>
                </c:pt>
                <c:pt idx="127">
                  <c:v>1.6835</c:v>
                </c:pt>
                <c:pt idx="128">
                  <c:v>0.60749999999999993</c:v>
                </c:pt>
                <c:pt idx="129">
                  <c:v>1.3365</c:v>
                </c:pt>
                <c:pt idx="130">
                  <c:v>2.6806499999999995</c:v>
                </c:pt>
                <c:pt idx="131">
                  <c:v>0.80190000000000006</c:v>
                </c:pt>
                <c:pt idx="132">
                  <c:v>2.6806499999999995</c:v>
                </c:pt>
                <c:pt idx="133">
                  <c:v>1.6835</c:v>
                </c:pt>
                <c:pt idx="134">
                  <c:v>3.4787499999999998</c:v>
                </c:pt>
                <c:pt idx="135">
                  <c:v>0.69929999999999992</c:v>
                </c:pt>
                <c:pt idx="136">
                  <c:v>0.26865</c:v>
                </c:pt>
                <c:pt idx="137">
                  <c:v>3.7570499999999996</c:v>
                </c:pt>
                <c:pt idx="138">
                  <c:v>1.3365</c:v>
                </c:pt>
                <c:pt idx="139">
                  <c:v>1.6835</c:v>
                </c:pt>
                <c:pt idx="140">
                  <c:v>3.8720499999999998</c:v>
                </c:pt>
                <c:pt idx="141">
                  <c:v>0.34964999999999996</c:v>
                </c:pt>
                <c:pt idx="142">
                  <c:v>3.7570499999999996</c:v>
                </c:pt>
                <c:pt idx="143">
                  <c:v>1.1349</c:v>
                </c:pt>
                <c:pt idx="144">
                  <c:v>3.7570499999999996</c:v>
                </c:pt>
                <c:pt idx="145">
                  <c:v>0.56745000000000001</c:v>
                </c:pt>
                <c:pt idx="146">
                  <c:v>1.8915000000000002</c:v>
                </c:pt>
                <c:pt idx="147">
                  <c:v>1.5125</c:v>
                </c:pt>
                <c:pt idx="148">
                  <c:v>0.40095000000000003</c:v>
                </c:pt>
                <c:pt idx="149">
                  <c:v>2.3287499999999994</c:v>
                </c:pt>
                <c:pt idx="150">
                  <c:v>1.6835</c:v>
                </c:pt>
                <c:pt idx="151">
                  <c:v>1.0125</c:v>
                </c:pt>
                <c:pt idx="152">
                  <c:v>1.3730999999999998</c:v>
                </c:pt>
                <c:pt idx="153">
                  <c:v>0.16109999999999997</c:v>
                </c:pt>
                <c:pt idx="154">
                  <c:v>2.0596499999999995</c:v>
                </c:pt>
                <c:pt idx="155">
                  <c:v>2.3287499999999994</c:v>
                </c:pt>
                <c:pt idx="156">
                  <c:v>2.3287499999999994</c:v>
                </c:pt>
                <c:pt idx="157">
                  <c:v>1.2350999999999999</c:v>
                </c:pt>
                <c:pt idx="158">
                  <c:v>1.2350999999999999</c:v>
                </c:pt>
                <c:pt idx="159">
                  <c:v>4.7391499999999995</c:v>
                </c:pt>
                <c:pt idx="160">
                  <c:v>0.90749999999999997</c:v>
                </c:pt>
                <c:pt idx="161">
                  <c:v>0.69929999999999992</c:v>
                </c:pt>
                <c:pt idx="162">
                  <c:v>0.80190000000000006</c:v>
                </c:pt>
                <c:pt idx="163">
                  <c:v>0.16109999999999997</c:v>
                </c:pt>
                <c:pt idx="164">
                  <c:v>0.80190000000000006</c:v>
                </c:pt>
                <c:pt idx="165">
                  <c:v>0.53699999999999992</c:v>
                </c:pt>
                <c:pt idx="166">
                  <c:v>0.32219999999999993</c:v>
                </c:pt>
                <c:pt idx="167">
                  <c:v>0.90749999999999997</c:v>
                </c:pt>
                <c:pt idx="168">
                  <c:v>0.60749999999999993</c:v>
                </c:pt>
                <c:pt idx="169">
                  <c:v>0.53699999999999992</c:v>
                </c:pt>
                <c:pt idx="170">
                  <c:v>3.7570499999999996</c:v>
                </c:pt>
                <c:pt idx="171">
                  <c:v>3.4787499999999998</c:v>
                </c:pt>
                <c:pt idx="172">
                  <c:v>0.80190000000000006</c:v>
                </c:pt>
                <c:pt idx="173">
                  <c:v>1.3730999999999998</c:v>
                </c:pt>
                <c:pt idx="174">
                  <c:v>3.7570499999999996</c:v>
                </c:pt>
                <c:pt idx="175">
                  <c:v>3.4787499999999998</c:v>
                </c:pt>
                <c:pt idx="176">
                  <c:v>3.7570499999999996</c:v>
                </c:pt>
                <c:pt idx="177">
                  <c:v>1.6490999999999998</c:v>
                </c:pt>
                <c:pt idx="178">
                  <c:v>1.1655</c:v>
                </c:pt>
                <c:pt idx="179">
                  <c:v>0.26865</c:v>
                </c:pt>
                <c:pt idx="180">
                  <c:v>0.49004999999999999</c:v>
                </c:pt>
                <c:pt idx="181">
                  <c:v>0.5373</c:v>
                </c:pt>
                <c:pt idx="182">
                  <c:v>0.32219999999999993</c:v>
                </c:pt>
                <c:pt idx="183">
                  <c:v>0.45374999999999999</c:v>
                </c:pt>
                <c:pt idx="184">
                  <c:v>0.69929999999999992</c:v>
                </c:pt>
                <c:pt idx="185">
                  <c:v>0.80190000000000006</c:v>
                </c:pt>
                <c:pt idx="186">
                  <c:v>1.3730999999999998</c:v>
                </c:pt>
                <c:pt idx="187">
                  <c:v>1.1349</c:v>
                </c:pt>
                <c:pt idx="188">
                  <c:v>0.49004999999999999</c:v>
                </c:pt>
                <c:pt idx="189">
                  <c:v>1.8915000000000002</c:v>
                </c:pt>
                <c:pt idx="190">
                  <c:v>4.3504499999999995</c:v>
                </c:pt>
                <c:pt idx="191">
                  <c:v>0.50505</c:v>
                </c:pt>
                <c:pt idx="192">
                  <c:v>1.3365</c:v>
                </c:pt>
                <c:pt idx="193">
                  <c:v>1.6335</c:v>
                </c:pt>
                <c:pt idx="194">
                  <c:v>0.80190000000000006</c:v>
                </c:pt>
                <c:pt idx="195">
                  <c:v>1.1655</c:v>
                </c:pt>
                <c:pt idx="196">
                  <c:v>0.98009999999999997</c:v>
                </c:pt>
                <c:pt idx="197">
                  <c:v>3.8720499999999998</c:v>
                </c:pt>
                <c:pt idx="198">
                  <c:v>3.8720499999999998</c:v>
                </c:pt>
                <c:pt idx="199">
                  <c:v>1.2363</c:v>
                </c:pt>
                <c:pt idx="200">
                  <c:v>1.5125</c:v>
                </c:pt>
                <c:pt idx="201">
                  <c:v>1.2363</c:v>
                </c:pt>
                <c:pt idx="202">
                  <c:v>3.8720499999999998</c:v>
                </c:pt>
                <c:pt idx="203">
                  <c:v>0.61814999999999998</c:v>
                </c:pt>
                <c:pt idx="204">
                  <c:v>1.5125</c:v>
                </c:pt>
                <c:pt idx="205">
                  <c:v>0.16109999999999997</c:v>
                </c:pt>
                <c:pt idx="206">
                  <c:v>1.0125</c:v>
                </c:pt>
                <c:pt idx="207">
                  <c:v>0.60749999999999993</c:v>
                </c:pt>
                <c:pt idx="208">
                  <c:v>0.80190000000000006</c:v>
                </c:pt>
                <c:pt idx="209">
                  <c:v>0.60749999999999993</c:v>
                </c:pt>
                <c:pt idx="210">
                  <c:v>1.6835</c:v>
                </c:pt>
                <c:pt idx="211">
                  <c:v>0.98009999999999997</c:v>
                </c:pt>
                <c:pt idx="212">
                  <c:v>0.40095000000000003</c:v>
                </c:pt>
                <c:pt idx="213">
                  <c:v>1.2350999999999999</c:v>
                </c:pt>
                <c:pt idx="214">
                  <c:v>2.0605000000000002</c:v>
                </c:pt>
                <c:pt idx="215">
                  <c:v>0.50505</c:v>
                </c:pt>
                <c:pt idx="216">
                  <c:v>1.8915000000000002</c:v>
                </c:pt>
                <c:pt idx="217">
                  <c:v>0.98009999999999997</c:v>
                </c:pt>
                <c:pt idx="218">
                  <c:v>1.0125</c:v>
                </c:pt>
                <c:pt idx="219">
                  <c:v>0.21509999999999996</c:v>
                </c:pt>
                <c:pt idx="220">
                  <c:v>0.17909999999999998</c:v>
                </c:pt>
                <c:pt idx="221">
                  <c:v>1.1655</c:v>
                </c:pt>
                <c:pt idx="222">
                  <c:v>1.0101</c:v>
                </c:pt>
                <c:pt idx="223">
                  <c:v>1.6335</c:v>
                </c:pt>
                <c:pt idx="224">
                  <c:v>3.8720499999999998</c:v>
                </c:pt>
                <c:pt idx="225">
                  <c:v>0.21509999999999996</c:v>
                </c:pt>
                <c:pt idx="226">
                  <c:v>2.3287499999999994</c:v>
                </c:pt>
                <c:pt idx="227">
                  <c:v>0.16109999999999997</c:v>
                </c:pt>
                <c:pt idx="228">
                  <c:v>0.21509999999999996</c:v>
                </c:pt>
                <c:pt idx="229">
                  <c:v>0.56745000000000001</c:v>
                </c:pt>
                <c:pt idx="230">
                  <c:v>2.3287499999999994</c:v>
                </c:pt>
                <c:pt idx="231">
                  <c:v>0.56745000000000001</c:v>
                </c:pt>
                <c:pt idx="232">
                  <c:v>0.61814999999999998</c:v>
                </c:pt>
                <c:pt idx="233">
                  <c:v>0.45374999999999999</c:v>
                </c:pt>
                <c:pt idx="234">
                  <c:v>4.7391499999999995</c:v>
                </c:pt>
                <c:pt idx="235">
                  <c:v>4.7391499999999995</c:v>
                </c:pt>
                <c:pt idx="236">
                  <c:v>3.8720499999999998</c:v>
                </c:pt>
                <c:pt idx="237">
                  <c:v>0.21509999999999996</c:v>
                </c:pt>
                <c:pt idx="238">
                  <c:v>1.3730999999999998</c:v>
                </c:pt>
                <c:pt idx="239">
                  <c:v>1.6335</c:v>
                </c:pt>
                <c:pt idx="240">
                  <c:v>2.3287499999999994</c:v>
                </c:pt>
                <c:pt idx="241">
                  <c:v>1.3730999999999998</c:v>
                </c:pt>
                <c:pt idx="242">
                  <c:v>1.3365</c:v>
                </c:pt>
                <c:pt idx="243">
                  <c:v>0.80190000000000006</c:v>
                </c:pt>
                <c:pt idx="244">
                  <c:v>4.3504499999999995</c:v>
                </c:pt>
                <c:pt idx="245">
                  <c:v>0.61814999999999998</c:v>
                </c:pt>
                <c:pt idx="246">
                  <c:v>1.6835</c:v>
                </c:pt>
                <c:pt idx="247">
                  <c:v>0.21509999999999996</c:v>
                </c:pt>
                <c:pt idx="248">
                  <c:v>0.89549999999999985</c:v>
                </c:pt>
                <c:pt idx="249">
                  <c:v>2.0605000000000002</c:v>
                </c:pt>
                <c:pt idx="250">
                  <c:v>0.17909999999999998</c:v>
                </c:pt>
                <c:pt idx="251">
                  <c:v>1.5125</c:v>
                </c:pt>
                <c:pt idx="252">
                  <c:v>0.89549999999999985</c:v>
                </c:pt>
                <c:pt idx="253">
                  <c:v>1.8915000000000002</c:v>
                </c:pt>
                <c:pt idx="254">
                  <c:v>0.43019999999999992</c:v>
                </c:pt>
                <c:pt idx="255">
                  <c:v>0.43019999999999992</c:v>
                </c:pt>
                <c:pt idx="256">
                  <c:v>1.1349</c:v>
                </c:pt>
                <c:pt idx="257">
                  <c:v>3.07395</c:v>
                </c:pt>
                <c:pt idx="258">
                  <c:v>3.07395</c:v>
                </c:pt>
                <c:pt idx="259">
                  <c:v>0.17909999999999998</c:v>
                </c:pt>
                <c:pt idx="260">
                  <c:v>1.6490999999999998</c:v>
                </c:pt>
                <c:pt idx="261">
                  <c:v>0.71699999999999997</c:v>
                </c:pt>
                <c:pt idx="262">
                  <c:v>1.5125</c:v>
                </c:pt>
                <c:pt idx="263">
                  <c:v>4.3504499999999995</c:v>
                </c:pt>
                <c:pt idx="264">
                  <c:v>0.71699999999999997</c:v>
                </c:pt>
                <c:pt idx="265">
                  <c:v>0.5373</c:v>
                </c:pt>
                <c:pt idx="266">
                  <c:v>1.3365</c:v>
                </c:pt>
                <c:pt idx="267">
                  <c:v>0.40095000000000003</c:v>
                </c:pt>
                <c:pt idx="268">
                  <c:v>0.89549999999999985</c:v>
                </c:pt>
                <c:pt idx="269">
                  <c:v>0.26865</c:v>
                </c:pt>
                <c:pt idx="270">
                  <c:v>0.80190000000000006</c:v>
                </c:pt>
                <c:pt idx="271">
                  <c:v>0.26865</c:v>
                </c:pt>
                <c:pt idx="272">
                  <c:v>0.71699999999999997</c:v>
                </c:pt>
                <c:pt idx="273">
                  <c:v>0.34964999999999996</c:v>
                </c:pt>
                <c:pt idx="274">
                  <c:v>2.3287499999999994</c:v>
                </c:pt>
                <c:pt idx="275">
                  <c:v>3.7570499999999996</c:v>
                </c:pt>
                <c:pt idx="276">
                  <c:v>1.6490999999999998</c:v>
                </c:pt>
                <c:pt idx="277">
                  <c:v>1.6335</c:v>
                </c:pt>
                <c:pt idx="278">
                  <c:v>0.34964999999999996</c:v>
                </c:pt>
                <c:pt idx="279">
                  <c:v>4.3504499999999995</c:v>
                </c:pt>
                <c:pt idx="280">
                  <c:v>0.90749999999999997</c:v>
                </c:pt>
                <c:pt idx="281">
                  <c:v>1.6335</c:v>
                </c:pt>
                <c:pt idx="282">
                  <c:v>0.69929999999999992</c:v>
                </c:pt>
                <c:pt idx="283">
                  <c:v>0.32219999999999993</c:v>
                </c:pt>
                <c:pt idx="284">
                  <c:v>3.4787499999999998</c:v>
                </c:pt>
                <c:pt idx="285">
                  <c:v>4.7391499999999995</c:v>
                </c:pt>
                <c:pt idx="286">
                  <c:v>0.30374999999999996</c:v>
                </c:pt>
                <c:pt idx="287">
                  <c:v>0.21509999999999996</c:v>
                </c:pt>
                <c:pt idx="288">
                  <c:v>0.90749999999999997</c:v>
                </c:pt>
                <c:pt idx="289">
                  <c:v>0.16109999999999997</c:v>
                </c:pt>
                <c:pt idx="290">
                  <c:v>0.89549999999999985</c:v>
                </c:pt>
                <c:pt idx="291">
                  <c:v>0.90749999999999997</c:v>
                </c:pt>
                <c:pt idx="292">
                  <c:v>0.5373</c:v>
                </c:pt>
                <c:pt idx="293">
                  <c:v>0.5373</c:v>
                </c:pt>
                <c:pt idx="294">
                  <c:v>1.6335</c:v>
                </c:pt>
                <c:pt idx="295">
                  <c:v>1.5125</c:v>
                </c:pt>
                <c:pt idx="296">
                  <c:v>0.35819999999999996</c:v>
                </c:pt>
                <c:pt idx="297">
                  <c:v>0.32219999999999993</c:v>
                </c:pt>
                <c:pt idx="298">
                  <c:v>0.49004999999999999</c:v>
                </c:pt>
                <c:pt idx="299">
                  <c:v>3.7570499999999996</c:v>
                </c:pt>
                <c:pt idx="300">
                  <c:v>1.1655</c:v>
                </c:pt>
                <c:pt idx="301">
                  <c:v>0.50505</c:v>
                </c:pt>
                <c:pt idx="302">
                  <c:v>0.60749999999999993</c:v>
                </c:pt>
                <c:pt idx="303">
                  <c:v>3.07395</c:v>
                </c:pt>
                <c:pt idx="304">
                  <c:v>0.34964999999999996</c:v>
                </c:pt>
                <c:pt idx="305">
                  <c:v>0.56745000000000001</c:v>
                </c:pt>
                <c:pt idx="306">
                  <c:v>0.17909999999999998</c:v>
                </c:pt>
                <c:pt idx="307">
                  <c:v>1.0125</c:v>
                </c:pt>
                <c:pt idx="308">
                  <c:v>1.0125</c:v>
                </c:pt>
                <c:pt idx="309">
                  <c:v>0.56745000000000001</c:v>
                </c:pt>
                <c:pt idx="310">
                  <c:v>1.6335</c:v>
                </c:pt>
                <c:pt idx="311">
                  <c:v>3.4787499999999998</c:v>
                </c:pt>
                <c:pt idx="312">
                  <c:v>0.35819999999999996</c:v>
                </c:pt>
                <c:pt idx="313">
                  <c:v>0.59699999999999998</c:v>
                </c:pt>
                <c:pt idx="314">
                  <c:v>0.53699999999999992</c:v>
                </c:pt>
                <c:pt idx="315">
                  <c:v>3.7570499999999996</c:v>
                </c:pt>
                <c:pt idx="316">
                  <c:v>3.7570499999999996</c:v>
                </c:pt>
                <c:pt idx="317">
                  <c:v>0.80190000000000006</c:v>
                </c:pt>
                <c:pt idx="318">
                  <c:v>2.3287499999999994</c:v>
                </c:pt>
                <c:pt idx="319">
                  <c:v>0.45374999999999999</c:v>
                </c:pt>
                <c:pt idx="320">
                  <c:v>0.34964999999999996</c:v>
                </c:pt>
                <c:pt idx="321">
                  <c:v>0.30374999999999996</c:v>
                </c:pt>
                <c:pt idx="322">
                  <c:v>1.0101</c:v>
                </c:pt>
                <c:pt idx="323">
                  <c:v>0.40095000000000003</c:v>
                </c:pt>
                <c:pt idx="324">
                  <c:v>1.5125</c:v>
                </c:pt>
                <c:pt idx="325">
                  <c:v>2.6806499999999995</c:v>
                </c:pt>
                <c:pt idx="326">
                  <c:v>0.53699999999999992</c:v>
                </c:pt>
                <c:pt idx="327">
                  <c:v>0.53699999999999992</c:v>
                </c:pt>
                <c:pt idx="328">
                  <c:v>1.2363</c:v>
                </c:pt>
                <c:pt idx="329">
                  <c:v>0.32219999999999993</c:v>
                </c:pt>
                <c:pt idx="330">
                  <c:v>0.32219999999999993</c:v>
                </c:pt>
                <c:pt idx="331">
                  <c:v>1.3730999999999998</c:v>
                </c:pt>
                <c:pt idx="332">
                  <c:v>0.5373</c:v>
                </c:pt>
                <c:pt idx="333">
                  <c:v>0.35819999999999996</c:v>
                </c:pt>
                <c:pt idx="334">
                  <c:v>0.71699999999999997</c:v>
                </c:pt>
                <c:pt idx="335">
                  <c:v>0.61814999999999998</c:v>
                </c:pt>
                <c:pt idx="336">
                  <c:v>1.0125</c:v>
                </c:pt>
                <c:pt idx="337">
                  <c:v>3.07395</c:v>
                </c:pt>
                <c:pt idx="338">
                  <c:v>1.6335</c:v>
                </c:pt>
                <c:pt idx="339">
                  <c:v>0.40095000000000003</c:v>
                </c:pt>
                <c:pt idx="340">
                  <c:v>0.80190000000000006</c:v>
                </c:pt>
                <c:pt idx="341">
                  <c:v>0.98009999999999997</c:v>
                </c:pt>
                <c:pt idx="342">
                  <c:v>1.0101</c:v>
                </c:pt>
                <c:pt idx="343">
                  <c:v>0.32219999999999993</c:v>
                </c:pt>
                <c:pt idx="344">
                  <c:v>0.59699999999999998</c:v>
                </c:pt>
                <c:pt idx="345">
                  <c:v>0.71699999999999997</c:v>
                </c:pt>
                <c:pt idx="346">
                  <c:v>0.69929999999999992</c:v>
                </c:pt>
                <c:pt idx="347">
                  <c:v>1.8915000000000002</c:v>
                </c:pt>
                <c:pt idx="348">
                  <c:v>3.7570499999999996</c:v>
                </c:pt>
                <c:pt idx="349">
                  <c:v>0.21509999999999996</c:v>
                </c:pt>
                <c:pt idx="350">
                  <c:v>0.5373</c:v>
                </c:pt>
                <c:pt idx="351">
                  <c:v>1.0125</c:v>
                </c:pt>
                <c:pt idx="352">
                  <c:v>0.80190000000000006</c:v>
                </c:pt>
                <c:pt idx="353">
                  <c:v>0.60749999999999993</c:v>
                </c:pt>
                <c:pt idx="354">
                  <c:v>2.3287499999999994</c:v>
                </c:pt>
                <c:pt idx="355">
                  <c:v>2.0596499999999995</c:v>
                </c:pt>
                <c:pt idx="356">
                  <c:v>1.6835</c:v>
                </c:pt>
                <c:pt idx="357">
                  <c:v>2.3287499999999994</c:v>
                </c:pt>
                <c:pt idx="358">
                  <c:v>2.6806499999999995</c:v>
                </c:pt>
                <c:pt idx="359">
                  <c:v>0.21509999999999996</c:v>
                </c:pt>
                <c:pt idx="360">
                  <c:v>1.2350999999999999</c:v>
                </c:pt>
                <c:pt idx="361">
                  <c:v>0.35819999999999996</c:v>
                </c:pt>
                <c:pt idx="362">
                  <c:v>1.6335</c:v>
                </c:pt>
                <c:pt idx="363">
                  <c:v>1.8915000000000002</c:v>
                </c:pt>
                <c:pt idx="364">
                  <c:v>1.3365</c:v>
                </c:pt>
                <c:pt idx="365">
                  <c:v>1.0101</c:v>
                </c:pt>
                <c:pt idx="366">
                  <c:v>0.80190000000000006</c:v>
                </c:pt>
                <c:pt idx="367">
                  <c:v>0.56745000000000001</c:v>
                </c:pt>
                <c:pt idx="368">
                  <c:v>3.4787499999999998</c:v>
                </c:pt>
                <c:pt idx="369">
                  <c:v>0.98009999999999997</c:v>
                </c:pt>
                <c:pt idx="370">
                  <c:v>1.3365</c:v>
                </c:pt>
                <c:pt idx="371">
                  <c:v>0.69929999999999992</c:v>
                </c:pt>
                <c:pt idx="372">
                  <c:v>0.43019999999999992</c:v>
                </c:pt>
                <c:pt idx="373">
                  <c:v>0.5373</c:v>
                </c:pt>
                <c:pt idx="374">
                  <c:v>1.2363</c:v>
                </c:pt>
                <c:pt idx="375">
                  <c:v>0.30374999999999996</c:v>
                </c:pt>
                <c:pt idx="376">
                  <c:v>0.35819999999999996</c:v>
                </c:pt>
                <c:pt idx="377">
                  <c:v>0.16109999999999997</c:v>
                </c:pt>
                <c:pt idx="378">
                  <c:v>0.69929999999999992</c:v>
                </c:pt>
                <c:pt idx="379">
                  <c:v>0.43019999999999992</c:v>
                </c:pt>
                <c:pt idx="380">
                  <c:v>1.0101</c:v>
                </c:pt>
                <c:pt idx="381">
                  <c:v>0.26865</c:v>
                </c:pt>
                <c:pt idx="382">
                  <c:v>0.80190000000000006</c:v>
                </c:pt>
                <c:pt idx="383">
                  <c:v>0.98009999999999997</c:v>
                </c:pt>
                <c:pt idx="384">
                  <c:v>2.6806499999999995</c:v>
                </c:pt>
                <c:pt idx="385">
                  <c:v>1.1349</c:v>
                </c:pt>
                <c:pt idx="386">
                  <c:v>0.26865</c:v>
                </c:pt>
                <c:pt idx="387">
                  <c:v>1.6335</c:v>
                </c:pt>
                <c:pt idx="388">
                  <c:v>0.50505</c:v>
                </c:pt>
                <c:pt idx="389">
                  <c:v>1.0101</c:v>
                </c:pt>
                <c:pt idx="390">
                  <c:v>0.80190000000000006</c:v>
                </c:pt>
                <c:pt idx="391">
                  <c:v>0.60749999999999993</c:v>
                </c:pt>
                <c:pt idx="392">
                  <c:v>1.6335</c:v>
                </c:pt>
                <c:pt idx="393">
                  <c:v>0.34964999999999996</c:v>
                </c:pt>
                <c:pt idx="394">
                  <c:v>1.6490999999999998</c:v>
                </c:pt>
                <c:pt idx="395">
                  <c:v>1.0101</c:v>
                </c:pt>
                <c:pt idx="396">
                  <c:v>0.69929999999999992</c:v>
                </c:pt>
                <c:pt idx="397">
                  <c:v>1.0101</c:v>
                </c:pt>
                <c:pt idx="398">
                  <c:v>0.26865</c:v>
                </c:pt>
                <c:pt idx="399">
                  <c:v>3.07395</c:v>
                </c:pt>
                <c:pt idx="400">
                  <c:v>2.0605000000000002</c:v>
                </c:pt>
                <c:pt idx="401">
                  <c:v>0.56745000000000001</c:v>
                </c:pt>
                <c:pt idx="402">
                  <c:v>0.53699999999999992</c:v>
                </c:pt>
                <c:pt idx="403">
                  <c:v>0.61814999999999998</c:v>
                </c:pt>
                <c:pt idx="404">
                  <c:v>0.89549999999999985</c:v>
                </c:pt>
                <c:pt idx="405">
                  <c:v>0.90749999999999997</c:v>
                </c:pt>
                <c:pt idx="406">
                  <c:v>1.5125</c:v>
                </c:pt>
                <c:pt idx="407">
                  <c:v>0.90749999999999997</c:v>
                </c:pt>
                <c:pt idx="408">
                  <c:v>2.3287499999999994</c:v>
                </c:pt>
                <c:pt idx="409">
                  <c:v>2.0605000000000002</c:v>
                </c:pt>
                <c:pt idx="410">
                  <c:v>0.34964999999999996</c:v>
                </c:pt>
                <c:pt idx="411">
                  <c:v>1.8915000000000002</c:v>
                </c:pt>
                <c:pt idx="412">
                  <c:v>1.0125</c:v>
                </c:pt>
                <c:pt idx="413">
                  <c:v>4.7391499999999995</c:v>
                </c:pt>
                <c:pt idx="414">
                  <c:v>0.21509999999999996</c:v>
                </c:pt>
                <c:pt idx="415">
                  <c:v>0.17909999999999998</c:v>
                </c:pt>
                <c:pt idx="416">
                  <c:v>0.69929999999999992</c:v>
                </c:pt>
                <c:pt idx="417">
                  <c:v>2.6806499999999995</c:v>
                </c:pt>
                <c:pt idx="418">
                  <c:v>2.6806499999999995</c:v>
                </c:pt>
                <c:pt idx="419">
                  <c:v>1.1349</c:v>
                </c:pt>
                <c:pt idx="420">
                  <c:v>1.0101</c:v>
                </c:pt>
                <c:pt idx="421">
                  <c:v>2.0596499999999995</c:v>
                </c:pt>
                <c:pt idx="422">
                  <c:v>0.5373</c:v>
                </c:pt>
                <c:pt idx="423">
                  <c:v>0.35819999999999996</c:v>
                </c:pt>
                <c:pt idx="424">
                  <c:v>0.98009999999999997</c:v>
                </c:pt>
                <c:pt idx="425">
                  <c:v>0.53699999999999992</c:v>
                </c:pt>
                <c:pt idx="426">
                  <c:v>0.21509999999999996</c:v>
                </c:pt>
                <c:pt idx="427">
                  <c:v>2.3287499999999994</c:v>
                </c:pt>
                <c:pt idx="428">
                  <c:v>0.71699999999999997</c:v>
                </c:pt>
                <c:pt idx="429">
                  <c:v>1.1655</c:v>
                </c:pt>
                <c:pt idx="430">
                  <c:v>0.16109999999999997</c:v>
                </c:pt>
                <c:pt idx="431">
                  <c:v>3.07395</c:v>
                </c:pt>
                <c:pt idx="432">
                  <c:v>1.0125</c:v>
                </c:pt>
                <c:pt idx="433">
                  <c:v>4.3504499999999995</c:v>
                </c:pt>
                <c:pt idx="434">
                  <c:v>1.0125</c:v>
                </c:pt>
                <c:pt idx="435">
                  <c:v>0.90749999999999997</c:v>
                </c:pt>
                <c:pt idx="436">
                  <c:v>0.61814999999999998</c:v>
                </c:pt>
                <c:pt idx="437">
                  <c:v>3.8720499999999998</c:v>
                </c:pt>
                <c:pt idx="438">
                  <c:v>1.0101</c:v>
                </c:pt>
                <c:pt idx="439">
                  <c:v>0.98009999999999997</c:v>
                </c:pt>
                <c:pt idx="440">
                  <c:v>2.3287499999999994</c:v>
                </c:pt>
                <c:pt idx="441">
                  <c:v>1.3365</c:v>
                </c:pt>
                <c:pt idx="442">
                  <c:v>0.43019999999999992</c:v>
                </c:pt>
                <c:pt idx="443">
                  <c:v>0.49004999999999999</c:v>
                </c:pt>
                <c:pt idx="444">
                  <c:v>0.45374999999999999</c:v>
                </c:pt>
                <c:pt idx="445">
                  <c:v>4.3504499999999995</c:v>
                </c:pt>
                <c:pt idx="446">
                  <c:v>1.1349</c:v>
                </c:pt>
                <c:pt idx="447">
                  <c:v>0.35819999999999996</c:v>
                </c:pt>
                <c:pt idx="448">
                  <c:v>0.43019999999999992</c:v>
                </c:pt>
                <c:pt idx="449">
                  <c:v>0.16109999999999997</c:v>
                </c:pt>
                <c:pt idx="450">
                  <c:v>0.61814999999999998</c:v>
                </c:pt>
                <c:pt idx="451">
                  <c:v>1.2350999999999999</c:v>
                </c:pt>
                <c:pt idx="452">
                  <c:v>0.34964999999999996</c:v>
                </c:pt>
                <c:pt idx="453">
                  <c:v>1.2363</c:v>
                </c:pt>
                <c:pt idx="454">
                  <c:v>1.2350999999999999</c:v>
                </c:pt>
                <c:pt idx="455">
                  <c:v>0.61814999999999998</c:v>
                </c:pt>
                <c:pt idx="456">
                  <c:v>1.2350999999999999</c:v>
                </c:pt>
                <c:pt idx="457">
                  <c:v>1.2363</c:v>
                </c:pt>
                <c:pt idx="458">
                  <c:v>1.0125</c:v>
                </c:pt>
                <c:pt idx="459">
                  <c:v>0.61814999999999998</c:v>
                </c:pt>
                <c:pt idx="460">
                  <c:v>0.32219999999999993</c:v>
                </c:pt>
                <c:pt idx="461">
                  <c:v>0.16109999999999997</c:v>
                </c:pt>
                <c:pt idx="462">
                  <c:v>0.89549999999999985</c:v>
                </c:pt>
                <c:pt idx="463">
                  <c:v>1.5125</c:v>
                </c:pt>
                <c:pt idx="464">
                  <c:v>3.8720499999999998</c:v>
                </c:pt>
                <c:pt idx="465">
                  <c:v>1.2350999999999999</c:v>
                </c:pt>
                <c:pt idx="466">
                  <c:v>0.26865</c:v>
                </c:pt>
                <c:pt idx="467">
                  <c:v>0.5373</c:v>
                </c:pt>
                <c:pt idx="468">
                  <c:v>1.5125</c:v>
                </c:pt>
                <c:pt idx="469">
                  <c:v>0.49004999999999999</c:v>
                </c:pt>
                <c:pt idx="470">
                  <c:v>0.60749999999999993</c:v>
                </c:pt>
                <c:pt idx="471">
                  <c:v>4.3504499999999995</c:v>
                </c:pt>
                <c:pt idx="472">
                  <c:v>0.26865</c:v>
                </c:pt>
                <c:pt idx="473">
                  <c:v>1.1655</c:v>
                </c:pt>
                <c:pt idx="474">
                  <c:v>3.4787499999999998</c:v>
                </c:pt>
                <c:pt idx="475">
                  <c:v>0.56745000000000001</c:v>
                </c:pt>
                <c:pt idx="476">
                  <c:v>0.49004999999999999</c:v>
                </c:pt>
                <c:pt idx="477">
                  <c:v>0.56745000000000001</c:v>
                </c:pt>
                <c:pt idx="478">
                  <c:v>0.53699999999999992</c:v>
                </c:pt>
                <c:pt idx="479">
                  <c:v>3.4787499999999998</c:v>
                </c:pt>
                <c:pt idx="480">
                  <c:v>0.45374999999999999</c:v>
                </c:pt>
                <c:pt idx="481">
                  <c:v>0.71699999999999997</c:v>
                </c:pt>
                <c:pt idx="482">
                  <c:v>3.07395</c:v>
                </c:pt>
                <c:pt idx="483">
                  <c:v>3.8720499999999998</c:v>
                </c:pt>
                <c:pt idx="484">
                  <c:v>1.2363</c:v>
                </c:pt>
                <c:pt idx="485">
                  <c:v>0.21509999999999996</c:v>
                </c:pt>
                <c:pt idx="486">
                  <c:v>1.1349</c:v>
                </c:pt>
                <c:pt idx="487">
                  <c:v>1.3365</c:v>
                </c:pt>
                <c:pt idx="488">
                  <c:v>0.17909999999999998</c:v>
                </c:pt>
                <c:pt idx="489">
                  <c:v>2.0605000000000002</c:v>
                </c:pt>
                <c:pt idx="490">
                  <c:v>1.0101</c:v>
                </c:pt>
                <c:pt idx="491">
                  <c:v>0.50505</c:v>
                </c:pt>
                <c:pt idx="492">
                  <c:v>0.45374999999999999</c:v>
                </c:pt>
                <c:pt idx="493">
                  <c:v>0.35819999999999996</c:v>
                </c:pt>
                <c:pt idx="494">
                  <c:v>2.0605000000000002</c:v>
                </c:pt>
                <c:pt idx="495">
                  <c:v>2.0605000000000002</c:v>
                </c:pt>
                <c:pt idx="496">
                  <c:v>0.40095000000000003</c:v>
                </c:pt>
                <c:pt idx="497">
                  <c:v>0.89549999999999985</c:v>
                </c:pt>
                <c:pt idx="498">
                  <c:v>0.59699999999999998</c:v>
                </c:pt>
                <c:pt idx="499">
                  <c:v>0.16109999999999997</c:v>
                </c:pt>
                <c:pt idx="500">
                  <c:v>0.71699999999999997</c:v>
                </c:pt>
                <c:pt idx="501">
                  <c:v>0.17909999999999998</c:v>
                </c:pt>
                <c:pt idx="502">
                  <c:v>0.45374999999999999</c:v>
                </c:pt>
                <c:pt idx="503">
                  <c:v>1.6835</c:v>
                </c:pt>
                <c:pt idx="504">
                  <c:v>0.61814999999999998</c:v>
                </c:pt>
                <c:pt idx="505">
                  <c:v>0.56745000000000001</c:v>
                </c:pt>
                <c:pt idx="506">
                  <c:v>1.1655</c:v>
                </c:pt>
                <c:pt idx="507">
                  <c:v>2.6806499999999995</c:v>
                </c:pt>
                <c:pt idx="508">
                  <c:v>1.0101</c:v>
                </c:pt>
                <c:pt idx="509">
                  <c:v>0.89549999999999985</c:v>
                </c:pt>
                <c:pt idx="510">
                  <c:v>0.21509999999999996</c:v>
                </c:pt>
                <c:pt idx="511">
                  <c:v>0.30374999999999996</c:v>
                </c:pt>
                <c:pt idx="512">
                  <c:v>2.0605000000000002</c:v>
                </c:pt>
                <c:pt idx="513">
                  <c:v>2.0605000000000002</c:v>
                </c:pt>
                <c:pt idx="514">
                  <c:v>0.56745000000000001</c:v>
                </c:pt>
                <c:pt idx="515">
                  <c:v>0.43019999999999992</c:v>
                </c:pt>
                <c:pt idx="516">
                  <c:v>1.2350999999999999</c:v>
                </c:pt>
                <c:pt idx="517">
                  <c:v>0.50505</c:v>
                </c:pt>
                <c:pt idx="518">
                  <c:v>3.07395</c:v>
                </c:pt>
                <c:pt idx="519">
                  <c:v>0.5373</c:v>
                </c:pt>
                <c:pt idx="520">
                  <c:v>0.50505</c:v>
                </c:pt>
                <c:pt idx="521">
                  <c:v>0.59699999999999998</c:v>
                </c:pt>
                <c:pt idx="522">
                  <c:v>0.35819999999999996</c:v>
                </c:pt>
                <c:pt idx="523">
                  <c:v>3.8720499999999998</c:v>
                </c:pt>
                <c:pt idx="524">
                  <c:v>4.7391499999999995</c:v>
                </c:pt>
                <c:pt idx="525">
                  <c:v>0.16109999999999997</c:v>
                </c:pt>
                <c:pt idx="526">
                  <c:v>3.4787499999999998</c:v>
                </c:pt>
                <c:pt idx="527">
                  <c:v>0.90749999999999997</c:v>
                </c:pt>
                <c:pt idx="528">
                  <c:v>0.98009999999999997</c:v>
                </c:pt>
                <c:pt idx="529">
                  <c:v>0.59699999999999998</c:v>
                </c:pt>
                <c:pt idx="530">
                  <c:v>0.59699999999999998</c:v>
                </c:pt>
                <c:pt idx="531">
                  <c:v>0.53699999999999992</c:v>
                </c:pt>
                <c:pt idx="532">
                  <c:v>0.90749999999999997</c:v>
                </c:pt>
                <c:pt idx="533">
                  <c:v>0.32219999999999993</c:v>
                </c:pt>
                <c:pt idx="534">
                  <c:v>1.3730999999999998</c:v>
                </c:pt>
                <c:pt idx="535">
                  <c:v>0.61814999999999998</c:v>
                </c:pt>
                <c:pt idx="536">
                  <c:v>0.16109999999999997</c:v>
                </c:pt>
                <c:pt idx="537">
                  <c:v>3.07395</c:v>
                </c:pt>
                <c:pt idx="538">
                  <c:v>0.16109999999999997</c:v>
                </c:pt>
                <c:pt idx="539">
                  <c:v>0.32219999999999993</c:v>
                </c:pt>
                <c:pt idx="540">
                  <c:v>2.0605000000000002</c:v>
                </c:pt>
                <c:pt idx="541">
                  <c:v>2.0596499999999995</c:v>
                </c:pt>
                <c:pt idx="542">
                  <c:v>2.3287499999999994</c:v>
                </c:pt>
                <c:pt idx="543">
                  <c:v>1.6490999999999998</c:v>
                </c:pt>
                <c:pt idx="544">
                  <c:v>0.69929999999999992</c:v>
                </c:pt>
                <c:pt idx="545">
                  <c:v>0.50505</c:v>
                </c:pt>
                <c:pt idx="546">
                  <c:v>3.07395</c:v>
                </c:pt>
                <c:pt idx="547">
                  <c:v>0.21509999999999996</c:v>
                </c:pt>
                <c:pt idx="548">
                  <c:v>0.49004999999999999</c:v>
                </c:pt>
                <c:pt idx="549">
                  <c:v>0.49004999999999999</c:v>
                </c:pt>
                <c:pt idx="550">
                  <c:v>0.50505</c:v>
                </c:pt>
                <c:pt idx="551">
                  <c:v>0.40095000000000003</c:v>
                </c:pt>
                <c:pt idx="552">
                  <c:v>0.49004999999999999</c:v>
                </c:pt>
                <c:pt idx="553">
                  <c:v>1.5125</c:v>
                </c:pt>
                <c:pt idx="554">
                  <c:v>1.6490999999999998</c:v>
                </c:pt>
                <c:pt idx="555">
                  <c:v>1.5125</c:v>
                </c:pt>
                <c:pt idx="556">
                  <c:v>0.56745000000000001</c:v>
                </c:pt>
                <c:pt idx="557">
                  <c:v>1.6335</c:v>
                </c:pt>
                <c:pt idx="558">
                  <c:v>0.50505</c:v>
                </c:pt>
                <c:pt idx="559">
                  <c:v>1.1655</c:v>
                </c:pt>
                <c:pt idx="560">
                  <c:v>3.4787499999999998</c:v>
                </c:pt>
                <c:pt idx="561">
                  <c:v>0.26865</c:v>
                </c:pt>
                <c:pt idx="562">
                  <c:v>0.61814999999999998</c:v>
                </c:pt>
                <c:pt idx="563">
                  <c:v>1.5125</c:v>
                </c:pt>
                <c:pt idx="564">
                  <c:v>0.43019999999999992</c:v>
                </c:pt>
                <c:pt idx="565">
                  <c:v>1.2350999999999999</c:v>
                </c:pt>
                <c:pt idx="566">
                  <c:v>0.30374999999999996</c:v>
                </c:pt>
                <c:pt idx="567">
                  <c:v>1.6490999999999998</c:v>
                </c:pt>
                <c:pt idx="568">
                  <c:v>0.61814999999999998</c:v>
                </c:pt>
                <c:pt idx="569">
                  <c:v>2.0596499999999995</c:v>
                </c:pt>
                <c:pt idx="570">
                  <c:v>0.60749999999999993</c:v>
                </c:pt>
                <c:pt idx="571">
                  <c:v>0.98009999999999997</c:v>
                </c:pt>
                <c:pt idx="572">
                  <c:v>0.26865</c:v>
                </c:pt>
                <c:pt idx="573">
                  <c:v>1.0125</c:v>
                </c:pt>
                <c:pt idx="574">
                  <c:v>0.21509999999999996</c:v>
                </c:pt>
                <c:pt idx="575">
                  <c:v>4.3504499999999995</c:v>
                </c:pt>
                <c:pt idx="576">
                  <c:v>0.26865</c:v>
                </c:pt>
                <c:pt idx="577">
                  <c:v>1.8915000000000002</c:v>
                </c:pt>
                <c:pt idx="578">
                  <c:v>0.49004999999999999</c:v>
                </c:pt>
                <c:pt idx="579">
                  <c:v>0.60749999999999993</c:v>
                </c:pt>
                <c:pt idx="580">
                  <c:v>1.6335</c:v>
                </c:pt>
                <c:pt idx="581">
                  <c:v>0.98009999999999997</c:v>
                </c:pt>
                <c:pt idx="582">
                  <c:v>1.3365</c:v>
                </c:pt>
                <c:pt idx="583">
                  <c:v>0.21509999999999996</c:v>
                </c:pt>
                <c:pt idx="584">
                  <c:v>0.21509999999999996</c:v>
                </c:pt>
                <c:pt idx="585">
                  <c:v>0.90749999999999997</c:v>
                </c:pt>
                <c:pt idx="586">
                  <c:v>1.6490999999999998</c:v>
                </c:pt>
                <c:pt idx="587">
                  <c:v>1.0101</c:v>
                </c:pt>
                <c:pt idx="588">
                  <c:v>0.35819999999999996</c:v>
                </c:pt>
                <c:pt idx="589">
                  <c:v>3.7570499999999996</c:v>
                </c:pt>
                <c:pt idx="590">
                  <c:v>3.4787499999999998</c:v>
                </c:pt>
                <c:pt idx="591">
                  <c:v>0.16109999999999997</c:v>
                </c:pt>
                <c:pt idx="592">
                  <c:v>2.3287499999999994</c:v>
                </c:pt>
                <c:pt idx="593">
                  <c:v>3.07395</c:v>
                </c:pt>
                <c:pt idx="594">
                  <c:v>2.6806499999999995</c:v>
                </c:pt>
                <c:pt idx="595">
                  <c:v>1.6335</c:v>
                </c:pt>
                <c:pt idx="596">
                  <c:v>0.60749999999999993</c:v>
                </c:pt>
                <c:pt idx="597">
                  <c:v>4.7391499999999995</c:v>
                </c:pt>
                <c:pt idx="598">
                  <c:v>0.17909999999999998</c:v>
                </c:pt>
                <c:pt idx="599">
                  <c:v>0.26865</c:v>
                </c:pt>
                <c:pt idx="600">
                  <c:v>1.0101</c:v>
                </c:pt>
                <c:pt idx="601">
                  <c:v>1.6490999999999998</c:v>
                </c:pt>
                <c:pt idx="602">
                  <c:v>0.49004999999999999</c:v>
                </c:pt>
                <c:pt idx="603">
                  <c:v>0.17909999999999998</c:v>
                </c:pt>
                <c:pt idx="604">
                  <c:v>3.8720499999999998</c:v>
                </c:pt>
                <c:pt idx="605">
                  <c:v>2.6806499999999995</c:v>
                </c:pt>
                <c:pt idx="606">
                  <c:v>4.7391499999999995</c:v>
                </c:pt>
                <c:pt idx="607">
                  <c:v>0.40095000000000003</c:v>
                </c:pt>
                <c:pt idx="608">
                  <c:v>3.07395</c:v>
                </c:pt>
                <c:pt idx="609">
                  <c:v>0.56745000000000001</c:v>
                </c:pt>
                <c:pt idx="610">
                  <c:v>0.59699999999999998</c:v>
                </c:pt>
                <c:pt idx="611">
                  <c:v>3.7570499999999996</c:v>
                </c:pt>
                <c:pt idx="612">
                  <c:v>0.30374999999999996</c:v>
                </c:pt>
                <c:pt idx="613">
                  <c:v>0.35819999999999996</c:v>
                </c:pt>
                <c:pt idx="614">
                  <c:v>0.35819999999999996</c:v>
                </c:pt>
                <c:pt idx="615">
                  <c:v>4.7391499999999995</c:v>
                </c:pt>
                <c:pt idx="616">
                  <c:v>3.4787499999999998</c:v>
                </c:pt>
                <c:pt idx="617">
                  <c:v>4.3504499999999995</c:v>
                </c:pt>
                <c:pt idx="618">
                  <c:v>1.3365</c:v>
                </c:pt>
                <c:pt idx="619">
                  <c:v>1.0101</c:v>
                </c:pt>
                <c:pt idx="620">
                  <c:v>0.30374999999999996</c:v>
                </c:pt>
                <c:pt idx="621">
                  <c:v>1.1655</c:v>
                </c:pt>
                <c:pt idx="622">
                  <c:v>4.3504499999999995</c:v>
                </c:pt>
                <c:pt idx="623">
                  <c:v>1.3365</c:v>
                </c:pt>
                <c:pt idx="624">
                  <c:v>3.4787499999999998</c:v>
                </c:pt>
                <c:pt idx="625">
                  <c:v>0.43019999999999992</c:v>
                </c:pt>
                <c:pt idx="626">
                  <c:v>2.3287499999999994</c:v>
                </c:pt>
                <c:pt idx="627">
                  <c:v>3.4787499999999998</c:v>
                </c:pt>
                <c:pt idx="628">
                  <c:v>0.49004999999999999</c:v>
                </c:pt>
                <c:pt idx="629">
                  <c:v>1.0101</c:v>
                </c:pt>
                <c:pt idx="630">
                  <c:v>0.26865</c:v>
                </c:pt>
                <c:pt idx="631">
                  <c:v>1.2350999999999999</c:v>
                </c:pt>
                <c:pt idx="632">
                  <c:v>0.98009999999999997</c:v>
                </c:pt>
                <c:pt idx="633">
                  <c:v>0.71699999999999997</c:v>
                </c:pt>
                <c:pt idx="634">
                  <c:v>1.8915000000000002</c:v>
                </c:pt>
                <c:pt idx="635">
                  <c:v>0.98009999999999997</c:v>
                </c:pt>
                <c:pt idx="636">
                  <c:v>2.0605000000000002</c:v>
                </c:pt>
                <c:pt idx="637">
                  <c:v>3.4787499999999998</c:v>
                </c:pt>
                <c:pt idx="638">
                  <c:v>2.3287499999999994</c:v>
                </c:pt>
                <c:pt idx="639">
                  <c:v>0.50505</c:v>
                </c:pt>
                <c:pt idx="640">
                  <c:v>1.6490999999999998</c:v>
                </c:pt>
                <c:pt idx="641">
                  <c:v>0.71699999999999997</c:v>
                </c:pt>
                <c:pt idx="642">
                  <c:v>0.45374999999999999</c:v>
                </c:pt>
                <c:pt idx="643">
                  <c:v>3.7570499999999996</c:v>
                </c:pt>
                <c:pt idx="644">
                  <c:v>1.2350999999999999</c:v>
                </c:pt>
                <c:pt idx="645">
                  <c:v>2.0596499999999995</c:v>
                </c:pt>
                <c:pt idx="646">
                  <c:v>0.89549999999999985</c:v>
                </c:pt>
                <c:pt idx="647">
                  <c:v>1.2363</c:v>
                </c:pt>
                <c:pt idx="648">
                  <c:v>0.16109999999999997</c:v>
                </c:pt>
                <c:pt idx="649">
                  <c:v>2.0605000000000002</c:v>
                </c:pt>
                <c:pt idx="650">
                  <c:v>0.32219999999999993</c:v>
                </c:pt>
                <c:pt idx="651">
                  <c:v>0.71699999999999997</c:v>
                </c:pt>
                <c:pt idx="652">
                  <c:v>2.0605000000000002</c:v>
                </c:pt>
                <c:pt idx="653">
                  <c:v>2.3287499999999994</c:v>
                </c:pt>
                <c:pt idx="654">
                  <c:v>2.0596499999999995</c:v>
                </c:pt>
                <c:pt idx="655">
                  <c:v>1.3730999999999998</c:v>
                </c:pt>
                <c:pt idx="656">
                  <c:v>1.6835</c:v>
                </c:pt>
                <c:pt idx="657">
                  <c:v>0.60749999999999993</c:v>
                </c:pt>
                <c:pt idx="658">
                  <c:v>0.90749999999999997</c:v>
                </c:pt>
                <c:pt idx="659">
                  <c:v>2.0596499999999995</c:v>
                </c:pt>
                <c:pt idx="660">
                  <c:v>0.98009999999999997</c:v>
                </c:pt>
                <c:pt idx="661">
                  <c:v>0.30374999999999996</c:v>
                </c:pt>
                <c:pt idx="662">
                  <c:v>3.8720499999999998</c:v>
                </c:pt>
                <c:pt idx="663">
                  <c:v>1.0125</c:v>
                </c:pt>
                <c:pt idx="664">
                  <c:v>1.3365</c:v>
                </c:pt>
                <c:pt idx="665">
                  <c:v>0.50505</c:v>
                </c:pt>
                <c:pt idx="666">
                  <c:v>2.0596499999999995</c:v>
                </c:pt>
                <c:pt idx="667">
                  <c:v>0.89549999999999985</c:v>
                </c:pt>
                <c:pt idx="668">
                  <c:v>1.6490999999999998</c:v>
                </c:pt>
                <c:pt idx="669">
                  <c:v>4.3504499999999995</c:v>
                </c:pt>
                <c:pt idx="670">
                  <c:v>0.56745000000000001</c:v>
                </c:pt>
                <c:pt idx="671">
                  <c:v>0.71699999999999997</c:v>
                </c:pt>
                <c:pt idx="672">
                  <c:v>1.1349</c:v>
                </c:pt>
                <c:pt idx="673">
                  <c:v>1.5125</c:v>
                </c:pt>
                <c:pt idx="674">
                  <c:v>2.6806499999999995</c:v>
                </c:pt>
                <c:pt idx="675">
                  <c:v>3.8720499999999998</c:v>
                </c:pt>
                <c:pt idx="676">
                  <c:v>1.2363</c:v>
                </c:pt>
                <c:pt idx="677">
                  <c:v>1.1349</c:v>
                </c:pt>
                <c:pt idx="678">
                  <c:v>2.6806499999999995</c:v>
                </c:pt>
                <c:pt idx="679">
                  <c:v>1.6490999999999998</c:v>
                </c:pt>
                <c:pt idx="680">
                  <c:v>1.0125</c:v>
                </c:pt>
                <c:pt idx="681">
                  <c:v>0.61814999999999998</c:v>
                </c:pt>
                <c:pt idx="682">
                  <c:v>0.45374999999999999</c:v>
                </c:pt>
                <c:pt idx="683">
                  <c:v>1.0101</c:v>
                </c:pt>
                <c:pt idx="684">
                  <c:v>0.71699999999999997</c:v>
                </c:pt>
                <c:pt idx="685">
                  <c:v>4.7391499999999995</c:v>
                </c:pt>
                <c:pt idx="686">
                  <c:v>0.16109999999999997</c:v>
                </c:pt>
                <c:pt idx="687">
                  <c:v>0.90749999999999997</c:v>
                </c:pt>
                <c:pt idx="688">
                  <c:v>1.1655</c:v>
                </c:pt>
                <c:pt idx="689">
                  <c:v>0.60749999999999993</c:v>
                </c:pt>
                <c:pt idx="690">
                  <c:v>3.8720499999999998</c:v>
                </c:pt>
                <c:pt idx="691">
                  <c:v>1.0125</c:v>
                </c:pt>
                <c:pt idx="692">
                  <c:v>1.6835</c:v>
                </c:pt>
                <c:pt idx="693">
                  <c:v>2.3287499999999994</c:v>
                </c:pt>
                <c:pt idx="694">
                  <c:v>0.80190000000000006</c:v>
                </c:pt>
                <c:pt idx="695">
                  <c:v>4.7391499999999995</c:v>
                </c:pt>
                <c:pt idx="696">
                  <c:v>1.0101</c:v>
                </c:pt>
                <c:pt idx="697">
                  <c:v>0.60749999999999993</c:v>
                </c:pt>
                <c:pt idx="698">
                  <c:v>1.6835</c:v>
                </c:pt>
                <c:pt idx="699">
                  <c:v>0.5373</c:v>
                </c:pt>
                <c:pt idx="700">
                  <c:v>1.2363</c:v>
                </c:pt>
                <c:pt idx="701">
                  <c:v>0.5373</c:v>
                </c:pt>
                <c:pt idx="702">
                  <c:v>0.69929999999999992</c:v>
                </c:pt>
                <c:pt idx="703">
                  <c:v>3.8720499999999998</c:v>
                </c:pt>
                <c:pt idx="704">
                  <c:v>0.40095000000000003</c:v>
                </c:pt>
                <c:pt idx="705">
                  <c:v>0.98009999999999997</c:v>
                </c:pt>
                <c:pt idx="706">
                  <c:v>0.45374999999999999</c:v>
                </c:pt>
                <c:pt idx="707">
                  <c:v>1.6835</c:v>
                </c:pt>
                <c:pt idx="708">
                  <c:v>0.60749999999999993</c:v>
                </c:pt>
                <c:pt idx="709">
                  <c:v>0.98009999999999997</c:v>
                </c:pt>
                <c:pt idx="710">
                  <c:v>0.90749999999999997</c:v>
                </c:pt>
                <c:pt idx="711">
                  <c:v>0.17909999999999998</c:v>
                </c:pt>
                <c:pt idx="712">
                  <c:v>0.90749999999999997</c:v>
                </c:pt>
                <c:pt idx="713">
                  <c:v>0.17909999999999998</c:v>
                </c:pt>
                <c:pt idx="714">
                  <c:v>0.40095000000000003</c:v>
                </c:pt>
                <c:pt idx="715">
                  <c:v>1.6335</c:v>
                </c:pt>
                <c:pt idx="716">
                  <c:v>0.71699999999999997</c:v>
                </c:pt>
                <c:pt idx="717">
                  <c:v>2.0596499999999995</c:v>
                </c:pt>
                <c:pt idx="718">
                  <c:v>1.6835</c:v>
                </c:pt>
                <c:pt idx="719">
                  <c:v>2.0605000000000002</c:v>
                </c:pt>
                <c:pt idx="720">
                  <c:v>0.80190000000000006</c:v>
                </c:pt>
                <c:pt idx="721">
                  <c:v>0.17909999999999998</c:v>
                </c:pt>
                <c:pt idx="722">
                  <c:v>1.3365</c:v>
                </c:pt>
                <c:pt idx="723">
                  <c:v>3.4787499999999998</c:v>
                </c:pt>
                <c:pt idx="724">
                  <c:v>0.30374999999999996</c:v>
                </c:pt>
                <c:pt idx="725">
                  <c:v>0.34964999999999996</c:v>
                </c:pt>
                <c:pt idx="726">
                  <c:v>4.7391499999999995</c:v>
                </c:pt>
                <c:pt idx="727">
                  <c:v>0.35819999999999996</c:v>
                </c:pt>
                <c:pt idx="728">
                  <c:v>0.80190000000000006</c:v>
                </c:pt>
                <c:pt idx="729">
                  <c:v>0.56745000000000001</c:v>
                </c:pt>
                <c:pt idx="730">
                  <c:v>4.7391499999999995</c:v>
                </c:pt>
                <c:pt idx="731">
                  <c:v>0.50505</c:v>
                </c:pt>
                <c:pt idx="732">
                  <c:v>0.49004999999999999</c:v>
                </c:pt>
                <c:pt idx="733">
                  <c:v>4.3504499999999995</c:v>
                </c:pt>
                <c:pt idx="734">
                  <c:v>0.16109999999999997</c:v>
                </c:pt>
                <c:pt idx="735">
                  <c:v>0.40095000000000003</c:v>
                </c:pt>
                <c:pt idx="736">
                  <c:v>1.6835</c:v>
                </c:pt>
                <c:pt idx="737">
                  <c:v>1.0125</c:v>
                </c:pt>
                <c:pt idx="738">
                  <c:v>0.21509999999999996</c:v>
                </c:pt>
                <c:pt idx="739">
                  <c:v>0.40095000000000003</c:v>
                </c:pt>
                <c:pt idx="740">
                  <c:v>0.43019999999999992</c:v>
                </c:pt>
                <c:pt idx="741">
                  <c:v>0.56745000000000001</c:v>
                </c:pt>
                <c:pt idx="742">
                  <c:v>1.8915000000000002</c:v>
                </c:pt>
                <c:pt idx="743">
                  <c:v>0.5373</c:v>
                </c:pt>
                <c:pt idx="744">
                  <c:v>0.17909999999999998</c:v>
                </c:pt>
                <c:pt idx="745">
                  <c:v>0.80190000000000006</c:v>
                </c:pt>
                <c:pt idx="746">
                  <c:v>1.0125</c:v>
                </c:pt>
                <c:pt idx="747">
                  <c:v>1.1349</c:v>
                </c:pt>
                <c:pt idx="748">
                  <c:v>0.80190000000000006</c:v>
                </c:pt>
                <c:pt idx="749">
                  <c:v>0.16109999999999997</c:v>
                </c:pt>
                <c:pt idx="750">
                  <c:v>0.35819999999999996</c:v>
                </c:pt>
                <c:pt idx="751">
                  <c:v>1.2363</c:v>
                </c:pt>
                <c:pt idx="752">
                  <c:v>1.5125</c:v>
                </c:pt>
                <c:pt idx="753">
                  <c:v>0.5373</c:v>
                </c:pt>
                <c:pt idx="754">
                  <c:v>0.26865</c:v>
                </c:pt>
                <c:pt idx="755">
                  <c:v>0.61814999999999998</c:v>
                </c:pt>
                <c:pt idx="756">
                  <c:v>0.53699999999999992</c:v>
                </c:pt>
                <c:pt idx="757">
                  <c:v>0.5373</c:v>
                </c:pt>
                <c:pt idx="758">
                  <c:v>0.53699999999999992</c:v>
                </c:pt>
                <c:pt idx="759">
                  <c:v>3.8720499999999998</c:v>
                </c:pt>
                <c:pt idx="760">
                  <c:v>0.98009999999999997</c:v>
                </c:pt>
                <c:pt idx="761">
                  <c:v>1.6335</c:v>
                </c:pt>
                <c:pt idx="762">
                  <c:v>1.1349</c:v>
                </c:pt>
                <c:pt idx="763">
                  <c:v>0.69929999999999992</c:v>
                </c:pt>
                <c:pt idx="764">
                  <c:v>2.6806499999999995</c:v>
                </c:pt>
                <c:pt idx="765">
                  <c:v>0.59699999999999998</c:v>
                </c:pt>
                <c:pt idx="766">
                  <c:v>0.69929999999999992</c:v>
                </c:pt>
                <c:pt idx="767">
                  <c:v>2.6806499999999995</c:v>
                </c:pt>
                <c:pt idx="768">
                  <c:v>0.71699999999999997</c:v>
                </c:pt>
                <c:pt idx="769">
                  <c:v>1.3730999999999998</c:v>
                </c:pt>
                <c:pt idx="770">
                  <c:v>0.89549999999999985</c:v>
                </c:pt>
                <c:pt idx="771">
                  <c:v>0.43019999999999992</c:v>
                </c:pt>
                <c:pt idx="772">
                  <c:v>1.5125</c:v>
                </c:pt>
                <c:pt idx="773">
                  <c:v>0.56745000000000001</c:v>
                </c:pt>
                <c:pt idx="774">
                  <c:v>0.59699999999999998</c:v>
                </c:pt>
                <c:pt idx="775">
                  <c:v>0.98009999999999997</c:v>
                </c:pt>
                <c:pt idx="776">
                  <c:v>0.60749999999999993</c:v>
                </c:pt>
                <c:pt idx="777">
                  <c:v>2.6806499999999995</c:v>
                </c:pt>
                <c:pt idx="778">
                  <c:v>1.2363</c:v>
                </c:pt>
                <c:pt idx="779">
                  <c:v>1.6835</c:v>
                </c:pt>
                <c:pt idx="780">
                  <c:v>1.5125</c:v>
                </c:pt>
                <c:pt idx="781">
                  <c:v>4.7391499999999995</c:v>
                </c:pt>
                <c:pt idx="782">
                  <c:v>0.49004999999999999</c:v>
                </c:pt>
                <c:pt idx="783">
                  <c:v>1.1349</c:v>
                </c:pt>
                <c:pt idx="784">
                  <c:v>2.0605000000000002</c:v>
                </c:pt>
                <c:pt idx="785">
                  <c:v>2.0596499999999995</c:v>
                </c:pt>
                <c:pt idx="786">
                  <c:v>3.07395</c:v>
                </c:pt>
                <c:pt idx="787">
                  <c:v>1.5125</c:v>
                </c:pt>
                <c:pt idx="788">
                  <c:v>1.3730999999999998</c:v>
                </c:pt>
                <c:pt idx="789">
                  <c:v>1.1655</c:v>
                </c:pt>
                <c:pt idx="790">
                  <c:v>0.69929999999999992</c:v>
                </c:pt>
                <c:pt idx="791">
                  <c:v>0.61814999999999998</c:v>
                </c:pt>
                <c:pt idx="792">
                  <c:v>1.1349</c:v>
                </c:pt>
                <c:pt idx="793">
                  <c:v>0.21509999999999996</c:v>
                </c:pt>
                <c:pt idx="794">
                  <c:v>2.6806499999999995</c:v>
                </c:pt>
                <c:pt idx="795">
                  <c:v>0.43019999999999992</c:v>
                </c:pt>
                <c:pt idx="796">
                  <c:v>1.2363</c:v>
                </c:pt>
                <c:pt idx="797">
                  <c:v>0.69929999999999992</c:v>
                </c:pt>
                <c:pt idx="798">
                  <c:v>0.16109999999999997</c:v>
                </c:pt>
                <c:pt idx="799">
                  <c:v>1.3365</c:v>
                </c:pt>
                <c:pt idx="800">
                  <c:v>0.16109999999999997</c:v>
                </c:pt>
                <c:pt idx="801">
                  <c:v>1.2350999999999999</c:v>
                </c:pt>
                <c:pt idx="802">
                  <c:v>0.16109999999999997</c:v>
                </c:pt>
                <c:pt idx="803">
                  <c:v>3.4787499999999998</c:v>
                </c:pt>
                <c:pt idx="804">
                  <c:v>0.71699999999999997</c:v>
                </c:pt>
                <c:pt idx="805">
                  <c:v>0.35819999999999996</c:v>
                </c:pt>
                <c:pt idx="806">
                  <c:v>0.50505</c:v>
                </c:pt>
                <c:pt idx="807">
                  <c:v>1.0101</c:v>
                </c:pt>
                <c:pt idx="808">
                  <c:v>1.6490999999999998</c:v>
                </c:pt>
                <c:pt idx="809">
                  <c:v>0.16109999999999997</c:v>
                </c:pt>
                <c:pt idx="810">
                  <c:v>1.2363</c:v>
                </c:pt>
                <c:pt idx="811">
                  <c:v>1.0125</c:v>
                </c:pt>
                <c:pt idx="812">
                  <c:v>3.8720499999999998</c:v>
                </c:pt>
                <c:pt idx="813">
                  <c:v>3.4787499999999998</c:v>
                </c:pt>
                <c:pt idx="814">
                  <c:v>0.49004999999999999</c:v>
                </c:pt>
                <c:pt idx="815">
                  <c:v>0.35819999999999996</c:v>
                </c:pt>
                <c:pt idx="816">
                  <c:v>1.2363</c:v>
                </c:pt>
                <c:pt idx="817">
                  <c:v>1.0101</c:v>
                </c:pt>
                <c:pt idx="818">
                  <c:v>2.0605000000000002</c:v>
                </c:pt>
                <c:pt idx="819">
                  <c:v>0.61814999999999998</c:v>
                </c:pt>
                <c:pt idx="820">
                  <c:v>1.5125</c:v>
                </c:pt>
                <c:pt idx="821">
                  <c:v>0.32219999999999993</c:v>
                </c:pt>
                <c:pt idx="822">
                  <c:v>3.7570499999999996</c:v>
                </c:pt>
                <c:pt idx="823">
                  <c:v>2.0605000000000002</c:v>
                </c:pt>
                <c:pt idx="824">
                  <c:v>0.30374999999999996</c:v>
                </c:pt>
                <c:pt idx="825">
                  <c:v>0.89549999999999985</c:v>
                </c:pt>
                <c:pt idx="826">
                  <c:v>0.90749999999999997</c:v>
                </c:pt>
                <c:pt idx="827">
                  <c:v>0.45374999999999999</c:v>
                </c:pt>
                <c:pt idx="828">
                  <c:v>2.0596499999999995</c:v>
                </c:pt>
                <c:pt idx="829">
                  <c:v>0.26865</c:v>
                </c:pt>
                <c:pt idx="830">
                  <c:v>1.5125</c:v>
                </c:pt>
                <c:pt idx="831">
                  <c:v>0.26865</c:v>
                </c:pt>
                <c:pt idx="832">
                  <c:v>0.59699999999999998</c:v>
                </c:pt>
                <c:pt idx="833">
                  <c:v>1.2350999999999999</c:v>
                </c:pt>
                <c:pt idx="834">
                  <c:v>2.0596499999999995</c:v>
                </c:pt>
                <c:pt idx="835">
                  <c:v>0.98009999999999997</c:v>
                </c:pt>
                <c:pt idx="836">
                  <c:v>0.26865</c:v>
                </c:pt>
                <c:pt idx="837">
                  <c:v>4.3504499999999995</c:v>
                </c:pt>
                <c:pt idx="838">
                  <c:v>2.0596499999999995</c:v>
                </c:pt>
                <c:pt idx="839">
                  <c:v>0.90749999999999997</c:v>
                </c:pt>
                <c:pt idx="840">
                  <c:v>0.43019999999999992</c:v>
                </c:pt>
                <c:pt idx="841">
                  <c:v>0.56745000000000001</c:v>
                </c:pt>
                <c:pt idx="842">
                  <c:v>0.45374999999999999</c:v>
                </c:pt>
                <c:pt idx="843">
                  <c:v>0.45374999999999999</c:v>
                </c:pt>
                <c:pt idx="844">
                  <c:v>0.5373</c:v>
                </c:pt>
                <c:pt idx="845">
                  <c:v>3.07395</c:v>
                </c:pt>
                <c:pt idx="846">
                  <c:v>2.3287499999999994</c:v>
                </c:pt>
                <c:pt idx="847">
                  <c:v>0.26865</c:v>
                </c:pt>
                <c:pt idx="848">
                  <c:v>0.98009999999999997</c:v>
                </c:pt>
                <c:pt idx="849">
                  <c:v>0.34964999999999996</c:v>
                </c:pt>
                <c:pt idx="850">
                  <c:v>0.30374999999999996</c:v>
                </c:pt>
                <c:pt idx="851">
                  <c:v>1.0101</c:v>
                </c:pt>
                <c:pt idx="852">
                  <c:v>3.8720499999999998</c:v>
                </c:pt>
                <c:pt idx="853">
                  <c:v>0.89549999999999985</c:v>
                </c:pt>
                <c:pt idx="854">
                  <c:v>0.43019999999999992</c:v>
                </c:pt>
                <c:pt idx="855">
                  <c:v>3.8720499999999998</c:v>
                </c:pt>
                <c:pt idx="856">
                  <c:v>0.56745000000000001</c:v>
                </c:pt>
                <c:pt idx="857">
                  <c:v>1.6490999999999998</c:v>
                </c:pt>
                <c:pt idx="858">
                  <c:v>1.1349</c:v>
                </c:pt>
                <c:pt idx="859">
                  <c:v>2.6806499999999995</c:v>
                </c:pt>
                <c:pt idx="860">
                  <c:v>2.3287499999999994</c:v>
                </c:pt>
                <c:pt idx="861">
                  <c:v>1.6835</c:v>
                </c:pt>
                <c:pt idx="862">
                  <c:v>0.59699999999999998</c:v>
                </c:pt>
                <c:pt idx="863">
                  <c:v>1.8915000000000002</c:v>
                </c:pt>
                <c:pt idx="864">
                  <c:v>0.21509999999999996</c:v>
                </c:pt>
                <c:pt idx="865">
                  <c:v>0.60749999999999993</c:v>
                </c:pt>
                <c:pt idx="866">
                  <c:v>0.5373</c:v>
                </c:pt>
                <c:pt idx="867">
                  <c:v>2.6806499999999995</c:v>
                </c:pt>
                <c:pt idx="868">
                  <c:v>0.90749999999999997</c:v>
                </c:pt>
                <c:pt idx="869">
                  <c:v>0.35819999999999996</c:v>
                </c:pt>
                <c:pt idx="870">
                  <c:v>0.80190000000000006</c:v>
                </c:pt>
                <c:pt idx="871">
                  <c:v>1.6335</c:v>
                </c:pt>
                <c:pt idx="872">
                  <c:v>1.0125</c:v>
                </c:pt>
                <c:pt idx="873">
                  <c:v>0.17909999999999998</c:v>
                </c:pt>
                <c:pt idx="874">
                  <c:v>1.1655</c:v>
                </c:pt>
                <c:pt idx="875">
                  <c:v>1.1349</c:v>
                </c:pt>
                <c:pt idx="876">
                  <c:v>0.69929999999999992</c:v>
                </c:pt>
                <c:pt idx="877">
                  <c:v>1.2363</c:v>
                </c:pt>
                <c:pt idx="878">
                  <c:v>1.6490999999999998</c:v>
                </c:pt>
                <c:pt idx="879">
                  <c:v>0.40095000000000003</c:v>
                </c:pt>
                <c:pt idx="880">
                  <c:v>0.21509999999999996</c:v>
                </c:pt>
                <c:pt idx="881">
                  <c:v>0.34964999999999996</c:v>
                </c:pt>
                <c:pt idx="882">
                  <c:v>2.0596499999999995</c:v>
                </c:pt>
                <c:pt idx="883">
                  <c:v>2.3287499999999994</c:v>
                </c:pt>
                <c:pt idx="884">
                  <c:v>0.32219999999999993</c:v>
                </c:pt>
                <c:pt idx="885">
                  <c:v>1.2350999999999999</c:v>
                </c:pt>
                <c:pt idx="886">
                  <c:v>1.1349</c:v>
                </c:pt>
                <c:pt idx="887">
                  <c:v>0.49004999999999999</c:v>
                </c:pt>
                <c:pt idx="888">
                  <c:v>0.34964999999999996</c:v>
                </c:pt>
                <c:pt idx="889">
                  <c:v>0.16109999999999997</c:v>
                </c:pt>
                <c:pt idx="890">
                  <c:v>1.2350999999999999</c:v>
                </c:pt>
                <c:pt idx="891">
                  <c:v>2.0596499999999995</c:v>
                </c:pt>
                <c:pt idx="892">
                  <c:v>0.45374999999999999</c:v>
                </c:pt>
                <c:pt idx="893">
                  <c:v>1.2363</c:v>
                </c:pt>
                <c:pt idx="894">
                  <c:v>1.2350999999999999</c:v>
                </c:pt>
                <c:pt idx="895">
                  <c:v>3.4787499999999998</c:v>
                </c:pt>
                <c:pt idx="896">
                  <c:v>0.32219999999999993</c:v>
                </c:pt>
                <c:pt idx="897">
                  <c:v>1.3365</c:v>
                </c:pt>
                <c:pt idx="898">
                  <c:v>0.43019999999999992</c:v>
                </c:pt>
                <c:pt idx="899">
                  <c:v>1.8915000000000002</c:v>
                </c:pt>
                <c:pt idx="900">
                  <c:v>2.0605000000000002</c:v>
                </c:pt>
                <c:pt idx="901">
                  <c:v>0.21509999999999996</c:v>
                </c:pt>
                <c:pt idx="902">
                  <c:v>3.4787499999999998</c:v>
                </c:pt>
                <c:pt idx="903">
                  <c:v>1.1349</c:v>
                </c:pt>
                <c:pt idx="904">
                  <c:v>2.6806499999999995</c:v>
                </c:pt>
                <c:pt idx="905">
                  <c:v>0.60749999999999993</c:v>
                </c:pt>
                <c:pt idx="906">
                  <c:v>0.60749999999999993</c:v>
                </c:pt>
                <c:pt idx="907">
                  <c:v>1.6835</c:v>
                </c:pt>
                <c:pt idx="908">
                  <c:v>0.71699999999999997</c:v>
                </c:pt>
                <c:pt idx="909">
                  <c:v>0.21509999999999996</c:v>
                </c:pt>
                <c:pt idx="910">
                  <c:v>2.0596499999999995</c:v>
                </c:pt>
                <c:pt idx="911">
                  <c:v>1.0125</c:v>
                </c:pt>
                <c:pt idx="912">
                  <c:v>1.3730999999999998</c:v>
                </c:pt>
                <c:pt idx="913">
                  <c:v>0.60749999999999993</c:v>
                </c:pt>
                <c:pt idx="914">
                  <c:v>1.0125</c:v>
                </c:pt>
                <c:pt idx="915">
                  <c:v>3.07395</c:v>
                </c:pt>
                <c:pt idx="916">
                  <c:v>0.40095000000000003</c:v>
                </c:pt>
                <c:pt idx="917">
                  <c:v>0.60749999999999993</c:v>
                </c:pt>
                <c:pt idx="918">
                  <c:v>0.80190000000000006</c:v>
                </c:pt>
                <c:pt idx="919">
                  <c:v>0.16109999999999997</c:v>
                </c:pt>
                <c:pt idx="920">
                  <c:v>1.2350999999999999</c:v>
                </c:pt>
                <c:pt idx="921">
                  <c:v>0.50505</c:v>
                </c:pt>
                <c:pt idx="922">
                  <c:v>1.0125</c:v>
                </c:pt>
                <c:pt idx="923">
                  <c:v>3.07395</c:v>
                </c:pt>
                <c:pt idx="924">
                  <c:v>2.6806499999999995</c:v>
                </c:pt>
                <c:pt idx="925">
                  <c:v>0.60749999999999993</c:v>
                </c:pt>
                <c:pt idx="926">
                  <c:v>0.60749999999999993</c:v>
                </c:pt>
                <c:pt idx="927">
                  <c:v>3.07395</c:v>
                </c:pt>
                <c:pt idx="928">
                  <c:v>3.4787499999999998</c:v>
                </c:pt>
                <c:pt idx="929">
                  <c:v>0.49004999999999999</c:v>
                </c:pt>
                <c:pt idx="930">
                  <c:v>1.3365</c:v>
                </c:pt>
                <c:pt idx="931">
                  <c:v>0.5373</c:v>
                </c:pt>
                <c:pt idx="932">
                  <c:v>1.5125</c:v>
                </c:pt>
                <c:pt idx="933">
                  <c:v>0.53699999999999992</c:v>
                </c:pt>
                <c:pt idx="934">
                  <c:v>1.3730999999999998</c:v>
                </c:pt>
                <c:pt idx="935">
                  <c:v>2.3287499999999994</c:v>
                </c:pt>
                <c:pt idx="936">
                  <c:v>1.0101</c:v>
                </c:pt>
                <c:pt idx="937">
                  <c:v>1.3730999999999998</c:v>
                </c:pt>
                <c:pt idx="938">
                  <c:v>1.6335</c:v>
                </c:pt>
                <c:pt idx="939">
                  <c:v>0.61814999999999998</c:v>
                </c:pt>
                <c:pt idx="940">
                  <c:v>0.43019999999999992</c:v>
                </c:pt>
                <c:pt idx="941">
                  <c:v>0.69929999999999992</c:v>
                </c:pt>
                <c:pt idx="942">
                  <c:v>0.71699999999999997</c:v>
                </c:pt>
                <c:pt idx="943">
                  <c:v>0.69929999999999992</c:v>
                </c:pt>
                <c:pt idx="944">
                  <c:v>0.43019999999999992</c:v>
                </c:pt>
                <c:pt idx="945">
                  <c:v>3.8720499999999998</c:v>
                </c:pt>
                <c:pt idx="946">
                  <c:v>1.0101</c:v>
                </c:pt>
                <c:pt idx="947">
                  <c:v>1.0125</c:v>
                </c:pt>
                <c:pt idx="948">
                  <c:v>3.07395</c:v>
                </c:pt>
                <c:pt idx="949">
                  <c:v>1.6490999999999998</c:v>
                </c:pt>
                <c:pt idx="950">
                  <c:v>0.21509999999999996</c:v>
                </c:pt>
                <c:pt idx="951">
                  <c:v>0.21509999999999996</c:v>
                </c:pt>
                <c:pt idx="952">
                  <c:v>1.0125</c:v>
                </c:pt>
                <c:pt idx="953">
                  <c:v>0.34964999999999996</c:v>
                </c:pt>
                <c:pt idx="954">
                  <c:v>3.07395</c:v>
                </c:pt>
                <c:pt idx="955">
                  <c:v>3.7570499999999996</c:v>
                </c:pt>
                <c:pt idx="956">
                  <c:v>1.6490999999999998</c:v>
                </c:pt>
                <c:pt idx="957">
                  <c:v>1.6335</c:v>
                </c:pt>
                <c:pt idx="958">
                  <c:v>0.34964999999999996</c:v>
                </c:pt>
                <c:pt idx="959">
                  <c:v>0.61814999999999998</c:v>
                </c:pt>
                <c:pt idx="960">
                  <c:v>2.0605000000000002</c:v>
                </c:pt>
                <c:pt idx="961">
                  <c:v>2.0596499999999995</c:v>
                </c:pt>
                <c:pt idx="962">
                  <c:v>0.53699999999999992</c:v>
                </c:pt>
                <c:pt idx="963">
                  <c:v>0.35819999999999996</c:v>
                </c:pt>
                <c:pt idx="964">
                  <c:v>0.49004999999999999</c:v>
                </c:pt>
                <c:pt idx="965">
                  <c:v>0.59699999999999998</c:v>
                </c:pt>
                <c:pt idx="966">
                  <c:v>0.98009999999999997</c:v>
                </c:pt>
                <c:pt idx="967">
                  <c:v>0.16109999999999997</c:v>
                </c:pt>
                <c:pt idx="968">
                  <c:v>0.17909999999999998</c:v>
                </c:pt>
                <c:pt idx="969">
                  <c:v>1.6835</c:v>
                </c:pt>
                <c:pt idx="970">
                  <c:v>0.90749999999999997</c:v>
                </c:pt>
                <c:pt idx="971">
                  <c:v>2.6806499999999995</c:v>
                </c:pt>
                <c:pt idx="972">
                  <c:v>2.6806499999999995</c:v>
                </c:pt>
                <c:pt idx="973">
                  <c:v>1.8915000000000002</c:v>
                </c:pt>
                <c:pt idx="974">
                  <c:v>0.32219999999999993</c:v>
                </c:pt>
                <c:pt idx="975">
                  <c:v>0.26865</c:v>
                </c:pt>
                <c:pt idx="976">
                  <c:v>1.6490999999999998</c:v>
                </c:pt>
                <c:pt idx="977">
                  <c:v>0.71699999999999997</c:v>
                </c:pt>
                <c:pt idx="978">
                  <c:v>0.69929999999999992</c:v>
                </c:pt>
                <c:pt idx="979">
                  <c:v>0.32219999999999993</c:v>
                </c:pt>
                <c:pt idx="980">
                  <c:v>3.07395</c:v>
                </c:pt>
                <c:pt idx="981">
                  <c:v>0.40095000000000003</c:v>
                </c:pt>
                <c:pt idx="982">
                  <c:v>0.71699999999999997</c:v>
                </c:pt>
                <c:pt idx="983">
                  <c:v>0.30374999999999996</c:v>
                </c:pt>
                <c:pt idx="984">
                  <c:v>3.4787499999999998</c:v>
                </c:pt>
                <c:pt idx="985">
                  <c:v>0.71699999999999997</c:v>
                </c:pt>
                <c:pt idx="986">
                  <c:v>4.3504499999999995</c:v>
                </c:pt>
                <c:pt idx="987">
                  <c:v>0.5373</c:v>
                </c:pt>
                <c:pt idx="988">
                  <c:v>0.59699999999999998</c:v>
                </c:pt>
                <c:pt idx="989">
                  <c:v>2.3287499999999994</c:v>
                </c:pt>
                <c:pt idx="990">
                  <c:v>0.40095000000000003</c:v>
                </c:pt>
                <c:pt idx="991">
                  <c:v>1.0101</c:v>
                </c:pt>
                <c:pt idx="992">
                  <c:v>4.7391499999999995</c:v>
                </c:pt>
                <c:pt idx="993">
                  <c:v>1.1655</c:v>
                </c:pt>
                <c:pt idx="994">
                  <c:v>0.26865</c:v>
                </c:pt>
                <c:pt idx="995">
                  <c:v>1.6490999999999998</c:v>
                </c:pt>
                <c:pt idx="996">
                  <c:v>0.35819999999999996</c:v>
                </c:pt>
                <c:pt idx="997">
                  <c:v>0.60749999999999993</c:v>
                </c:pt>
                <c:pt idx="998">
                  <c:v>0.89549999999999985</c:v>
                </c:pt>
                <c:pt idx="999">
                  <c:v>0.45374999999999999</c:v>
                </c:pt>
              </c:numCache>
            </c:numRef>
          </c:xVal>
          <c:yVal>
            <c:numRef>
              <c:f>'Combined table'!$O$2:$O$1001</c:f>
              <c:numCache>
                <c:formatCode>General</c:formatCode>
                <c:ptCount val="1000"/>
                <c:pt idx="0">
                  <c:v>19.899999999999999</c:v>
                </c:pt>
                <c:pt idx="1">
                  <c:v>41.25</c:v>
                </c:pt>
                <c:pt idx="2">
                  <c:v>12.95</c:v>
                </c:pt>
                <c:pt idx="3">
                  <c:v>27.5</c:v>
                </c:pt>
                <c:pt idx="4">
                  <c:v>54.969999999999992</c:v>
                </c:pt>
                <c:pt idx="5">
                  <c:v>38.849999999999994</c:v>
                </c:pt>
                <c:pt idx="6">
                  <c:v>21.87</c:v>
                </c:pt>
                <c:pt idx="7">
                  <c:v>4.7549999999999999</c:v>
                </c:pt>
                <c:pt idx="8">
                  <c:v>17.91</c:v>
                </c:pt>
                <c:pt idx="9">
                  <c:v>5.97</c:v>
                </c:pt>
                <c:pt idx="10">
                  <c:v>39.799999999999997</c:v>
                </c:pt>
                <c:pt idx="11">
                  <c:v>170.77499999999998</c:v>
                </c:pt>
                <c:pt idx="12">
                  <c:v>49.75</c:v>
                </c:pt>
                <c:pt idx="13">
                  <c:v>41.169999999999995</c:v>
                </c:pt>
                <c:pt idx="14">
                  <c:v>11.654999999999999</c:v>
                </c:pt>
                <c:pt idx="15">
                  <c:v>114.42499999999998</c:v>
                </c:pt>
                <c:pt idx="16">
                  <c:v>20.25</c:v>
                </c:pt>
                <c:pt idx="17">
                  <c:v>77.699999999999989</c:v>
                </c:pt>
                <c:pt idx="18">
                  <c:v>82.339999999999989</c:v>
                </c:pt>
                <c:pt idx="19">
                  <c:v>16.875</c:v>
                </c:pt>
                <c:pt idx="20">
                  <c:v>14.58</c:v>
                </c:pt>
                <c:pt idx="21">
                  <c:v>17.91</c:v>
                </c:pt>
                <c:pt idx="22">
                  <c:v>91.539999999999992</c:v>
                </c:pt>
                <c:pt idx="23">
                  <c:v>11.94</c:v>
                </c:pt>
                <c:pt idx="24">
                  <c:v>11.25</c:v>
                </c:pt>
                <c:pt idx="25">
                  <c:v>12.375</c:v>
                </c:pt>
                <c:pt idx="26">
                  <c:v>27</c:v>
                </c:pt>
                <c:pt idx="27">
                  <c:v>16.875</c:v>
                </c:pt>
                <c:pt idx="28">
                  <c:v>17.91</c:v>
                </c:pt>
                <c:pt idx="29">
                  <c:v>39.799999999999997</c:v>
                </c:pt>
                <c:pt idx="30">
                  <c:v>21.825000000000003</c:v>
                </c:pt>
                <c:pt idx="31">
                  <c:v>35.82</c:v>
                </c:pt>
                <c:pt idx="32">
                  <c:v>52.38</c:v>
                </c:pt>
                <c:pt idx="33">
                  <c:v>23.774999999999999</c:v>
                </c:pt>
                <c:pt idx="34">
                  <c:v>57.06</c:v>
                </c:pt>
                <c:pt idx="35">
                  <c:v>35.82</c:v>
                </c:pt>
                <c:pt idx="36">
                  <c:v>8.73</c:v>
                </c:pt>
                <c:pt idx="37">
                  <c:v>28.53</c:v>
                </c:pt>
                <c:pt idx="38">
                  <c:v>114.42499999999998</c:v>
                </c:pt>
                <c:pt idx="39">
                  <c:v>59.699999999999996</c:v>
                </c:pt>
                <c:pt idx="40">
                  <c:v>43.650000000000006</c:v>
                </c:pt>
                <c:pt idx="41">
                  <c:v>7.29</c:v>
                </c:pt>
                <c:pt idx="42">
                  <c:v>8.0549999999999997</c:v>
                </c:pt>
                <c:pt idx="43">
                  <c:v>72.91</c:v>
                </c:pt>
                <c:pt idx="44">
                  <c:v>16.5</c:v>
                </c:pt>
                <c:pt idx="45">
                  <c:v>178.70999999999998</c:v>
                </c:pt>
                <c:pt idx="46">
                  <c:v>63.249999999999993</c:v>
                </c:pt>
                <c:pt idx="47">
                  <c:v>7.77</c:v>
                </c:pt>
                <c:pt idx="48">
                  <c:v>91.539999999999992</c:v>
                </c:pt>
                <c:pt idx="49">
                  <c:v>38.849999999999994</c:v>
                </c:pt>
                <c:pt idx="50">
                  <c:v>15.54</c:v>
                </c:pt>
                <c:pt idx="51">
                  <c:v>145.82</c:v>
                </c:pt>
                <c:pt idx="52">
                  <c:v>29.849999999999998</c:v>
                </c:pt>
                <c:pt idx="53">
                  <c:v>72.91</c:v>
                </c:pt>
                <c:pt idx="54">
                  <c:v>72.75</c:v>
                </c:pt>
                <c:pt idx="55">
                  <c:v>47.55</c:v>
                </c:pt>
                <c:pt idx="56">
                  <c:v>10.935</c:v>
                </c:pt>
                <c:pt idx="57">
                  <c:v>59.4</c:v>
                </c:pt>
                <c:pt idx="58">
                  <c:v>89.35499999999999</c:v>
                </c:pt>
                <c:pt idx="59">
                  <c:v>26.19</c:v>
                </c:pt>
                <c:pt idx="60">
                  <c:v>114.42499999999998</c:v>
                </c:pt>
                <c:pt idx="61">
                  <c:v>26.849999999999994</c:v>
                </c:pt>
                <c:pt idx="62">
                  <c:v>23.774999999999999</c:v>
                </c:pt>
                <c:pt idx="63">
                  <c:v>6.75</c:v>
                </c:pt>
                <c:pt idx="64">
                  <c:v>35.82</c:v>
                </c:pt>
                <c:pt idx="65">
                  <c:v>82.339999999999989</c:v>
                </c:pt>
                <c:pt idx="66">
                  <c:v>7.169999999999999</c:v>
                </c:pt>
                <c:pt idx="67">
                  <c:v>9.51</c:v>
                </c:pt>
                <c:pt idx="68">
                  <c:v>2.9849999999999999</c:v>
                </c:pt>
                <c:pt idx="69">
                  <c:v>59.699999999999996</c:v>
                </c:pt>
                <c:pt idx="70">
                  <c:v>136.61999999999998</c:v>
                </c:pt>
                <c:pt idx="71">
                  <c:v>9.51</c:v>
                </c:pt>
                <c:pt idx="72">
                  <c:v>77.624999999999986</c:v>
                </c:pt>
                <c:pt idx="73">
                  <c:v>21.825000000000003</c:v>
                </c:pt>
                <c:pt idx="74">
                  <c:v>17.82</c:v>
                </c:pt>
                <c:pt idx="75">
                  <c:v>53.699999999999996</c:v>
                </c:pt>
                <c:pt idx="76">
                  <c:v>3.5849999999999995</c:v>
                </c:pt>
                <c:pt idx="77">
                  <c:v>7.29</c:v>
                </c:pt>
                <c:pt idx="78">
                  <c:v>40.5</c:v>
                </c:pt>
                <c:pt idx="79">
                  <c:v>47.8</c:v>
                </c:pt>
                <c:pt idx="80">
                  <c:v>38.849999999999994</c:v>
                </c:pt>
                <c:pt idx="81">
                  <c:v>109.36499999999999</c:v>
                </c:pt>
                <c:pt idx="82">
                  <c:v>100.39499999999998</c:v>
                </c:pt>
                <c:pt idx="83">
                  <c:v>82.339999999999989</c:v>
                </c:pt>
                <c:pt idx="84">
                  <c:v>9.51</c:v>
                </c:pt>
                <c:pt idx="85">
                  <c:v>89.35499999999999</c:v>
                </c:pt>
                <c:pt idx="86">
                  <c:v>11.94</c:v>
                </c:pt>
                <c:pt idx="87">
                  <c:v>33.75</c:v>
                </c:pt>
                <c:pt idx="88">
                  <c:v>35.849999999999994</c:v>
                </c:pt>
                <c:pt idx="89">
                  <c:v>77.699999999999989</c:v>
                </c:pt>
                <c:pt idx="90">
                  <c:v>51.8</c:v>
                </c:pt>
                <c:pt idx="91">
                  <c:v>103.49999999999999</c:v>
                </c:pt>
                <c:pt idx="92">
                  <c:v>44.55</c:v>
                </c:pt>
                <c:pt idx="93">
                  <c:v>35.64</c:v>
                </c:pt>
                <c:pt idx="94">
                  <c:v>17.91</c:v>
                </c:pt>
                <c:pt idx="95">
                  <c:v>155.24999999999997</c:v>
                </c:pt>
                <c:pt idx="96">
                  <c:v>5.97</c:v>
                </c:pt>
                <c:pt idx="97">
                  <c:v>13.5</c:v>
                </c:pt>
                <c:pt idx="98">
                  <c:v>2.9849999999999999</c:v>
                </c:pt>
                <c:pt idx="99">
                  <c:v>13.095000000000001</c:v>
                </c:pt>
                <c:pt idx="100">
                  <c:v>7.77</c:v>
                </c:pt>
                <c:pt idx="101">
                  <c:v>148.92499999999998</c:v>
                </c:pt>
                <c:pt idx="102">
                  <c:v>38.849999999999994</c:v>
                </c:pt>
                <c:pt idx="103">
                  <c:v>11.94</c:v>
                </c:pt>
                <c:pt idx="104">
                  <c:v>87.300000000000011</c:v>
                </c:pt>
                <c:pt idx="105">
                  <c:v>40.5</c:v>
                </c:pt>
                <c:pt idx="106">
                  <c:v>24.3</c:v>
                </c:pt>
                <c:pt idx="107">
                  <c:v>17.91</c:v>
                </c:pt>
                <c:pt idx="108">
                  <c:v>27</c:v>
                </c:pt>
                <c:pt idx="109">
                  <c:v>7.77</c:v>
                </c:pt>
                <c:pt idx="110">
                  <c:v>13.365</c:v>
                </c:pt>
                <c:pt idx="111">
                  <c:v>26.849999999999994</c:v>
                </c:pt>
                <c:pt idx="112">
                  <c:v>11.25</c:v>
                </c:pt>
                <c:pt idx="113">
                  <c:v>14.55</c:v>
                </c:pt>
                <c:pt idx="114">
                  <c:v>14.339999999999998</c:v>
                </c:pt>
                <c:pt idx="115">
                  <c:v>15.85</c:v>
                </c:pt>
                <c:pt idx="116">
                  <c:v>19.02</c:v>
                </c:pt>
                <c:pt idx="117">
                  <c:v>38.04</c:v>
                </c:pt>
                <c:pt idx="118">
                  <c:v>21.87</c:v>
                </c:pt>
                <c:pt idx="119">
                  <c:v>4.125</c:v>
                </c:pt>
                <c:pt idx="120">
                  <c:v>3.8849999999999998</c:v>
                </c:pt>
                <c:pt idx="121">
                  <c:v>68.75</c:v>
                </c:pt>
                <c:pt idx="122">
                  <c:v>23.88</c:v>
                </c:pt>
                <c:pt idx="123">
                  <c:v>145.82</c:v>
                </c:pt>
                <c:pt idx="124">
                  <c:v>21.825000000000003</c:v>
                </c:pt>
                <c:pt idx="125">
                  <c:v>26.19</c:v>
                </c:pt>
                <c:pt idx="126">
                  <c:v>11.25</c:v>
                </c:pt>
                <c:pt idx="127">
                  <c:v>77.699999999999989</c:v>
                </c:pt>
                <c:pt idx="128">
                  <c:v>6.75</c:v>
                </c:pt>
                <c:pt idx="129">
                  <c:v>12.15</c:v>
                </c:pt>
                <c:pt idx="130">
                  <c:v>148.92499999999998</c:v>
                </c:pt>
                <c:pt idx="131">
                  <c:v>14.58</c:v>
                </c:pt>
                <c:pt idx="132">
                  <c:v>148.92499999999998</c:v>
                </c:pt>
                <c:pt idx="133">
                  <c:v>12.95</c:v>
                </c:pt>
                <c:pt idx="134">
                  <c:v>94.874999999999986</c:v>
                </c:pt>
                <c:pt idx="135">
                  <c:v>38.849999999999994</c:v>
                </c:pt>
                <c:pt idx="136">
                  <c:v>11.94</c:v>
                </c:pt>
                <c:pt idx="137">
                  <c:v>102.46499999999997</c:v>
                </c:pt>
                <c:pt idx="138">
                  <c:v>48.6</c:v>
                </c:pt>
                <c:pt idx="139">
                  <c:v>77.699999999999989</c:v>
                </c:pt>
                <c:pt idx="140">
                  <c:v>29.784999999999997</c:v>
                </c:pt>
                <c:pt idx="141">
                  <c:v>15.54</c:v>
                </c:pt>
                <c:pt idx="142">
                  <c:v>136.61999999999998</c:v>
                </c:pt>
                <c:pt idx="143">
                  <c:v>17.46</c:v>
                </c:pt>
                <c:pt idx="144">
                  <c:v>68.309999999999988</c:v>
                </c:pt>
                <c:pt idx="145">
                  <c:v>17.46</c:v>
                </c:pt>
                <c:pt idx="146">
                  <c:v>43.650000000000006</c:v>
                </c:pt>
                <c:pt idx="147">
                  <c:v>27.5</c:v>
                </c:pt>
                <c:pt idx="148">
                  <c:v>18.225000000000001</c:v>
                </c:pt>
                <c:pt idx="149">
                  <c:v>51.749999999999993</c:v>
                </c:pt>
                <c:pt idx="150">
                  <c:v>12.95</c:v>
                </c:pt>
                <c:pt idx="151">
                  <c:v>33.75</c:v>
                </c:pt>
                <c:pt idx="152">
                  <c:v>68.655000000000001</c:v>
                </c:pt>
                <c:pt idx="153">
                  <c:v>2.6849999999999996</c:v>
                </c:pt>
                <c:pt idx="154">
                  <c:v>114.42499999999998</c:v>
                </c:pt>
                <c:pt idx="155">
                  <c:v>155.24999999999997</c:v>
                </c:pt>
                <c:pt idx="156">
                  <c:v>77.624999999999986</c:v>
                </c:pt>
                <c:pt idx="157">
                  <c:v>61.754999999999995</c:v>
                </c:pt>
                <c:pt idx="158">
                  <c:v>123.50999999999999</c:v>
                </c:pt>
                <c:pt idx="159">
                  <c:v>218.73</c:v>
                </c:pt>
                <c:pt idx="160">
                  <c:v>33</c:v>
                </c:pt>
                <c:pt idx="161">
                  <c:v>23.31</c:v>
                </c:pt>
                <c:pt idx="162">
                  <c:v>21.87</c:v>
                </c:pt>
                <c:pt idx="163">
                  <c:v>16.11</c:v>
                </c:pt>
                <c:pt idx="164">
                  <c:v>29.16</c:v>
                </c:pt>
                <c:pt idx="165">
                  <c:v>53.699999999999996</c:v>
                </c:pt>
                <c:pt idx="166">
                  <c:v>26.849999999999994</c:v>
                </c:pt>
                <c:pt idx="167">
                  <c:v>41.25</c:v>
                </c:pt>
                <c:pt idx="168">
                  <c:v>40.5</c:v>
                </c:pt>
                <c:pt idx="169">
                  <c:v>17.899999999999999</c:v>
                </c:pt>
                <c:pt idx="170">
                  <c:v>68.309999999999988</c:v>
                </c:pt>
                <c:pt idx="171">
                  <c:v>63.249999999999993</c:v>
                </c:pt>
                <c:pt idx="172">
                  <c:v>21.87</c:v>
                </c:pt>
                <c:pt idx="173">
                  <c:v>91.539999999999992</c:v>
                </c:pt>
                <c:pt idx="174">
                  <c:v>204.92999999999995</c:v>
                </c:pt>
                <c:pt idx="175">
                  <c:v>63.249999999999993</c:v>
                </c:pt>
                <c:pt idx="176">
                  <c:v>34.154999999999994</c:v>
                </c:pt>
                <c:pt idx="177">
                  <c:v>109.93999999999998</c:v>
                </c:pt>
                <c:pt idx="178">
                  <c:v>25.9</c:v>
                </c:pt>
                <c:pt idx="179">
                  <c:v>2.9849999999999999</c:v>
                </c:pt>
                <c:pt idx="180">
                  <c:v>22.274999999999999</c:v>
                </c:pt>
                <c:pt idx="181">
                  <c:v>29.849999999999998</c:v>
                </c:pt>
                <c:pt idx="182">
                  <c:v>32.22</c:v>
                </c:pt>
                <c:pt idx="183">
                  <c:v>8.25</c:v>
                </c:pt>
                <c:pt idx="184">
                  <c:v>31.08</c:v>
                </c:pt>
                <c:pt idx="185">
                  <c:v>36.450000000000003</c:v>
                </c:pt>
                <c:pt idx="186">
                  <c:v>68.655000000000001</c:v>
                </c:pt>
                <c:pt idx="187">
                  <c:v>43.650000000000006</c:v>
                </c:pt>
                <c:pt idx="188">
                  <c:v>4.4550000000000001</c:v>
                </c:pt>
                <c:pt idx="189">
                  <c:v>43.650000000000006</c:v>
                </c:pt>
                <c:pt idx="190">
                  <c:v>33.464999999999996</c:v>
                </c:pt>
                <c:pt idx="191">
                  <c:v>19.424999999999997</c:v>
                </c:pt>
                <c:pt idx="192">
                  <c:v>72.900000000000006</c:v>
                </c:pt>
                <c:pt idx="193">
                  <c:v>44.55</c:v>
                </c:pt>
                <c:pt idx="194">
                  <c:v>36.450000000000003</c:v>
                </c:pt>
                <c:pt idx="195">
                  <c:v>38.849999999999994</c:v>
                </c:pt>
                <c:pt idx="196">
                  <c:v>53.46</c:v>
                </c:pt>
                <c:pt idx="197">
                  <c:v>59.569999999999993</c:v>
                </c:pt>
                <c:pt idx="198">
                  <c:v>89.35499999999999</c:v>
                </c:pt>
                <c:pt idx="199">
                  <c:v>38.04</c:v>
                </c:pt>
                <c:pt idx="200">
                  <c:v>41.25</c:v>
                </c:pt>
                <c:pt idx="201">
                  <c:v>57.06</c:v>
                </c:pt>
                <c:pt idx="202">
                  <c:v>178.70999999999998</c:v>
                </c:pt>
                <c:pt idx="203">
                  <c:v>4.7549999999999999</c:v>
                </c:pt>
                <c:pt idx="204">
                  <c:v>82.5</c:v>
                </c:pt>
                <c:pt idx="205">
                  <c:v>8.0549999999999997</c:v>
                </c:pt>
                <c:pt idx="206">
                  <c:v>22.5</c:v>
                </c:pt>
                <c:pt idx="207">
                  <c:v>40.5</c:v>
                </c:pt>
                <c:pt idx="208">
                  <c:v>29.16</c:v>
                </c:pt>
                <c:pt idx="209">
                  <c:v>6.75</c:v>
                </c:pt>
                <c:pt idx="210">
                  <c:v>51.8</c:v>
                </c:pt>
                <c:pt idx="211">
                  <c:v>53.46</c:v>
                </c:pt>
                <c:pt idx="212">
                  <c:v>14.58</c:v>
                </c:pt>
                <c:pt idx="213">
                  <c:v>20.584999999999997</c:v>
                </c:pt>
                <c:pt idx="214">
                  <c:v>31.7</c:v>
                </c:pt>
                <c:pt idx="215">
                  <c:v>23.31</c:v>
                </c:pt>
                <c:pt idx="216">
                  <c:v>58.2</c:v>
                </c:pt>
                <c:pt idx="217">
                  <c:v>35.64</c:v>
                </c:pt>
                <c:pt idx="218">
                  <c:v>56.25</c:v>
                </c:pt>
                <c:pt idx="219">
                  <c:v>10.754999999999999</c:v>
                </c:pt>
                <c:pt idx="220">
                  <c:v>14.924999999999999</c:v>
                </c:pt>
                <c:pt idx="221">
                  <c:v>77.699999999999989</c:v>
                </c:pt>
                <c:pt idx="222">
                  <c:v>23.31</c:v>
                </c:pt>
                <c:pt idx="223">
                  <c:v>59.4</c:v>
                </c:pt>
                <c:pt idx="224">
                  <c:v>119.13999999999999</c:v>
                </c:pt>
                <c:pt idx="225">
                  <c:v>14.339999999999998</c:v>
                </c:pt>
                <c:pt idx="226">
                  <c:v>129.37499999999997</c:v>
                </c:pt>
                <c:pt idx="227">
                  <c:v>16.11</c:v>
                </c:pt>
                <c:pt idx="228">
                  <c:v>17.924999999999997</c:v>
                </c:pt>
                <c:pt idx="229">
                  <c:v>8.73</c:v>
                </c:pt>
                <c:pt idx="230">
                  <c:v>51.749999999999993</c:v>
                </c:pt>
                <c:pt idx="231">
                  <c:v>8.73</c:v>
                </c:pt>
                <c:pt idx="232">
                  <c:v>23.774999999999999</c:v>
                </c:pt>
                <c:pt idx="233">
                  <c:v>20.625</c:v>
                </c:pt>
                <c:pt idx="234">
                  <c:v>36.454999999999998</c:v>
                </c:pt>
                <c:pt idx="235">
                  <c:v>182.27499999999998</c:v>
                </c:pt>
                <c:pt idx="236">
                  <c:v>89.35499999999999</c:v>
                </c:pt>
                <c:pt idx="237">
                  <c:v>3.5849999999999995</c:v>
                </c:pt>
                <c:pt idx="238">
                  <c:v>45.769999999999996</c:v>
                </c:pt>
                <c:pt idx="239">
                  <c:v>59.4</c:v>
                </c:pt>
                <c:pt idx="240">
                  <c:v>155.24999999999997</c:v>
                </c:pt>
                <c:pt idx="241">
                  <c:v>45.769999999999996</c:v>
                </c:pt>
                <c:pt idx="242">
                  <c:v>36.450000000000003</c:v>
                </c:pt>
                <c:pt idx="243">
                  <c:v>29.16</c:v>
                </c:pt>
                <c:pt idx="244">
                  <c:v>133.85999999999999</c:v>
                </c:pt>
                <c:pt idx="245">
                  <c:v>23.774999999999999</c:v>
                </c:pt>
                <c:pt idx="246">
                  <c:v>38.849999999999994</c:v>
                </c:pt>
                <c:pt idx="247">
                  <c:v>21.509999999999998</c:v>
                </c:pt>
                <c:pt idx="248">
                  <c:v>9.9499999999999993</c:v>
                </c:pt>
                <c:pt idx="249">
                  <c:v>15.85</c:v>
                </c:pt>
                <c:pt idx="250">
                  <c:v>2.9849999999999999</c:v>
                </c:pt>
                <c:pt idx="251">
                  <c:v>68.75</c:v>
                </c:pt>
                <c:pt idx="252">
                  <c:v>29.849999999999998</c:v>
                </c:pt>
                <c:pt idx="253">
                  <c:v>58.2</c:v>
                </c:pt>
                <c:pt idx="254">
                  <c:v>28.679999999999996</c:v>
                </c:pt>
                <c:pt idx="255">
                  <c:v>21.509999999999998</c:v>
                </c:pt>
                <c:pt idx="256">
                  <c:v>17.46</c:v>
                </c:pt>
                <c:pt idx="257">
                  <c:v>27.945</c:v>
                </c:pt>
                <c:pt idx="258">
                  <c:v>139.72499999999999</c:v>
                </c:pt>
                <c:pt idx="259">
                  <c:v>5.97</c:v>
                </c:pt>
                <c:pt idx="260">
                  <c:v>27.484999999999996</c:v>
                </c:pt>
                <c:pt idx="261">
                  <c:v>59.75</c:v>
                </c:pt>
                <c:pt idx="262">
                  <c:v>41.25</c:v>
                </c:pt>
                <c:pt idx="263">
                  <c:v>133.85999999999999</c:v>
                </c:pt>
                <c:pt idx="264">
                  <c:v>59.75</c:v>
                </c:pt>
                <c:pt idx="265">
                  <c:v>5.97</c:v>
                </c:pt>
                <c:pt idx="266">
                  <c:v>24.3</c:v>
                </c:pt>
                <c:pt idx="267">
                  <c:v>21.87</c:v>
                </c:pt>
                <c:pt idx="268">
                  <c:v>19.899999999999999</c:v>
                </c:pt>
                <c:pt idx="269">
                  <c:v>5.97</c:v>
                </c:pt>
                <c:pt idx="270">
                  <c:v>7.29</c:v>
                </c:pt>
                <c:pt idx="271">
                  <c:v>11.94</c:v>
                </c:pt>
                <c:pt idx="272">
                  <c:v>71.699999999999989</c:v>
                </c:pt>
                <c:pt idx="273">
                  <c:v>7.77</c:v>
                </c:pt>
                <c:pt idx="274">
                  <c:v>25.874999999999996</c:v>
                </c:pt>
                <c:pt idx="275">
                  <c:v>204.92999999999995</c:v>
                </c:pt>
                <c:pt idx="276">
                  <c:v>109.93999999999998</c:v>
                </c:pt>
                <c:pt idx="277">
                  <c:v>89.1</c:v>
                </c:pt>
                <c:pt idx="278">
                  <c:v>7.77</c:v>
                </c:pt>
                <c:pt idx="279">
                  <c:v>33.464999999999996</c:v>
                </c:pt>
                <c:pt idx="280">
                  <c:v>41.25</c:v>
                </c:pt>
                <c:pt idx="281">
                  <c:v>59.4</c:v>
                </c:pt>
                <c:pt idx="282">
                  <c:v>7.77</c:v>
                </c:pt>
                <c:pt idx="283">
                  <c:v>5.3699999999999992</c:v>
                </c:pt>
                <c:pt idx="284">
                  <c:v>94.874999999999986</c:v>
                </c:pt>
                <c:pt idx="285">
                  <c:v>36.454999999999998</c:v>
                </c:pt>
                <c:pt idx="286">
                  <c:v>13.5</c:v>
                </c:pt>
                <c:pt idx="287">
                  <c:v>14.339999999999998</c:v>
                </c:pt>
                <c:pt idx="288">
                  <c:v>8.25</c:v>
                </c:pt>
                <c:pt idx="289">
                  <c:v>13.424999999999997</c:v>
                </c:pt>
                <c:pt idx="290">
                  <c:v>49.75</c:v>
                </c:pt>
                <c:pt idx="291">
                  <c:v>16.5</c:v>
                </c:pt>
                <c:pt idx="292">
                  <c:v>17.91</c:v>
                </c:pt>
                <c:pt idx="293">
                  <c:v>29.849999999999998</c:v>
                </c:pt>
                <c:pt idx="294">
                  <c:v>44.55</c:v>
                </c:pt>
                <c:pt idx="295">
                  <c:v>27.5</c:v>
                </c:pt>
                <c:pt idx="296">
                  <c:v>35.82</c:v>
                </c:pt>
                <c:pt idx="297">
                  <c:v>16.11</c:v>
                </c:pt>
                <c:pt idx="298">
                  <c:v>26.73</c:v>
                </c:pt>
                <c:pt idx="299">
                  <c:v>204.92999999999995</c:v>
                </c:pt>
                <c:pt idx="300">
                  <c:v>38.849999999999994</c:v>
                </c:pt>
                <c:pt idx="301">
                  <c:v>15.54</c:v>
                </c:pt>
                <c:pt idx="302">
                  <c:v>6.75</c:v>
                </c:pt>
                <c:pt idx="303">
                  <c:v>111.78</c:v>
                </c:pt>
                <c:pt idx="304">
                  <c:v>3.8849999999999998</c:v>
                </c:pt>
                <c:pt idx="305">
                  <c:v>21.825000000000003</c:v>
                </c:pt>
                <c:pt idx="306">
                  <c:v>14.924999999999999</c:v>
                </c:pt>
                <c:pt idx="307">
                  <c:v>33.75</c:v>
                </c:pt>
                <c:pt idx="308">
                  <c:v>33.75</c:v>
                </c:pt>
                <c:pt idx="309">
                  <c:v>26.19</c:v>
                </c:pt>
                <c:pt idx="310">
                  <c:v>14.85</c:v>
                </c:pt>
                <c:pt idx="311">
                  <c:v>189.74999999999997</c:v>
                </c:pt>
                <c:pt idx="312">
                  <c:v>5.97</c:v>
                </c:pt>
                <c:pt idx="313">
                  <c:v>29.849999999999998</c:v>
                </c:pt>
                <c:pt idx="314">
                  <c:v>44.75</c:v>
                </c:pt>
                <c:pt idx="315">
                  <c:v>34.154999999999994</c:v>
                </c:pt>
                <c:pt idx="316">
                  <c:v>204.92999999999995</c:v>
                </c:pt>
                <c:pt idx="317">
                  <c:v>21.87</c:v>
                </c:pt>
                <c:pt idx="318">
                  <c:v>51.749999999999993</c:v>
                </c:pt>
                <c:pt idx="319">
                  <c:v>8.25</c:v>
                </c:pt>
                <c:pt idx="320">
                  <c:v>19.424999999999997</c:v>
                </c:pt>
                <c:pt idx="321">
                  <c:v>20.25</c:v>
                </c:pt>
                <c:pt idx="322">
                  <c:v>23.31</c:v>
                </c:pt>
                <c:pt idx="323">
                  <c:v>18.225000000000001</c:v>
                </c:pt>
                <c:pt idx="324">
                  <c:v>13.75</c:v>
                </c:pt>
                <c:pt idx="325">
                  <c:v>29.784999999999997</c:v>
                </c:pt>
                <c:pt idx="326">
                  <c:v>44.75</c:v>
                </c:pt>
                <c:pt idx="327">
                  <c:v>44.75</c:v>
                </c:pt>
                <c:pt idx="328">
                  <c:v>38.04</c:v>
                </c:pt>
                <c:pt idx="329">
                  <c:v>21.479999999999997</c:v>
                </c:pt>
                <c:pt idx="330">
                  <c:v>16.11</c:v>
                </c:pt>
                <c:pt idx="331">
                  <c:v>22.884999999999998</c:v>
                </c:pt>
                <c:pt idx="332">
                  <c:v>17.91</c:v>
                </c:pt>
                <c:pt idx="333">
                  <c:v>23.88</c:v>
                </c:pt>
                <c:pt idx="334">
                  <c:v>59.75</c:v>
                </c:pt>
                <c:pt idx="335">
                  <c:v>28.53</c:v>
                </c:pt>
                <c:pt idx="336">
                  <c:v>45</c:v>
                </c:pt>
                <c:pt idx="337">
                  <c:v>55.89</c:v>
                </c:pt>
                <c:pt idx="338">
                  <c:v>59.4</c:v>
                </c:pt>
                <c:pt idx="339">
                  <c:v>7.29</c:v>
                </c:pt>
                <c:pt idx="340">
                  <c:v>7.29</c:v>
                </c:pt>
                <c:pt idx="341">
                  <c:v>17.82</c:v>
                </c:pt>
                <c:pt idx="342">
                  <c:v>38.849999999999994</c:v>
                </c:pt>
                <c:pt idx="343">
                  <c:v>32.22</c:v>
                </c:pt>
                <c:pt idx="344">
                  <c:v>19.899999999999999</c:v>
                </c:pt>
                <c:pt idx="345">
                  <c:v>59.75</c:v>
                </c:pt>
                <c:pt idx="346">
                  <c:v>23.31</c:v>
                </c:pt>
                <c:pt idx="347">
                  <c:v>43.650000000000006</c:v>
                </c:pt>
                <c:pt idx="348">
                  <c:v>204.92999999999995</c:v>
                </c:pt>
                <c:pt idx="349">
                  <c:v>14.339999999999998</c:v>
                </c:pt>
                <c:pt idx="350">
                  <c:v>23.88</c:v>
                </c:pt>
                <c:pt idx="351">
                  <c:v>22.5</c:v>
                </c:pt>
                <c:pt idx="352">
                  <c:v>36.450000000000003</c:v>
                </c:pt>
                <c:pt idx="353">
                  <c:v>27</c:v>
                </c:pt>
                <c:pt idx="354">
                  <c:v>155.24999999999997</c:v>
                </c:pt>
                <c:pt idx="355">
                  <c:v>114.42499999999998</c:v>
                </c:pt>
                <c:pt idx="356">
                  <c:v>51.8</c:v>
                </c:pt>
                <c:pt idx="357">
                  <c:v>155.24999999999997</c:v>
                </c:pt>
                <c:pt idx="358">
                  <c:v>29.784999999999997</c:v>
                </c:pt>
                <c:pt idx="359">
                  <c:v>21.509999999999998</c:v>
                </c:pt>
                <c:pt idx="360">
                  <c:v>41.169999999999995</c:v>
                </c:pt>
                <c:pt idx="361">
                  <c:v>5.97</c:v>
                </c:pt>
                <c:pt idx="362">
                  <c:v>74.25</c:v>
                </c:pt>
                <c:pt idx="363">
                  <c:v>87.300000000000011</c:v>
                </c:pt>
                <c:pt idx="364">
                  <c:v>72.900000000000006</c:v>
                </c:pt>
                <c:pt idx="365">
                  <c:v>7.77</c:v>
                </c:pt>
                <c:pt idx="366">
                  <c:v>43.74</c:v>
                </c:pt>
                <c:pt idx="367">
                  <c:v>8.73</c:v>
                </c:pt>
                <c:pt idx="368">
                  <c:v>63.249999999999993</c:v>
                </c:pt>
                <c:pt idx="369">
                  <c:v>8.91</c:v>
                </c:pt>
                <c:pt idx="370">
                  <c:v>24.3</c:v>
                </c:pt>
                <c:pt idx="371">
                  <c:v>46.62</c:v>
                </c:pt>
                <c:pt idx="372">
                  <c:v>43.019999999999996</c:v>
                </c:pt>
                <c:pt idx="373">
                  <c:v>17.91</c:v>
                </c:pt>
                <c:pt idx="374">
                  <c:v>38.04</c:v>
                </c:pt>
                <c:pt idx="375">
                  <c:v>6.75</c:v>
                </c:pt>
                <c:pt idx="376">
                  <c:v>5.97</c:v>
                </c:pt>
                <c:pt idx="377">
                  <c:v>8.0549999999999997</c:v>
                </c:pt>
                <c:pt idx="378">
                  <c:v>23.31</c:v>
                </c:pt>
                <c:pt idx="379">
                  <c:v>43.019999999999996</c:v>
                </c:pt>
                <c:pt idx="380">
                  <c:v>23.31</c:v>
                </c:pt>
                <c:pt idx="381">
                  <c:v>14.924999999999999</c:v>
                </c:pt>
                <c:pt idx="382">
                  <c:v>21.87</c:v>
                </c:pt>
                <c:pt idx="383">
                  <c:v>53.46</c:v>
                </c:pt>
                <c:pt idx="384">
                  <c:v>119.13999999999999</c:v>
                </c:pt>
                <c:pt idx="385">
                  <c:v>43.650000000000006</c:v>
                </c:pt>
                <c:pt idx="386">
                  <c:v>17.91</c:v>
                </c:pt>
                <c:pt idx="387">
                  <c:v>74.25</c:v>
                </c:pt>
                <c:pt idx="388">
                  <c:v>11.654999999999999</c:v>
                </c:pt>
                <c:pt idx="389">
                  <c:v>23.31</c:v>
                </c:pt>
                <c:pt idx="390">
                  <c:v>14.58</c:v>
                </c:pt>
                <c:pt idx="391">
                  <c:v>13.5</c:v>
                </c:pt>
                <c:pt idx="392">
                  <c:v>89.1</c:v>
                </c:pt>
                <c:pt idx="393">
                  <c:v>3.8849999999999998</c:v>
                </c:pt>
                <c:pt idx="394">
                  <c:v>109.93999999999998</c:v>
                </c:pt>
                <c:pt idx="395">
                  <c:v>46.62</c:v>
                </c:pt>
                <c:pt idx="396">
                  <c:v>38.849999999999994</c:v>
                </c:pt>
                <c:pt idx="397">
                  <c:v>31.08</c:v>
                </c:pt>
                <c:pt idx="398">
                  <c:v>17.91</c:v>
                </c:pt>
                <c:pt idx="399">
                  <c:v>167.67000000000002</c:v>
                </c:pt>
                <c:pt idx="400">
                  <c:v>63.4</c:v>
                </c:pt>
                <c:pt idx="401">
                  <c:v>8.73</c:v>
                </c:pt>
                <c:pt idx="402">
                  <c:v>26.849999999999998</c:v>
                </c:pt>
                <c:pt idx="403">
                  <c:v>9.51</c:v>
                </c:pt>
                <c:pt idx="404">
                  <c:v>39.799999999999997</c:v>
                </c:pt>
                <c:pt idx="405">
                  <c:v>24.75</c:v>
                </c:pt>
                <c:pt idx="406">
                  <c:v>68.75</c:v>
                </c:pt>
                <c:pt idx="407">
                  <c:v>49.5</c:v>
                </c:pt>
                <c:pt idx="408">
                  <c:v>51.749999999999993</c:v>
                </c:pt>
                <c:pt idx="409">
                  <c:v>47.55</c:v>
                </c:pt>
                <c:pt idx="410">
                  <c:v>15.54</c:v>
                </c:pt>
                <c:pt idx="411">
                  <c:v>87.300000000000011</c:v>
                </c:pt>
                <c:pt idx="412">
                  <c:v>56.25</c:v>
                </c:pt>
                <c:pt idx="413">
                  <c:v>36.454999999999998</c:v>
                </c:pt>
                <c:pt idx="414">
                  <c:v>10.754999999999999</c:v>
                </c:pt>
                <c:pt idx="415">
                  <c:v>8.9550000000000001</c:v>
                </c:pt>
                <c:pt idx="416">
                  <c:v>23.31</c:v>
                </c:pt>
                <c:pt idx="417">
                  <c:v>29.784999999999997</c:v>
                </c:pt>
                <c:pt idx="418">
                  <c:v>148.92499999999998</c:v>
                </c:pt>
                <c:pt idx="419">
                  <c:v>8.73</c:v>
                </c:pt>
                <c:pt idx="420">
                  <c:v>31.08</c:v>
                </c:pt>
                <c:pt idx="421">
                  <c:v>137.31</c:v>
                </c:pt>
                <c:pt idx="422">
                  <c:v>29.849999999999998</c:v>
                </c:pt>
                <c:pt idx="423">
                  <c:v>17.91</c:v>
                </c:pt>
                <c:pt idx="424">
                  <c:v>26.73</c:v>
                </c:pt>
                <c:pt idx="425">
                  <c:v>17.899999999999999</c:v>
                </c:pt>
                <c:pt idx="426">
                  <c:v>14.339999999999998</c:v>
                </c:pt>
                <c:pt idx="427">
                  <c:v>77.624999999999986</c:v>
                </c:pt>
                <c:pt idx="428">
                  <c:v>59.75</c:v>
                </c:pt>
                <c:pt idx="429">
                  <c:v>77.699999999999989</c:v>
                </c:pt>
                <c:pt idx="430">
                  <c:v>5.3699999999999992</c:v>
                </c:pt>
                <c:pt idx="431">
                  <c:v>83.835000000000008</c:v>
                </c:pt>
                <c:pt idx="432">
                  <c:v>22.5</c:v>
                </c:pt>
                <c:pt idx="433">
                  <c:v>200.78999999999996</c:v>
                </c:pt>
                <c:pt idx="434">
                  <c:v>67.5</c:v>
                </c:pt>
                <c:pt idx="435">
                  <c:v>8.25</c:v>
                </c:pt>
                <c:pt idx="436">
                  <c:v>9.51</c:v>
                </c:pt>
                <c:pt idx="437">
                  <c:v>29.784999999999997</c:v>
                </c:pt>
                <c:pt idx="438">
                  <c:v>15.54</c:v>
                </c:pt>
                <c:pt idx="439">
                  <c:v>35.64</c:v>
                </c:pt>
                <c:pt idx="440">
                  <c:v>103.49999999999999</c:v>
                </c:pt>
                <c:pt idx="441">
                  <c:v>36.450000000000003</c:v>
                </c:pt>
                <c:pt idx="442">
                  <c:v>35.849999999999994</c:v>
                </c:pt>
                <c:pt idx="443">
                  <c:v>22.274999999999999</c:v>
                </c:pt>
                <c:pt idx="444">
                  <c:v>24.75</c:v>
                </c:pt>
                <c:pt idx="445">
                  <c:v>66.929999999999993</c:v>
                </c:pt>
                <c:pt idx="446">
                  <c:v>8.73</c:v>
                </c:pt>
                <c:pt idx="447">
                  <c:v>17.91</c:v>
                </c:pt>
                <c:pt idx="448">
                  <c:v>7.169999999999999</c:v>
                </c:pt>
                <c:pt idx="449">
                  <c:v>5.3699999999999992</c:v>
                </c:pt>
                <c:pt idx="450">
                  <c:v>23.774999999999999</c:v>
                </c:pt>
                <c:pt idx="451">
                  <c:v>41.169999999999995</c:v>
                </c:pt>
                <c:pt idx="452">
                  <c:v>11.654999999999999</c:v>
                </c:pt>
                <c:pt idx="453">
                  <c:v>38.04</c:v>
                </c:pt>
                <c:pt idx="454">
                  <c:v>82.339999999999989</c:v>
                </c:pt>
                <c:pt idx="455">
                  <c:v>9.51</c:v>
                </c:pt>
                <c:pt idx="456">
                  <c:v>41.169999999999995</c:v>
                </c:pt>
                <c:pt idx="457">
                  <c:v>47.55</c:v>
                </c:pt>
                <c:pt idx="458">
                  <c:v>45</c:v>
                </c:pt>
                <c:pt idx="459">
                  <c:v>23.774999999999999</c:v>
                </c:pt>
                <c:pt idx="460">
                  <c:v>16.11</c:v>
                </c:pt>
                <c:pt idx="461">
                  <c:v>10.739999999999998</c:v>
                </c:pt>
                <c:pt idx="462">
                  <c:v>49.75</c:v>
                </c:pt>
                <c:pt idx="463">
                  <c:v>27.5</c:v>
                </c:pt>
                <c:pt idx="464">
                  <c:v>119.13999999999999</c:v>
                </c:pt>
                <c:pt idx="465">
                  <c:v>20.584999999999997</c:v>
                </c:pt>
                <c:pt idx="466">
                  <c:v>8.9550000000000001</c:v>
                </c:pt>
                <c:pt idx="467">
                  <c:v>5.97</c:v>
                </c:pt>
                <c:pt idx="468">
                  <c:v>41.25</c:v>
                </c:pt>
                <c:pt idx="469">
                  <c:v>22.274999999999999</c:v>
                </c:pt>
                <c:pt idx="470">
                  <c:v>6.75</c:v>
                </c:pt>
                <c:pt idx="471">
                  <c:v>133.85999999999999</c:v>
                </c:pt>
                <c:pt idx="472">
                  <c:v>5.97</c:v>
                </c:pt>
                <c:pt idx="473">
                  <c:v>25.9</c:v>
                </c:pt>
                <c:pt idx="474">
                  <c:v>31.624999999999996</c:v>
                </c:pt>
                <c:pt idx="475">
                  <c:v>8.73</c:v>
                </c:pt>
                <c:pt idx="476">
                  <c:v>26.73</c:v>
                </c:pt>
                <c:pt idx="477">
                  <c:v>26.19</c:v>
                </c:pt>
                <c:pt idx="478">
                  <c:v>53.699999999999996</c:v>
                </c:pt>
                <c:pt idx="479">
                  <c:v>126.49999999999999</c:v>
                </c:pt>
                <c:pt idx="480">
                  <c:v>4.125</c:v>
                </c:pt>
                <c:pt idx="481">
                  <c:v>23.9</c:v>
                </c:pt>
                <c:pt idx="482">
                  <c:v>139.72499999999999</c:v>
                </c:pt>
                <c:pt idx="483">
                  <c:v>59.569999999999993</c:v>
                </c:pt>
                <c:pt idx="484">
                  <c:v>57.06</c:v>
                </c:pt>
                <c:pt idx="485">
                  <c:v>21.509999999999998</c:v>
                </c:pt>
                <c:pt idx="486">
                  <c:v>52.38</c:v>
                </c:pt>
                <c:pt idx="487">
                  <c:v>72.900000000000006</c:v>
                </c:pt>
                <c:pt idx="488">
                  <c:v>14.924999999999999</c:v>
                </c:pt>
                <c:pt idx="489">
                  <c:v>95.1</c:v>
                </c:pt>
                <c:pt idx="490">
                  <c:v>15.54</c:v>
                </c:pt>
                <c:pt idx="491">
                  <c:v>23.31</c:v>
                </c:pt>
                <c:pt idx="492">
                  <c:v>4.125</c:v>
                </c:pt>
                <c:pt idx="493">
                  <c:v>35.82</c:v>
                </c:pt>
                <c:pt idx="494">
                  <c:v>31.7</c:v>
                </c:pt>
                <c:pt idx="495">
                  <c:v>79.25</c:v>
                </c:pt>
                <c:pt idx="496">
                  <c:v>10.935</c:v>
                </c:pt>
                <c:pt idx="497">
                  <c:v>39.799999999999997</c:v>
                </c:pt>
                <c:pt idx="498">
                  <c:v>49.75</c:v>
                </c:pt>
                <c:pt idx="499">
                  <c:v>8.0549999999999997</c:v>
                </c:pt>
                <c:pt idx="500">
                  <c:v>47.8</c:v>
                </c:pt>
                <c:pt idx="501">
                  <c:v>11.94</c:v>
                </c:pt>
                <c:pt idx="502">
                  <c:v>16.5</c:v>
                </c:pt>
                <c:pt idx="503">
                  <c:v>51.8</c:v>
                </c:pt>
                <c:pt idx="504">
                  <c:v>14.265000000000001</c:v>
                </c:pt>
                <c:pt idx="505">
                  <c:v>26.19</c:v>
                </c:pt>
                <c:pt idx="506">
                  <c:v>25.9</c:v>
                </c:pt>
                <c:pt idx="507">
                  <c:v>89.35499999999999</c:v>
                </c:pt>
                <c:pt idx="508">
                  <c:v>46.62</c:v>
                </c:pt>
                <c:pt idx="509">
                  <c:v>29.849999999999998</c:v>
                </c:pt>
                <c:pt idx="510">
                  <c:v>10.754999999999999</c:v>
                </c:pt>
                <c:pt idx="511">
                  <c:v>13.5</c:v>
                </c:pt>
                <c:pt idx="512">
                  <c:v>47.55</c:v>
                </c:pt>
                <c:pt idx="513">
                  <c:v>79.25</c:v>
                </c:pt>
                <c:pt idx="514">
                  <c:v>26.19</c:v>
                </c:pt>
                <c:pt idx="515">
                  <c:v>21.509999999999998</c:v>
                </c:pt>
                <c:pt idx="516">
                  <c:v>102.92499999999998</c:v>
                </c:pt>
                <c:pt idx="517">
                  <c:v>7.77</c:v>
                </c:pt>
                <c:pt idx="518">
                  <c:v>139.72499999999999</c:v>
                </c:pt>
                <c:pt idx="519">
                  <c:v>11.94</c:v>
                </c:pt>
                <c:pt idx="520">
                  <c:v>3.8849999999999998</c:v>
                </c:pt>
                <c:pt idx="521">
                  <c:v>39.799999999999997</c:v>
                </c:pt>
                <c:pt idx="522">
                  <c:v>29.849999999999998</c:v>
                </c:pt>
                <c:pt idx="523">
                  <c:v>29.784999999999997</c:v>
                </c:pt>
                <c:pt idx="524">
                  <c:v>72.91</c:v>
                </c:pt>
                <c:pt idx="525">
                  <c:v>13.424999999999997</c:v>
                </c:pt>
                <c:pt idx="526">
                  <c:v>126.49999999999999</c:v>
                </c:pt>
                <c:pt idx="527">
                  <c:v>41.25</c:v>
                </c:pt>
                <c:pt idx="528">
                  <c:v>53.46</c:v>
                </c:pt>
                <c:pt idx="529">
                  <c:v>59.699999999999996</c:v>
                </c:pt>
                <c:pt idx="530">
                  <c:v>59.699999999999996</c:v>
                </c:pt>
                <c:pt idx="531">
                  <c:v>44.75</c:v>
                </c:pt>
                <c:pt idx="532">
                  <c:v>16.5</c:v>
                </c:pt>
                <c:pt idx="533">
                  <c:v>21.479999999999997</c:v>
                </c:pt>
                <c:pt idx="534">
                  <c:v>45.769999999999996</c:v>
                </c:pt>
                <c:pt idx="535">
                  <c:v>9.51</c:v>
                </c:pt>
                <c:pt idx="536">
                  <c:v>8.0549999999999997</c:v>
                </c:pt>
                <c:pt idx="537">
                  <c:v>111.78</c:v>
                </c:pt>
                <c:pt idx="538">
                  <c:v>10.739999999999998</c:v>
                </c:pt>
                <c:pt idx="539">
                  <c:v>26.849999999999994</c:v>
                </c:pt>
                <c:pt idx="540">
                  <c:v>63.4</c:v>
                </c:pt>
                <c:pt idx="541">
                  <c:v>22.884999999999998</c:v>
                </c:pt>
                <c:pt idx="542">
                  <c:v>103.49999999999999</c:v>
                </c:pt>
                <c:pt idx="543">
                  <c:v>54.969999999999992</c:v>
                </c:pt>
                <c:pt idx="544">
                  <c:v>15.54</c:v>
                </c:pt>
                <c:pt idx="545">
                  <c:v>15.54</c:v>
                </c:pt>
                <c:pt idx="546">
                  <c:v>83.835000000000008</c:v>
                </c:pt>
                <c:pt idx="547">
                  <c:v>10.754999999999999</c:v>
                </c:pt>
                <c:pt idx="548">
                  <c:v>13.365</c:v>
                </c:pt>
                <c:pt idx="549">
                  <c:v>17.82</c:v>
                </c:pt>
                <c:pt idx="550">
                  <c:v>23.31</c:v>
                </c:pt>
                <c:pt idx="551">
                  <c:v>7.29</c:v>
                </c:pt>
                <c:pt idx="552">
                  <c:v>17.82</c:v>
                </c:pt>
                <c:pt idx="553">
                  <c:v>68.75</c:v>
                </c:pt>
                <c:pt idx="554">
                  <c:v>54.969999999999992</c:v>
                </c:pt>
                <c:pt idx="555">
                  <c:v>82.5</c:v>
                </c:pt>
                <c:pt idx="556">
                  <c:v>8.73</c:v>
                </c:pt>
                <c:pt idx="557">
                  <c:v>59.4</c:v>
                </c:pt>
                <c:pt idx="558">
                  <c:v>15.54</c:v>
                </c:pt>
                <c:pt idx="559">
                  <c:v>38.849999999999994</c:v>
                </c:pt>
                <c:pt idx="560">
                  <c:v>189.74999999999997</c:v>
                </c:pt>
                <c:pt idx="561">
                  <c:v>17.91</c:v>
                </c:pt>
                <c:pt idx="562">
                  <c:v>28.53</c:v>
                </c:pt>
                <c:pt idx="563">
                  <c:v>82.5</c:v>
                </c:pt>
                <c:pt idx="564">
                  <c:v>14.339999999999998</c:v>
                </c:pt>
                <c:pt idx="565">
                  <c:v>82.339999999999989</c:v>
                </c:pt>
                <c:pt idx="566">
                  <c:v>20.25</c:v>
                </c:pt>
                <c:pt idx="567">
                  <c:v>164.90999999999997</c:v>
                </c:pt>
                <c:pt idx="568">
                  <c:v>19.02</c:v>
                </c:pt>
                <c:pt idx="569">
                  <c:v>137.31</c:v>
                </c:pt>
                <c:pt idx="570">
                  <c:v>27</c:v>
                </c:pt>
                <c:pt idx="571">
                  <c:v>35.64</c:v>
                </c:pt>
                <c:pt idx="572">
                  <c:v>5.97</c:v>
                </c:pt>
                <c:pt idx="573">
                  <c:v>67.5</c:v>
                </c:pt>
                <c:pt idx="574">
                  <c:v>21.509999999999998</c:v>
                </c:pt>
                <c:pt idx="575">
                  <c:v>66.929999999999993</c:v>
                </c:pt>
                <c:pt idx="576">
                  <c:v>17.91</c:v>
                </c:pt>
                <c:pt idx="577">
                  <c:v>58.2</c:v>
                </c:pt>
                <c:pt idx="578">
                  <c:v>13.365</c:v>
                </c:pt>
                <c:pt idx="579">
                  <c:v>33.75</c:v>
                </c:pt>
                <c:pt idx="580">
                  <c:v>44.55</c:v>
                </c:pt>
                <c:pt idx="581">
                  <c:v>44.55</c:v>
                </c:pt>
                <c:pt idx="582">
                  <c:v>60.75</c:v>
                </c:pt>
                <c:pt idx="583">
                  <c:v>3.5849999999999995</c:v>
                </c:pt>
                <c:pt idx="584">
                  <c:v>21.509999999999998</c:v>
                </c:pt>
                <c:pt idx="585">
                  <c:v>16.5</c:v>
                </c:pt>
                <c:pt idx="586">
                  <c:v>82.454999999999984</c:v>
                </c:pt>
                <c:pt idx="587">
                  <c:v>7.77</c:v>
                </c:pt>
                <c:pt idx="588">
                  <c:v>11.94</c:v>
                </c:pt>
                <c:pt idx="589">
                  <c:v>204.92999999999995</c:v>
                </c:pt>
                <c:pt idx="590">
                  <c:v>63.249999999999993</c:v>
                </c:pt>
                <c:pt idx="591">
                  <c:v>8.0549999999999997</c:v>
                </c:pt>
                <c:pt idx="592">
                  <c:v>51.749999999999993</c:v>
                </c:pt>
                <c:pt idx="593">
                  <c:v>27.945</c:v>
                </c:pt>
                <c:pt idx="594">
                  <c:v>59.569999999999993</c:v>
                </c:pt>
                <c:pt idx="595">
                  <c:v>14.85</c:v>
                </c:pt>
                <c:pt idx="596">
                  <c:v>33.75</c:v>
                </c:pt>
                <c:pt idx="597">
                  <c:v>145.82</c:v>
                </c:pt>
                <c:pt idx="598">
                  <c:v>11.94</c:v>
                </c:pt>
                <c:pt idx="599">
                  <c:v>11.94</c:v>
                </c:pt>
                <c:pt idx="600">
                  <c:v>7.77</c:v>
                </c:pt>
                <c:pt idx="601">
                  <c:v>109.93999999999998</c:v>
                </c:pt>
                <c:pt idx="602">
                  <c:v>22.274999999999999</c:v>
                </c:pt>
                <c:pt idx="603">
                  <c:v>8.9550000000000001</c:v>
                </c:pt>
                <c:pt idx="604">
                  <c:v>119.13999999999999</c:v>
                </c:pt>
                <c:pt idx="605">
                  <c:v>148.92499999999998</c:v>
                </c:pt>
                <c:pt idx="606">
                  <c:v>109.36499999999999</c:v>
                </c:pt>
                <c:pt idx="607">
                  <c:v>3.645</c:v>
                </c:pt>
                <c:pt idx="608">
                  <c:v>55.89</c:v>
                </c:pt>
                <c:pt idx="609">
                  <c:v>26.19</c:v>
                </c:pt>
                <c:pt idx="610">
                  <c:v>39.799999999999997</c:v>
                </c:pt>
                <c:pt idx="611">
                  <c:v>68.309999999999988</c:v>
                </c:pt>
                <c:pt idx="612">
                  <c:v>13.5</c:v>
                </c:pt>
                <c:pt idx="613">
                  <c:v>5.97</c:v>
                </c:pt>
                <c:pt idx="614">
                  <c:v>29.849999999999998</c:v>
                </c:pt>
                <c:pt idx="615">
                  <c:v>72.91</c:v>
                </c:pt>
                <c:pt idx="616">
                  <c:v>126.49999999999999</c:v>
                </c:pt>
                <c:pt idx="617">
                  <c:v>33.464999999999996</c:v>
                </c:pt>
                <c:pt idx="618">
                  <c:v>72.900000000000006</c:v>
                </c:pt>
                <c:pt idx="619">
                  <c:v>15.54</c:v>
                </c:pt>
                <c:pt idx="620">
                  <c:v>20.25</c:v>
                </c:pt>
                <c:pt idx="621">
                  <c:v>77.699999999999989</c:v>
                </c:pt>
                <c:pt idx="622">
                  <c:v>133.85999999999999</c:v>
                </c:pt>
                <c:pt idx="623">
                  <c:v>12.15</c:v>
                </c:pt>
                <c:pt idx="624">
                  <c:v>63.249999999999993</c:v>
                </c:pt>
                <c:pt idx="625">
                  <c:v>35.849999999999994</c:v>
                </c:pt>
                <c:pt idx="626">
                  <c:v>77.624999999999986</c:v>
                </c:pt>
                <c:pt idx="627">
                  <c:v>63.249999999999993</c:v>
                </c:pt>
                <c:pt idx="628">
                  <c:v>26.73</c:v>
                </c:pt>
                <c:pt idx="629">
                  <c:v>31.08</c:v>
                </c:pt>
                <c:pt idx="630">
                  <c:v>2.9849999999999999</c:v>
                </c:pt>
                <c:pt idx="631">
                  <c:v>102.92499999999998</c:v>
                </c:pt>
                <c:pt idx="632">
                  <c:v>35.64</c:v>
                </c:pt>
                <c:pt idx="633">
                  <c:v>47.8</c:v>
                </c:pt>
                <c:pt idx="634">
                  <c:v>43.650000000000006</c:v>
                </c:pt>
                <c:pt idx="635">
                  <c:v>35.64</c:v>
                </c:pt>
                <c:pt idx="636">
                  <c:v>95.1</c:v>
                </c:pt>
                <c:pt idx="637">
                  <c:v>31.624999999999996</c:v>
                </c:pt>
                <c:pt idx="638">
                  <c:v>77.624999999999986</c:v>
                </c:pt>
                <c:pt idx="639">
                  <c:v>3.8849999999999998</c:v>
                </c:pt>
                <c:pt idx="640">
                  <c:v>137.42499999999998</c:v>
                </c:pt>
                <c:pt idx="641">
                  <c:v>35.849999999999994</c:v>
                </c:pt>
                <c:pt idx="642">
                  <c:v>8.25</c:v>
                </c:pt>
                <c:pt idx="643">
                  <c:v>102.46499999999997</c:v>
                </c:pt>
                <c:pt idx="644">
                  <c:v>41.169999999999995</c:v>
                </c:pt>
                <c:pt idx="645">
                  <c:v>68.655000000000001</c:v>
                </c:pt>
                <c:pt idx="646">
                  <c:v>9.9499999999999993</c:v>
                </c:pt>
                <c:pt idx="647">
                  <c:v>28.53</c:v>
                </c:pt>
                <c:pt idx="648">
                  <c:v>16.11</c:v>
                </c:pt>
                <c:pt idx="649">
                  <c:v>95.1</c:v>
                </c:pt>
                <c:pt idx="650">
                  <c:v>5.3699999999999992</c:v>
                </c:pt>
                <c:pt idx="651">
                  <c:v>47.8</c:v>
                </c:pt>
                <c:pt idx="652">
                  <c:v>63.4</c:v>
                </c:pt>
                <c:pt idx="653">
                  <c:v>103.49999999999999</c:v>
                </c:pt>
                <c:pt idx="654">
                  <c:v>68.655000000000001</c:v>
                </c:pt>
                <c:pt idx="655">
                  <c:v>45.769999999999996</c:v>
                </c:pt>
                <c:pt idx="656">
                  <c:v>51.8</c:v>
                </c:pt>
                <c:pt idx="657">
                  <c:v>13.5</c:v>
                </c:pt>
                <c:pt idx="658">
                  <c:v>24.75</c:v>
                </c:pt>
                <c:pt idx="659">
                  <c:v>45.769999999999996</c:v>
                </c:pt>
                <c:pt idx="660">
                  <c:v>53.46</c:v>
                </c:pt>
                <c:pt idx="661">
                  <c:v>20.25</c:v>
                </c:pt>
                <c:pt idx="662">
                  <c:v>148.92499999999998</c:v>
                </c:pt>
                <c:pt idx="663">
                  <c:v>67.5</c:v>
                </c:pt>
                <c:pt idx="664">
                  <c:v>72.900000000000006</c:v>
                </c:pt>
                <c:pt idx="665">
                  <c:v>7.77</c:v>
                </c:pt>
                <c:pt idx="666">
                  <c:v>91.539999999999992</c:v>
                </c:pt>
                <c:pt idx="667">
                  <c:v>59.699999999999996</c:v>
                </c:pt>
                <c:pt idx="668">
                  <c:v>137.42499999999998</c:v>
                </c:pt>
                <c:pt idx="669">
                  <c:v>66.929999999999993</c:v>
                </c:pt>
                <c:pt idx="670">
                  <c:v>13.095000000000001</c:v>
                </c:pt>
                <c:pt idx="671">
                  <c:v>59.75</c:v>
                </c:pt>
                <c:pt idx="672">
                  <c:v>43.650000000000006</c:v>
                </c:pt>
                <c:pt idx="673">
                  <c:v>82.5</c:v>
                </c:pt>
                <c:pt idx="674">
                  <c:v>178.70999999999998</c:v>
                </c:pt>
                <c:pt idx="675">
                  <c:v>119.13999999999999</c:v>
                </c:pt>
                <c:pt idx="676">
                  <c:v>47.55</c:v>
                </c:pt>
                <c:pt idx="677">
                  <c:v>43.650000000000006</c:v>
                </c:pt>
                <c:pt idx="678">
                  <c:v>178.70999999999998</c:v>
                </c:pt>
                <c:pt idx="679">
                  <c:v>27.484999999999996</c:v>
                </c:pt>
                <c:pt idx="680">
                  <c:v>56.25</c:v>
                </c:pt>
                <c:pt idx="681">
                  <c:v>9.51</c:v>
                </c:pt>
                <c:pt idx="682">
                  <c:v>8.25</c:v>
                </c:pt>
                <c:pt idx="683">
                  <c:v>46.62</c:v>
                </c:pt>
                <c:pt idx="684">
                  <c:v>71.699999999999989</c:v>
                </c:pt>
                <c:pt idx="685">
                  <c:v>72.91</c:v>
                </c:pt>
                <c:pt idx="686">
                  <c:v>8.0549999999999997</c:v>
                </c:pt>
                <c:pt idx="687">
                  <c:v>16.5</c:v>
                </c:pt>
                <c:pt idx="688">
                  <c:v>64.75</c:v>
                </c:pt>
                <c:pt idx="689">
                  <c:v>33.75</c:v>
                </c:pt>
                <c:pt idx="690">
                  <c:v>178.70999999999998</c:v>
                </c:pt>
                <c:pt idx="691">
                  <c:v>22.5</c:v>
                </c:pt>
                <c:pt idx="692">
                  <c:v>12.95</c:v>
                </c:pt>
                <c:pt idx="693">
                  <c:v>51.749999999999993</c:v>
                </c:pt>
                <c:pt idx="694">
                  <c:v>36.450000000000003</c:v>
                </c:pt>
                <c:pt idx="695">
                  <c:v>182.27499999999998</c:v>
                </c:pt>
                <c:pt idx="696">
                  <c:v>31.08</c:v>
                </c:pt>
                <c:pt idx="697">
                  <c:v>20.25</c:v>
                </c:pt>
                <c:pt idx="698">
                  <c:v>25.9</c:v>
                </c:pt>
                <c:pt idx="699">
                  <c:v>23.88</c:v>
                </c:pt>
                <c:pt idx="700">
                  <c:v>19.02</c:v>
                </c:pt>
                <c:pt idx="701">
                  <c:v>29.849999999999998</c:v>
                </c:pt>
                <c:pt idx="702">
                  <c:v>7.77</c:v>
                </c:pt>
                <c:pt idx="703">
                  <c:v>119.13999999999999</c:v>
                </c:pt>
                <c:pt idx="704">
                  <c:v>21.87</c:v>
                </c:pt>
                <c:pt idx="705">
                  <c:v>17.82</c:v>
                </c:pt>
                <c:pt idx="706">
                  <c:v>12.375</c:v>
                </c:pt>
                <c:pt idx="707">
                  <c:v>25.9</c:v>
                </c:pt>
                <c:pt idx="708">
                  <c:v>13.5</c:v>
                </c:pt>
                <c:pt idx="709">
                  <c:v>17.82</c:v>
                </c:pt>
                <c:pt idx="710">
                  <c:v>24.75</c:v>
                </c:pt>
                <c:pt idx="711">
                  <c:v>17.91</c:v>
                </c:pt>
                <c:pt idx="712">
                  <c:v>16.5</c:v>
                </c:pt>
                <c:pt idx="713">
                  <c:v>2.9849999999999999</c:v>
                </c:pt>
                <c:pt idx="714">
                  <c:v>14.58</c:v>
                </c:pt>
                <c:pt idx="715">
                  <c:v>89.1</c:v>
                </c:pt>
                <c:pt idx="716">
                  <c:v>35.849999999999994</c:v>
                </c:pt>
                <c:pt idx="717">
                  <c:v>68.655000000000001</c:v>
                </c:pt>
                <c:pt idx="718">
                  <c:v>38.849999999999994</c:v>
                </c:pt>
                <c:pt idx="719">
                  <c:v>79.25</c:v>
                </c:pt>
                <c:pt idx="720">
                  <c:v>36.450000000000003</c:v>
                </c:pt>
                <c:pt idx="721">
                  <c:v>8.9550000000000001</c:v>
                </c:pt>
                <c:pt idx="722">
                  <c:v>24.3</c:v>
                </c:pt>
                <c:pt idx="723">
                  <c:v>63.249999999999993</c:v>
                </c:pt>
                <c:pt idx="724">
                  <c:v>6.75</c:v>
                </c:pt>
                <c:pt idx="725">
                  <c:v>23.31</c:v>
                </c:pt>
                <c:pt idx="726">
                  <c:v>145.82</c:v>
                </c:pt>
                <c:pt idx="727">
                  <c:v>29.849999999999998</c:v>
                </c:pt>
                <c:pt idx="728">
                  <c:v>21.87</c:v>
                </c:pt>
                <c:pt idx="729">
                  <c:v>4.3650000000000002</c:v>
                </c:pt>
                <c:pt idx="730">
                  <c:v>36.454999999999998</c:v>
                </c:pt>
                <c:pt idx="731">
                  <c:v>15.54</c:v>
                </c:pt>
                <c:pt idx="732">
                  <c:v>8.91</c:v>
                </c:pt>
                <c:pt idx="733">
                  <c:v>100.39499999999998</c:v>
                </c:pt>
                <c:pt idx="734">
                  <c:v>13.424999999999997</c:v>
                </c:pt>
                <c:pt idx="735">
                  <c:v>21.87</c:v>
                </c:pt>
                <c:pt idx="736">
                  <c:v>25.9</c:v>
                </c:pt>
                <c:pt idx="737">
                  <c:v>56.25</c:v>
                </c:pt>
                <c:pt idx="738">
                  <c:v>10.754999999999999</c:v>
                </c:pt>
                <c:pt idx="739">
                  <c:v>18.225000000000001</c:v>
                </c:pt>
                <c:pt idx="740">
                  <c:v>28.679999999999996</c:v>
                </c:pt>
                <c:pt idx="741">
                  <c:v>8.73</c:v>
                </c:pt>
                <c:pt idx="742">
                  <c:v>58.2</c:v>
                </c:pt>
                <c:pt idx="743">
                  <c:v>17.91</c:v>
                </c:pt>
                <c:pt idx="744">
                  <c:v>17.91</c:v>
                </c:pt>
                <c:pt idx="745">
                  <c:v>14.58</c:v>
                </c:pt>
                <c:pt idx="746">
                  <c:v>33.75</c:v>
                </c:pt>
                <c:pt idx="747">
                  <c:v>34.92</c:v>
                </c:pt>
                <c:pt idx="748">
                  <c:v>14.58</c:v>
                </c:pt>
                <c:pt idx="749">
                  <c:v>5.3699999999999992</c:v>
                </c:pt>
                <c:pt idx="750">
                  <c:v>5.97</c:v>
                </c:pt>
                <c:pt idx="751">
                  <c:v>19.02</c:v>
                </c:pt>
                <c:pt idx="752">
                  <c:v>27.5</c:v>
                </c:pt>
                <c:pt idx="753">
                  <c:v>29.849999999999998</c:v>
                </c:pt>
                <c:pt idx="754">
                  <c:v>17.91</c:v>
                </c:pt>
                <c:pt idx="755">
                  <c:v>28.53</c:v>
                </c:pt>
                <c:pt idx="756">
                  <c:v>35.799999999999997</c:v>
                </c:pt>
                <c:pt idx="757">
                  <c:v>17.91</c:v>
                </c:pt>
                <c:pt idx="758">
                  <c:v>8.9499999999999993</c:v>
                </c:pt>
                <c:pt idx="759">
                  <c:v>29.784999999999997</c:v>
                </c:pt>
                <c:pt idx="760">
                  <c:v>44.55</c:v>
                </c:pt>
                <c:pt idx="761">
                  <c:v>89.1</c:v>
                </c:pt>
                <c:pt idx="762">
                  <c:v>43.650000000000006</c:v>
                </c:pt>
                <c:pt idx="763">
                  <c:v>23.31</c:v>
                </c:pt>
                <c:pt idx="764">
                  <c:v>178.70999999999998</c:v>
                </c:pt>
                <c:pt idx="765">
                  <c:v>59.699999999999996</c:v>
                </c:pt>
                <c:pt idx="766">
                  <c:v>15.54</c:v>
                </c:pt>
                <c:pt idx="767">
                  <c:v>89.35499999999999</c:v>
                </c:pt>
                <c:pt idx="768">
                  <c:v>23.9</c:v>
                </c:pt>
                <c:pt idx="769">
                  <c:v>137.31</c:v>
                </c:pt>
                <c:pt idx="770">
                  <c:v>9.9499999999999993</c:v>
                </c:pt>
                <c:pt idx="771">
                  <c:v>21.509999999999998</c:v>
                </c:pt>
                <c:pt idx="772">
                  <c:v>82.5</c:v>
                </c:pt>
                <c:pt idx="773">
                  <c:v>8.73</c:v>
                </c:pt>
                <c:pt idx="774">
                  <c:v>19.899999999999999</c:v>
                </c:pt>
                <c:pt idx="775">
                  <c:v>17.82</c:v>
                </c:pt>
                <c:pt idx="776">
                  <c:v>20.25</c:v>
                </c:pt>
                <c:pt idx="777">
                  <c:v>59.569999999999993</c:v>
                </c:pt>
                <c:pt idx="778">
                  <c:v>19.02</c:v>
                </c:pt>
                <c:pt idx="779">
                  <c:v>77.699999999999989</c:v>
                </c:pt>
                <c:pt idx="780">
                  <c:v>41.25</c:v>
                </c:pt>
                <c:pt idx="781">
                  <c:v>145.82</c:v>
                </c:pt>
                <c:pt idx="782">
                  <c:v>26.73</c:v>
                </c:pt>
                <c:pt idx="783">
                  <c:v>43.650000000000006</c:v>
                </c:pt>
                <c:pt idx="784">
                  <c:v>31.7</c:v>
                </c:pt>
                <c:pt idx="785">
                  <c:v>22.884999999999998</c:v>
                </c:pt>
                <c:pt idx="786">
                  <c:v>27.945</c:v>
                </c:pt>
                <c:pt idx="787">
                  <c:v>82.5</c:v>
                </c:pt>
                <c:pt idx="788">
                  <c:v>45.769999999999996</c:v>
                </c:pt>
                <c:pt idx="789">
                  <c:v>77.699999999999989</c:v>
                </c:pt>
                <c:pt idx="790">
                  <c:v>23.31</c:v>
                </c:pt>
                <c:pt idx="791">
                  <c:v>23.774999999999999</c:v>
                </c:pt>
                <c:pt idx="792">
                  <c:v>52.38</c:v>
                </c:pt>
                <c:pt idx="793">
                  <c:v>17.924999999999997</c:v>
                </c:pt>
                <c:pt idx="794">
                  <c:v>148.92499999999998</c:v>
                </c:pt>
                <c:pt idx="795">
                  <c:v>28.679999999999996</c:v>
                </c:pt>
                <c:pt idx="796">
                  <c:v>9.51</c:v>
                </c:pt>
                <c:pt idx="797">
                  <c:v>31.08</c:v>
                </c:pt>
                <c:pt idx="798">
                  <c:v>8.0549999999999997</c:v>
                </c:pt>
                <c:pt idx="799">
                  <c:v>36.450000000000003</c:v>
                </c:pt>
                <c:pt idx="800">
                  <c:v>16.11</c:v>
                </c:pt>
                <c:pt idx="801">
                  <c:v>41.169999999999995</c:v>
                </c:pt>
                <c:pt idx="802">
                  <c:v>10.739999999999998</c:v>
                </c:pt>
                <c:pt idx="803">
                  <c:v>126.49999999999999</c:v>
                </c:pt>
                <c:pt idx="804">
                  <c:v>23.9</c:v>
                </c:pt>
                <c:pt idx="805">
                  <c:v>5.97</c:v>
                </c:pt>
                <c:pt idx="806">
                  <c:v>7.77</c:v>
                </c:pt>
                <c:pt idx="807">
                  <c:v>23.31</c:v>
                </c:pt>
                <c:pt idx="808">
                  <c:v>137.42499999999998</c:v>
                </c:pt>
                <c:pt idx="809">
                  <c:v>8.0549999999999997</c:v>
                </c:pt>
                <c:pt idx="810">
                  <c:v>28.53</c:v>
                </c:pt>
                <c:pt idx="811">
                  <c:v>67.5</c:v>
                </c:pt>
                <c:pt idx="812">
                  <c:v>178.70999999999998</c:v>
                </c:pt>
                <c:pt idx="813">
                  <c:v>31.624999999999996</c:v>
                </c:pt>
                <c:pt idx="814">
                  <c:v>8.91</c:v>
                </c:pt>
                <c:pt idx="815">
                  <c:v>35.82</c:v>
                </c:pt>
                <c:pt idx="816">
                  <c:v>38.04</c:v>
                </c:pt>
                <c:pt idx="817">
                  <c:v>15.54</c:v>
                </c:pt>
                <c:pt idx="818">
                  <c:v>79.25</c:v>
                </c:pt>
                <c:pt idx="819">
                  <c:v>4.7549999999999999</c:v>
                </c:pt>
                <c:pt idx="820">
                  <c:v>55</c:v>
                </c:pt>
                <c:pt idx="821">
                  <c:v>26.849999999999994</c:v>
                </c:pt>
                <c:pt idx="822">
                  <c:v>136.61999999999998</c:v>
                </c:pt>
                <c:pt idx="823">
                  <c:v>47.55</c:v>
                </c:pt>
                <c:pt idx="824">
                  <c:v>16.875</c:v>
                </c:pt>
                <c:pt idx="825">
                  <c:v>29.849999999999998</c:v>
                </c:pt>
                <c:pt idx="826">
                  <c:v>41.25</c:v>
                </c:pt>
                <c:pt idx="827">
                  <c:v>20.625</c:v>
                </c:pt>
                <c:pt idx="828">
                  <c:v>137.31</c:v>
                </c:pt>
                <c:pt idx="829">
                  <c:v>2.9849999999999999</c:v>
                </c:pt>
                <c:pt idx="830">
                  <c:v>27.5</c:v>
                </c:pt>
                <c:pt idx="831">
                  <c:v>5.97</c:v>
                </c:pt>
                <c:pt idx="832">
                  <c:v>59.699999999999996</c:v>
                </c:pt>
                <c:pt idx="833">
                  <c:v>82.339999999999989</c:v>
                </c:pt>
                <c:pt idx="834">
                  <c:v>22.884999999999998</c:v>
                </c:pt>
                <c:pt idx="835">
                  <c:v>8.91</c:v>
                </c:pt>
                <c:pt idx="836">
                  <c:v>11.94</c:v>
                </c:pt>
                <c:pt idx="837">
                  <c:v>100.39499999999998</c:v>
                </c:pt>
                <c:pt idx="838">
                  <c:v>114.42499999999998</c:v>
                </c:pt>
                <c:pt idx="839">
                  <c:v>41.25</c:v>
                </c:pt>
                <c:pt idx="840">
                  <c:v>28.679999999999996</c:v>
                </c:pt>
                <c:pt idx="841">
                  <c:v>4.3650000000000002</c:v>
                </c:pt>
                <c:pt idx="842">
                  <c:v>8.25</c:v>
                </c:pt>
                <c:pt idx="843">
                  <c:v>8.25</c:v>
                </c:pt>
                <c:pt idx="844">
                  <c:v>35.82</c:v>
                </c:pt>
                <c:pt idx="845">
                  <c:v>167.67000000000002</c:v>
                </c:pt>
                <c:pt idx="846">
                  <c:v>51.749999999999993</c:v>
                </c:pt>
                <c:pt idx="847">
                  <c:v>8.9550000000000001</c:v>
                </c:pt>
                <c:pt idx="848">
                  <c:v>53.46</c:v>
                </c:pt>
                <c:pt idx="849">
                  <c:v>23.31</c:v>
                </c:pt>
                <c:pt idx="850">
                  <c:v>6.75</c:v>
                </c:pt>
                <c:pt idx="851">
                  <c:v>7.77</c:v>
                </c:pt>
                <c:pt idx="852">
                  <c:v>119.13999999999999</c:v>
                </c:pt>
                <c:pt idx="853">
                  <c:v>19.899999999999999</c:v>
                </c:pt>
                <c:pt idx="854">
                  <c:v>35.849999999999994</c:v>
                </c:pt>
                <c:pt idx="855">
                  <c:v>89.35499999999999</c:v>
                </c:pt>
                <c:pt idx="856">
                  <c:v>8.73</c:v>
                </c:pt>
                <c:pt idx="857">
                  <c:v>137.42499999999998</c:v>
                </c:pt>
                <c:pt idx="858">
                  <c:v>34.92</c:v>
                </c:pt>
                <c:pt idx="859">
                  <c:v>178.70999999999998</c:v>
                </c:pt>
                <c:pt idx="860">
                  <c:v>25.874999999999996</c:v>
                </c:pt>
                <c:pt idx="861">
                  <c:v>77.699999999999989</c:v>
                </c:pt>
                <c:pt idx="862">
                  <c:v>9.9499999999999993</c:v>
                </c:pt>
                <c:pt idx="863">
                  <c:v>29.1</c:v>
                </c:pt>
                <c:pt idx="864">
                  <c:v>21.509999999999998</c:v>
                </c:pt>
                <c:pt idx="865">
                  <c:v>6.75</c:v>
                </c:pt>
                <c:pt idx="866">
                  <c:v>17.91</c:v>
                </c:pt>
                <c:pt idx="867">
                  <c:v>29.784999999999997</c:v>
                </c:pt>
                <c:pt idx="868">
                  <c:v>41.25</c:v>
                </c:pt>
                <c:pt idx="869">
                  <c:v>17.91</c:v>
                </c:pt>
                <c:pt idx="870">
                  <c:v>7.29</c:v>
                </c:pt>
                <c:pt idx="871">
                  <c:v>29.7</c:v>
                </c:pt>
                <c:pt idx="872">
                  <c:v>22.5</c:v>
                </c:pt>
                <c:pt idx="873">
                  <c:v>11.94</c:v>
                </c:pt>
                <c:pt idx="874">
                  <c:v>25.9</c:v>
                </c:pt>
                <c:pt idx="875">
                  <c:v>43.650000000000006</c:v>
                </c:pt>
                <c:pt idx="876">
                  <c:v>46.62</c:v>
                </c:pt>
                <c:pt idx="877">
                  <c:v>28.53</c:v>
                </c:pt>
                <c:pt idx="878">
                  <c:v>27.484999999999996</c:v>
                </c:pt>
                <c:pt idx="879">
                  <c:v>10.935</c:v>
                </c:pt>
                <c:pt idx="880">
                  <c:v>7.169999999999999</c:v>
                </c:pt>
                <c:pt idx="881">
                  <c:v>23.31</c:v>
                </c:pt>
                <c:pt idx="882">
                  <c:v>114.42499999999998</c:v>
                </c:pt>
                <c:pt idx="883">
                  <c:v>77.624999999999986</c:v>
                </c:pt>
                <c:pt idx="884">
                  <c:v>5.3699999999999992</c:v>
                </c:pt>
                <c:pt idx="885">
                  <c:v>123.50999999999999</c:v>
                </c:pt>
                <c:pt idx="886">
                  <c:v>17.46</c:v>
                </c:pt>
                <c:pt idx="887">
                  <c:v>13.365</c:v>
                </c:pt>
                <c:pt idx="888">
                  <c:v>7.77</c:v>
                </c:pt>
                <c:pt idx="889">
                  <c:v>2.6849999999999996</c:v>
                </c:pt>
                <c:pt idx="890">
                  <c:v>20.584999999999997</c:v>
                </c:pt>
                <c:pt idx="891">
                  <c:v>114.42499999999998</c:v>
                </c:pt>
                <c:pt idx="892">
                  <c:v>20.625</c:v>
                </c:pt>
                <c:pt idx="893">
                  <c:v>57.06</c:v>
                </c:pt>
                <c:pt idx="894">
                  <c:v>82.339999999999989</c:v>
                </c:pt>
                <c:pt idx="895">
                  <c:v>158.12499999999997</c:v>
                </c:pt>
                <c:pt idx="896">
                  <c:v>32.22</c:v>
                </c:pt>
                <c:pt idx="897">
                  <c:v>24.3</c:v>
                </c:pt>
                <c:pt idx="898">
                  <c:v>35.849999999999994</c:v>
                </c:pt>
                <c:pt idx="899">
                  <c:v>72.75</c:v>
                </c:pt>
                <c:pt idx="900">
                  <c:v>47.55</c:v>
                </c:pt>
                <c:pt idx="901">
                  <c:v>3.5849999999999995</c:v>
                </c:pt>
                <c:pt idx="902">
                  <c:v>158.12499999999997</c:v>
                </c:pt>
                <c:pt idx="903">
                  <c:v>17.46</c:v>
                </c:pt>
                <c:pt idx="904">
                  <c:v>148.92499999999998</c:v>
                </c:pt>
                <c:pt idx="905">
                  <c:v>40.5</c:v>
                </c:pt>
                <c:pt idx="906">
                  <c:v>27</c:v>
                </c:pt>
                <c:pt idx="907">
                  <c:v>38.849999999999994</c:v>
                </c:pt>
                <c:pt idx="908">
                  <c:v>59.75</c:v>
                </c:pt>
                <c:pt idx="909">
                  <c:v>10.754999999999999</c:v>
                </c:pt>
                <c:pt idx="910">
                  <c:v>91.539999999999992</c:v>
                </c:pt>
                <c:pt idx="911">
                  <c:v>45</c:v>
                </c:pt>
                <c:pt idx="912">
                  <c:v>137.31</c:v>
                </c:pt>
                <c:pt idx="913">
                  <c:v>6.75</c:v>
                </c:pt>
                <c:pt idx="914">
                  <c:v>45</c:v>
                </c:pt>
                <c:pt idx="915">
                  <c:v>83.835000000000008</c:v>
                </c:pt>
                <c:pt idx="916">
                  <c:v>3.645</c:v>
                </c:pt>
                <c:pt idx="917">
                  <c:v>6.75</c:v>
                </c:pt>
                <c:pt idx="918">
                  <c:v>21.87</c:v>
                </c:pt>
                <c:pt idx="919">
                  <c:v>13.424999999999997</c:v>
                </c:pt>
                <c:pt idx="920">
                  <c:v>123.50999999999999</c:v>
                </c:pt>
                <c:pt idx="921">
                  <c:v>7.77</c:v>
                </c:pt>
                <c:pt idx="922">
                  <c:v>67.5</c:v>
                </c:pt>
                <c:pt idx="923">
                  <c:v>27.945</c:v>
                </c:pt>
                <c:pt idx="924">
                  <c:v>89.35499999999999</c:v>
                </c:pt>
                <c:pt idx="925">
                  <c:v>20.25</c:v>
                </c:pt>
                <c:pt idx="926">
                  <c:v>33.75</c:v>
                </c:pt>
                <c:pt idx="927">
                  <c:v>111.78</c:v>
                </c:pt>
                <c:pt idx="928">
                  <c:v>63.249999999999993</c:v>
                </c:pt>
                <c:pt idx="929">
                  <c:v>8.91</c:v>
                </c:pt>
                <c:pt idx="930">
                  <c:v>12.15</c:v>
                </c:pt>
                <c:pt idx="931">
                  <c:v>23.88</c:v>
                </c:pt>
                <c:pt idx="932">
                  <c:v>55</c:v>
                </c:pt>
                <c:pt idx="933">
                  <c:v>26.849999999999998</c:v>
                </c:pt>
                <c:pt idx="934">
                  <c:v>114.42499999999998</c:v>
                </c:pt>
                <c:pt idx="935">
                  <c:v>155.24999999999997</c:v>
                </c:pt>
                <c:pt idx="936">
                  <c:v>23.31</c:v>
                </c:pt>
                <c:pt idx="937">
                  <c:v>91.539999999999992</c:v>
                </c:pt>
                <c:pt idx="938">
                  <c:v>74.25</c:v>
                </c:pt>
                <c:pt idx="939">
                  <c:v>28.53</c:v>
                </c:pt>
                <c:pt idx="940">
                  <c:v>14.339999999999998</c:v>
                </c:pt>
                <c:pt idx="941">
                  <c:v>15.54</c:v>
                </c:pt>
                <c:pt idx="942">
                  <c:v>35.849999999999994</c:v>
                </c:pt>
                <c:pt idx="943">
                  <c:v>46.62</c:v>
                </c:pt>
                <c:pt idx="944">
                  <c:v>35.849999999999994</c:v>
                </c:pt>
                <c:pt idx="945">
                  <c:v>119.13999999999999</c:v>
                </c:pt>
                <c:pt idx="946">
                  <c:v>23.31</c:v>
                </c:pt>
                <c:pt idx="947">
                  <c:v>11.25</c:v>
                </c:pt>
                <c:pt idx="948">
                  <c:v>83.835000000000008</c:v>
                </c:pt>
                <c:pt idx="949">
                  <c:v>109.93999999999998</c:v>
                </c:pt>
                <c:pt idx="950">
                  <c:v>14.339999999999998</c:v>
                </c:pt>
                <c:pt idx="951">
                  <c:v>21.509999999999998</c:v>
                </c:pt>
                <c:pt idx="952">
                  <c:v>22.5</c:v>
                </c:pt>
                <c:pt idx="953">
                  <c:v>3.8849999999999998</c:v>
                </c:pt>
                <c:pt idx="954">
                  <c:v>27.945</c:v>
                </c:pt>
                <c:pt idx="955">
                  <c:v>170.77499999999998</c:v>
                </c:pt>
                <c:pt idx="956">
                  <c:v>54.969999999999992</c:v>
                </c:pt>
                <c:pt idx="957">
                  <c:v>14.85</c:v>
                </c:pt>
                <c:pt idx="958">
                  <c:v>7.77</c:v>
                </c:pt>
                <c:pt idx="959">
                  <c:v>23.774999999999999</c:v>
                </c:pt>
                <c:pt idx="960">
                  <c:v>79.25</c:v>
                </c:pt>
                <c:pt idx="961">
                  <c:v>45.769999999999996</c:v>
                </c:pt>
                <c:pt idx="962">
                  <c:v>8.9499999999999993</c:v>
                </c:pt>
                <c:pt idx="963">
                  <c:v>23.88</c:v>
                </c:pt>
                <c:pt idx="964">
                  <c:v>22.274999999999999</c:v>
                </c:pt>
                <c:pt idx="965">
                  <c:v>29.849999999999998</c:v>
                </c:pt>
                <c:pt idx="966">
                  <c:v>53.46</c:v>
                </c:pt>
                <c:pt idx="967">
                  <c:v>2.6849999999999996</c:v>
                </c:pt>
                <c:pt idx="968">
                  <c:v>5.97</c:v>
                </c:pt>
                <c:pt idx="969">
                  <c:v>12.95</c:v>
                </c:pt>
                <c:pt idx="970">
                  <c:v>8.25</c:v>
                </c:pt>
                <c:pt idx="971">
                  <c:v>148.92499999999998</c:v>
                </c:pt>
                <c:pt idx="972">
                  <c:v>89.35499999999999</c:v>
                </c:pt>
                <c:pt idx="973">
                  <c:v>87.300000000000011</c:v>
                </c:pt>
                <c:pt idx="974">
                  <c:v>5.3699999999999992</c:v>
                </c:pt>
                <c:pt idx="975">
                  <c:v>8.9550000000000001</c:v>
                </c:pt>
                <c:pt idx="976">
                  <c:v>137.42499999999998</c:v>
                </c:pt>
                <c:pt idx="977">
                  <c:v>59.75</c:v>
                </c:pt>
                <c:pt idx="978">
                  <c:v>23.31</c:v>
                </c:pt>
                <c:pt idx="979">
                  <c:v>10.739999999999998</c:v>
                </c:pt>
                <c:pt idx="980">
                  <c:v>167.67000000000002</c:v>
                </c:pt>
                <c:pt idx="981">
                  <c:v>21.87</c:v>
                </c:pt>
                <c:pt idx="982">
                  <c:v>23.9</c:v>
                </c:pt>
                <c:pt idx="983">
                  <c:v>6.75</c:v>
                </c:pt>
                <c:pt idx="984">
                  <c:v>31.624999999999996</c:v>
                </c:pt>
                <c:pt idx="985">
                  <c:v>47.8</c:v>
                </c:pt>
                <c:pt idx="986">
                  <c:v>33.464999999999996</c:v>
                </c:pt>
                <c:pt idx="987">
                  <c:v>29.849999999999998</c:v>
                </c:pt>
                <c:pt idx="988">
                  <c:v>29.849999999999998</c:v>
                </c:pt>
                <c:pt idx="989">
                  <c:v>155.24999999999997</c:v>
                </c:pt>
                <c:pt idx="990">
                  <c:v>18.225000000000001</c:v>
                </c:pt>
                <c:pt idx="991">
                  <c:v>15.54</c:v>
                </c:pt>
                <c:pt idx="992">
                  <c:v>109.36499999999999</c:v>
                </c:pt>
                <c:pt idx="993">
                  <c:v>77.699999999999989</c:v>
                </c:pt>
                <c:pt idx="994">
                  <c:v>8.9550000000000001</c:v>
                </c:pt>
                <c:pt idx="995">
                  <c:v>27.484999999999996</c:v>
                </c:pt>
                <c:pt idx="996">
                  <c:v>29.849999999999998</c:v>
                </c:pt>
                <c:pt idx="997">
                  <c:v>27</c:v>
                </c:pt>
                <c:pt idx="998">
                  <c:v>9.9499999999999993</c:v>
                </c:pt>
                <c:pt idx="999">
                  <c:v>12.375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75712"/>
        <c:axId val="169873792"/>
      </c:scatterChart>
      <c:valAx>
        <c:axId val="169875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873792"/>
        <c:crosses val="autoZero"/>
        <c:crossBetween val="midCat"/>
      </c:valAx>
      <c:valAx>
        <c:axId val="169873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987571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- Raw Data.xlsx]Sheet7!PivotTable4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Sheet7!$A$4:$A$48</c:f>
              <c:strCache>
                <c:ptCount val="44"/>
                <c:pt idx="0">
                  <c:v>Apr 2019</c:v>
                </c:pt>
                <c:pt idx="1">
                  <c:v>Apr 2020</c:v>
                </c:pt>
                <c:pt idx="2">
                  <c:v>Apr 2021</c:v>
                </c:pt>
                <c:pt idx="3">
                  <c:v>Apr 2022</c:v>
                </c:pt>
                <c:pt idx="4">
                  <c:v>Aug 2019</c:v>
                </c:pt>
                <c:pt idx="5">
                  <c:v>Aug 2020</c:v>
                </c:pt>
                <c:pt idx="6">
                  <c:v>Aug 2021</c:v>
                </c:pt>
                <c:pt idx="7">
                  <c:v>Aug 2022</c:v>
                </c:pt>
                <c:pt idx="8">
                  <c:v>Dec 2019</c:v>
                </c:pt>
                <c:pt idx="9">
                  <c:v>Dec 2020</c:v>
                </c:pt>
                <c:pt idx="10">
                  <c:v>Dec 2021</c:v>
                </c:pt>
                <c:pt idx="11">
                  <c:v>Feb 2019</c:v>
                </c:pt>
                <c:pt idx="12">
                  <c:v>Feb 2020</c:v>
                </c:pt>
                <c:pt idx="13">
                  <c:v>Feb 2021</c:v>
                </c:pt>
                <c:pt idx="14">
                  <c:v>Feb 2022</c:v>
                </c:pt>
                <c:pt idx="15">
                  <c:v>Jan 2019</c:v>
                </c:pt>
                <c:pt idx="16">
                  <c:v>Jan 2020</c:v>
                </c:pt>
                <c:pt idx="17">
                  <c:v>Jan 2021</c:v>
                </c:pt>
                <c:pt idx="18">
                  <c:v>Jan 2022</c:v>
                </c:pt>
                <c:pt idx="19">
                  <c:v>Jul 2019</c:v>
                </c:pt>
                <c:pt idx="20">
                  <c:v>Jul 2020</c:v>
                </c:pt>
                <c:pt idx="21">
                  <c:v>Jul 2021</c:v>
                </c:pt>
                <c:pt idx="22">
                  <c:v>Jul 2022</c:v>
                </c:pt>
                <c:pt idx="23">
                  <c:v>Jun 2019</c:v>
                </c:pt>
                <c:pt idx="24">
                  <c:v>Jun 2020</c:v>
                </c:pt>
                <c:pt idx="25">
                  <c:v>Jun 2021</c:v>
                </c:pt>
                <c:pt idx="26">
                  <c:v>Jun 2022</c:v>
                </c:pt>
                <c:pt idx="27">
                  <c:v>Mar 2019</c:v>
                </c:pt>
                <c:pt idx="28">
                  <c:v>Mar 2020</c:v>
                </c:pt>
                <c:pt idx="29">
                  <c:v>Mar 2021</c:v>
                </c:pt>
                <c:pt idx="30">
                  <c:v>Mar 2022</c:v>
                </c:pt>
                <c:pt idx="31">
                  <c:v>May 2019</c:v>
                </c:pt>
                <c:pt idx="32">
                  <c:v>May 2020</c:v>
                </c:pt>
                <c:pt idx="33">
                  <c:v>May 2021</c:v>
                </c:pt>
                <c:pt idx="34">
                  <c:v>May 2022</c:v>
                </c:pt>
                <c:pt idx="35">
                  <c:v>Nov 2019</c:v>
                </c:pt>
                <c:pt idx="36">
                  <c:v>Nov 2020</c:v>
                </c:pt>
                <c:pt idx="37">
                  <c:v>Nov 2021</c:v>
                </c:pt>
                <c:pt idx="38">
                  <c:v>Oct 2019</c:v>
                </c:pt>
                <c:pt idx="39">
                  <c:v>Oct 2020</c:v>
                </c:pt>
                <c:pt idx="40">
                  <c:v>Oct 2021</c:v>
                </c:pt>
                <c:pt idx="41">
                  <c:v>Sep 2019</c:v>
                </c:pt>
                <c:pt idx="42">
                  <c:v>Sep 2020</c:v>
                </c:pt>
                <c:pt idx="43">
                  <c:v>Sep 2021</c:v>
                </c:pt>
              </c:strCache>
            </c:strRef>
          </c:cat>
          <c:val>
            <c:numRef>
              <c:f>Sheet7!$B$4:$B$48</c:f>
              <c:numCache>
                <c:formatCode>General</c:formatCode>
                <c:ptCount val="44"/>
                <c:pt idx="0">
                  <c:v>1680.7499999999998</c:v>
                </c:pt>
                <c:pt idx="1">
                  <c:v>761.80999999999983</c:v>
                </c:pt>
                <c:pt idx="2">
                  <c:v>1005.5849999999998</c:v>
                </c:pt>
                <c:pt idx="3">
                  <c:v>776.44999999999993</c:v>
                </c:pt>
                <c:pt idx="4">
                  <c:v>706.34500000000003</c:v>
                </c:pt>
                <c:pt idx="5">
                  <c:v>300.39999999999998</c:v>
                </c:pt>
                <c:pt idx="6">
                  <c:v>1075.9100000000001</c:v>
                </c:pt>
                <c:pt idx="7">
                  <c:v>244.24499999999998</c:v>
                </c:pt>
                <c:pt idx="8">
                  <c:v>1189.7849999999999</c:v>
                </c:pt>
                <c:pt idx="9">
                  <c:v>751.89499999999975</c:v>
                </c:pt>
                <c:pt idx="10">
                  <c:v>1147.98</c:v>
                </c:pt>
                <c:pt idx="11">
                  <c:v>987.40499999999997</c:v>
                </c:pt>
                <c:pt idx="12">
                  <c:v>1798.3399999999997</c:v>
                </c:pt>
                <c:pt idx="13">
                  <c:v>958.82999999999981</c:v>
                </c:pt>
                <c:pt idx="14">
                  <c:v>393.63</c:v>
                </c:pt>
                <c:pt idx="15">
                  <c:v>828.9849999999999</c:v>
                </c:pt>
                <c:pt idx="16">
                  <c:v>566.94999999999993</c:v>
                </c:pt>
                <c:pt idx="17">
                  <c:v>837.68499999999995</c:v>
                </c:pt>
                <c:pt idx="18">
                  <c:v>1269.4149999999995</c:v>
                </c:pt>
                <c:pt idx="19">
                  <c:v>1004.135</c:v>
                </c:pt>
                <c:pt idx="20">
                  <c:v>1308.9449999999999</c:v>
                </c:pt>
                <c:pt idx="21">
                  <c:v>763.1049999999999</c:v>
                </c:pt>
                <c:pt idx="22">
                  <c:v>906.73</c:v>
                </c:pt>
                <c:pt idx="23">
                  <c:v>1384.6799999999998</c:v>
                </c:pt>
                <c:pt idx="24">
                  <c:v>1438.4399999999998</c:v>
                </c:pt>
                <c:pt idx="25">
                  <c:v>864.52999999999986</c:v>
                </c:pt>
                <c:pt idx="26">
                  <c:v>1155.3899999999996</c:v>
                </c:pt>
                <c:pt idx="27">
                  <c:v>1021.1399999999998</c:v>
                </c:pt>
                <c:pt idx="28">
                  <c:v>914.78999999999985</c:v>
                </c:pt>
                <c:pt idx="29">
                  <c:v>1544.64</c:v>
                </c:pt>
                <c:pt idx="30">
                  <c:v>1315.2049999999999</c:v>
                </c:pt>
                <c:pt idx="31">
                  <c:v>398.565</c:v>
                </c:pt>
                <c:pt idx="32">
                  <c:v>939.35500000000013</c:v>
                </c:pt>
                <c:pt idx="33">
                  <c:v>907.69</c:v>
                </c:pt>
                <c:pt idx="34">
                  <c:v>1002.37</c:v>
                </c:pt>
                <c:pt idx="35">
                  <c:v>823.38499999999988</c:v>
                </c:pt>
                <c:pt idx="36">
                  <c:v>1108.865</c:v>
                </c:pt>
                <c:pt idx="37">
                  <c:v>1616.1799999999998</c:v>
                </c:pt>
                <c:pt idx="38">
                  <c:v>884.96999999999991</c:v>
                </c:pt>
                <c:pt idx="39">
                  <c:v>1514.7049999999999</c:v>
                </c:pt>
                <c:pt idx="40">
                  <c:v>1400.3999999999996</c:v>
                </c:pt>
                <c:pt idx="41">
                  <c:v>1277.0199999999998</c:v>
                </c:pt>
                <c:pt idx="42">
                  <c:v>713.05</c:v>
                </c:pt>
                <c:pt idx="43">
                  <c:v>1643.5749999999998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294592"/>
        <c:axId val="221296128"/>
      </c:barChart>
      <c:catAx>
        <c:axId val="221294592"/>
        <c:scaling>
          <c:orientation val="minMax"/>
        </c:scaling>
        <c:delete val="0"/>
        <c:axPos val="b"/>
        <c:majorTickMark val="out"/>
        <c:minorTickMark val="none"/>
        <c:tickLblPos val="nextTo"/>
        <c:crossAx val="221296128"/>
        <c:crosses val="autoZero"/>
        <c:auto val="1"/>
        <c:lblAlgn val="ctr"/>
        <c:lblOffset val="100"/>
        <c:noMultiLvlLbl val="0"/>
      </c:catAx>
      <c:valAx>
        <c:axId val="221296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294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- Raw Data.xlsx]Sheet7 (2)!PivotTable4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'Sheet7 (2)'!$B$1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'Sheet7 (2)'!$A$2:$A$6</c:f>
              <c:strCache>
                <c:ptCount val="4"/>
                <c:pt idx="0">
                  <c:v>Ara</c:v>
                </c:pt>
                <c:pt idx="1">
                  <c:v>Exc</c:v>
                </c:pt>
                <c:pt idx="2">
                  <c:v>Lib</c:v>
                </c:pt>
                <c:pt idx="3">
                  <c:v>Rob</c:v>
                </c:pt>
              </c:strCache>
            </c:strRef>
          </c:cat>
          <c:val>
            <c:numRef>
              <c:f>'Sheet7 (2)'!$B$2:$B$6</c:f>
              <c:numCache>
                <c:formatCode>General</c:formatCode>
                <c:ptCount val="4"/>
                <c:pt idx="0">
                  <c:v>11768.494999999997</c:v>
                </c:pt>
                <c:pt idx="1">
                  <c:v>12306.439999999995</c:v>
                </c:pt>
                <c:pt idx="2">
                  <c:v>12054.074999999995</c:v>
                </c:pt>
                <c:pt idx="3">
                  <c:v>9005.2450000000099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836864"/>
        <c:axId val="226838400"/>
      </c:barChart>
      <c:catAx>
        <c:axId val="226836864"/>
        <c:scaling>
          <c:orientation val="minMax"/>
        </c:scaling>
        <c:delete val="0"/>
        <c:axPos val="b"/>
        <c:majorTickMark val="out"/>
        <c:minorTickMark val="none"/>
        <c:tickLblPos val="nextTo"/>
        <c:crossAx val="226838400"/>
        <c:crosses val="autoZero"/>
        <c:auto val="1"/>
        <c:lblAlgn val="ctr"/>
        <c:lblOffset val="100"/>
        <c:noMultiLvlLbl val="0"/>
      </c:catAx>
      <c:valAx>
        <c:axId val="226838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836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- Raw Data.xlsx]Sheet7 (3)!PivotTable4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'Sheet7 (3)'!$B$1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'Sheet7 (3)'!$A$2:$A$5</c:f>
              <c:strCache>
                <c:ptCount val="3"/>
                <c:pt idx="0">
                  <c:v>D</c:v>
                </c:pt>
                <c:pt idx="1">
                  <c:v>L</c:v>
                </c:pt>
                <c:pt idx="2">
                  <c:v>M</c:v>
                </c:pt>
              </c:strCache>
            </c:strRef>
          </c:cat>
          <c:val>
            <c:numRef>
              <c:f>'Sheet7 (3)'!$B$2:$B$5</c:f>
              <c:numCache>
                <c:formatCode>General</c:formatCode>
                <c:ptCount val="3"/>
                <c:pt idx="0">
                  <c:v>13179.315000000013</c:v>
                </c:pt>
                <c:pt idx="1">
                  <c:v>17354.464999999993</c:v>
                </c:pt>
                <c:pt idx="2">
                  <c:v>14600.474999999995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510784"/>
        <c:axId val="231512320"/>
      </c:barChart>
      <c:catAx>
        <c:axId val="231510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31512320"/>
        <c:crosses val="autoZero"/>
        <c:auto val="1"/>
        <c:lblAlgn val="ctr"/>
        <c:lblOffset val="100"/>
        <c:noMultiLvlLbl val="0"/>
      </c:catAx>
      <c:valAx>
        <c:axId val="231512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510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- Raw Data.xlsx]Sheet7 (4)!PivotTable4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'Sheet7 (4)'!$B$1:$B$2</c:f>
              <c:strCache>
                <c:ptCount val="1"/>
                <c:pt idx="0">
                  <c:v>0.2</c:v>
                </c:pt>
              </c:strCache>
            </c:strRef>
          </c:tx>
          <c:invertIfNegative val="0"/>
          <c:cat>
            <c:strRef>
              <c:f>'Sheet7 (4)'!$A$3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'Sheet7 (4)'!$B$3</c:f>
              <c:numCache>
                <c:formatCode>General</c:formatCode>
                <c:ptCount val="1"/>
                <c:pt idx="0">
                  <c:v>3307.9499999999994</c:v>
                </c:pt>
              </c:numCache>
            </c:numRef>
          </c:val>
        </c:ser>
        <c:ser>
          <c:idx val="1"/>
          <c:order val="1"/>
          <c:tx>
            <c:strRef>
              <c:f>'Sheet7 (4)'!$C$1:$C$2</c:f>
              <c:strCache>
                <c:ptCount val="1"/>
                <c:pt idx="0">
                  <c:v>0.5</c:v>
                </c:pt>
              </c:strCache>
            </c:strRef>
          </c:tx>
          <c:invertIfNegative val="0"/>
          <c:cat>
            <c:strRef>
              <c:f>'Sheet7 (4)'!$A$3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'Sheet7 (4)'!$C$3</c:f>
              <c:numCache>
                <c:formatCode>General</c:formatCode>
                <c:ptCount val="1"/>
                <c:pt idx="0">
                  <c:v>7029.9900000000043</c:v>
                </c:pt>
              </c:numCache>
            </c:numRef>
          </c:val>
        </c:ser>
        <c:ser>
          <c:idx val="2"/>
          <c:order val="2"/>
          <c:tx>
            <c:strRef>
              <c:f>'Sheet7 (4)'!$D$1:$D$2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'Sheet7 (4)'!$A$3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'Sheet7 (4)'!$D$3</c:f>
              <c:numCache>
                <c:formatCode>General</c:formatCode>
                <c:ptCount val="1"/>
                <c:pt idx="0">
                  <c:v>11010.750000000005</c:v>
                </c:pt>
              </c:numCache>
            </c:numRef>
          </c:val>
        </c:ser>
        <c:ser>
          <c:idx val="3"/>
          <c:order val="3"/>
          <c:tx>
            <c:strRef>
              <c:f>'Sheet7 (4)'!$E$1:$E$2</c:f>
              <c:strCache>
                <c:ptCount val="1"/>
                <c:pt idx="0">
                  <c:v>2.5</c:v>
                </c:pt>
              </c:strCache>
            </c:strRef>
          </c:tx>
          <c:invertIfNegative val="0"/>
          <c:cat>
            <c:strRef>
              <c:f>'Sheet7 (4)'!$A$3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'Sheet7 (4)'!$E$3</c:f>
              <c:numCache>
                <c:formatCode>General</c:formatCode>
                <c:ptCount val="1"/>
                <c:pt idx="0">
                  <c:v>23785.56499999997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612800"/>
        <c:axId val="231614336"/>
      </c:barChart>
      <c:catAx>
        <c:axId val="231612800"/>
        <c:scaling>
          <c:orientation val="minMax"/>
        </c:scaling>
        <c:delete val="0"/>
        <c:axPos val="b"/>
        <c:majorTickMark val="out"/>
        <c:minorTickMark val="none"/>
        <c:tickLblPos val="nextTo"/>
        <c:crossAx val="231614336"/>
        <c:crosses val="autoZero"/>
        <c:auto val="1"/>
        <c:lblAlgn val="ctr"/>
        <c:lblOffset val="100"/>
        <c:noMultiLvlLbl val="0"/>
      </c:catAx>
      <c:valAx>
        <c:axId val="231614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612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- Raw Data.xlsx]Sheet7 (5)!PivotTable4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'Sheet7 (5)'!$B$1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'Sheet7 (5)'!$A$2:$A$5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'Sheet7 (5)'!$B$2:$B$5</c:f>
              <c:numCache>
                <c:formatCode>General</c:formatCode>
                <c:ptCount val="3"/>
                <c:pt idx="0">
                  <c:v>6563.07</c:v>
                </c:pt>
                <c:pt idx="1">
                  <c:v>2661.5</c:v>
                </c:pt>
                <c:pt idx="2">
                  <c:v>35909.684999999976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319744"/>
        <c:axId val="286321280"/>
      </c:barChart>
      <c:catAx>
        <c:axId val="286319744"/>
        <c:scaling>
          <c:orientation val="minMax"/>
        </c:scaling>
        <c:delete val="0"/>
        <c:axPos val="b"/>
        <c:majorTickMark val="out"/>
        <c:minorTickMark val="none"/>
        <c:tickLblPos val="nextTo"/>
        <c:crossAx val="286321280"/>
        <c:crosses val="autoZero"/>
        <c:auto val="1"/>
        <c:lblAlgn val="ctr"/>
        <c:lblOffset val="100"/>
        <c:noMultiLvlLbl val="0"/>
      </c:catAx>
      <c:valAx>
        <c:axId val="286321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6319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- Raw Data.xlsx]Sheet7 (6)!PivotTable4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'Sheet7 (6)'!$B$1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'Sheet7 (6)'!$A$2:$A$4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'Sheet7 (6)'!$B$2:$B$4</c:f>
              <c:numCache>
                <c:formatCode>General</c:formatCode>
                <c:ptCount val="2"/>
                <c:pt idx="0">
                  <c:v>23979.769999999997</c:v>
                </c:pt>
                <c:pt idx="1">
                  <c:v>21154.484999999993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618752"/>
        <c:axId val="286620288"/>
      </c:barChart>
      <c:catAx>
        <c:axId val="286618752"/>
        <c:scaling>
          <c:orientation val="minMax"/>
        </c:scaling>
        <c:delete val="0"/>
        <c:axPos val="b"/>
        <c:majorTickMark val="out"/>
        <c:minorTickMark val="none"/>
        <c:tickLblPos val="nextTo"/>
        <c:crossAx val="286620288"/>
        <c:crosses val="autoZero"/>
        <c:auto val="1"/>
        <c:lblAlgn val="ctr"/>
        <c:lblOffset val="100"/>
        <c:noMultiLvlLbl val="0"/>
      </c:catAx>
      <c:valAx>
        <c:axId val="28662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6618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- Raw Data.xlsx]Sheet7 (7)!PivotTable4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'Sheet7 (7)'!$B$1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'Sheet7 (7)'!$A$2:$A$12</c:f>
              <c:strCache>
                <c:ptCount val="10"/>
                <c:pt idx="0">
                  <c:v>Alexa Sizey</c:v>
                </c:pt>
                <c:pt idx="1">
                  <c:v>Lacee Tanti</c:v>
                </c:pt>
                <c:pt idx="2">
                  <c:v>Shelli Keynd</c:v>
                </c:pt>
                <c:pt idx="3">
                  <c:v>Nanny Lush</c:v>
                </c:pt>
                <c:pt idx="4">
                  <c:v>Daniel Heinonen</c:v>
                </c:pt>
                <c:pt idx="5">
                  <c:v>Elysee Sketch</c:v>
                </c:pt>
                <c:pt idx="6">
                  <c:v>Teddi Crowthe</c:v>
                </c:pt>
                <c:pt idx="7">
                  <c:v>Lemuel Rignold</c:v>
                </c:pt>
                <c:pt idx="8">
                  <c:v>Claudetta Rushe</c:v>
                </c:pt>
                <c:pt idx="9">
                  <c:v>Hatty Dovydenas</c:v>
                </c:pt>
              </c:strCache>
            </c:strRef>
          </c:cat>
          <c:val>
            <c:numRef>
              <c:f>'Sheet7 (7)'!$B$2:$B$12</c:f>
              <c:numCache>
                <c:formatCode>General</c:formatCode>
                <c:ptCount val="10"/>
                <c:pt idx="0">
                  <c:v>218.73</c:v>
                </c:pt>
                <c:pt idx="1">
                  <c:v>204.92999999999995</c:v>
                </c:pt>
                <c:pt idx="2">
                  <c:v>204.92999999999995</c:v>
                </c:pt>
                <c:pt idx="3">
                  <c:v>204.92999999999995</c:v>
                </c:pt>
                <c:pt idx="4">
                  <c:v>204.92999999999995</c:v>
                </c:pt>
                <c:pt idx="5">
                  <c:v>204.92999999999995</c:v>
                </c:pt>
                <c:pt idx="6">
                  <c:v>204.92999999999995</c:v>
                </c:pt>
                <c:pt idx="7">
                  <c:v>200.78999999999996</c:v>
                </c:pt>
                <c:pt idx="8">
                  <c:v>189.74999999999997</c:v>
                </c:pt>
                <c:pt idx="9">
                  <c:v>189.74999999999997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6995584"/>
        <c:axId val="286997120"/>
      </c:barChart>
      <c:catAx>
        <c:axId val="2869955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6997120"/>
        <c:crosses val="autoZero"/>
        <c:auto val="1"/>
        <c:lblAlgn val="ctr"/>
        <c:lblOffset val="100"/>
        <c:noMultiLvlLbl val="0"/>
      </c:catAx>
      <c:valAx>
        <c:axId val="2869971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869955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- Raw Data.xlsx]Sheet7 (8)!PivotTable4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879936"/>
        <c:axId val="287881472"/>
      </c:barChart>
      <c:catAx>
        <c:axId val="287879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87881472"/>
        <c:crosses val="autoZero"/>
        <c:auto val="1"/>
        <c:lblAlgn val="ctr"/>
        <c:lblOffset val="100"/>
        <c:noMultiLvlLbl val="0"/>
      </c:catAx>
      <c:valAx>
        <c:axId val="28788147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287879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342900</xdr:colOff>
      <xdr:row>3</xdr:row>
      <xdr:rowOff>85725</xdr:rowOff>
    </xdr:from>
    <xdr:to>
      <xdr:col>25</xdr:col>
      <xdr:colOff>38100</xdr:colOff>
      <xdr:row>17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9</xdr:row>
      <xdr:rowOff>161925</xdr:rowOff>
    </xdr:from>
    <xdr:to>
      <xdr:col>9</xdr:col>
      <xdr:colOff>9525</xdr:colOff>
      <xdr:row>24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11</xdr:row>
      <xdr:rowOff>0</xdr:rowOff>
    </xdr:from>
    <xdr:to>
      <xdr:col>8</xdr:col>
      <xdr:colOff>476250</xdr:colOff>
      <xdr:row>25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11</xdr:row>
      <xdr:rowOff>95250</xdr:rowOff>
    </xdr:from>
    <xdr:to>
      <xdr:col>9</xdr:col>
      <xdr:colOff>371475</xdr:colOff>
      <xdr:row>25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180975</xdr:rowOff>
    </xdr:from>
    <xdr:to>
      <xdr:col>12</xdr:col>
      <xdr:colOff>304800</xdr:colOff>
      <xdr:row>20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sther" refreshedDate="46140.076173611109" createdVersion="4" refreshedVersion="4" minRefreshableVersion="3" recordCount="1000">
  <cacheSource type="worksheet">
    <worksheetSource ref="A1:O1001" sheet="Combined table"/>
  </cacheSource>
  <cacheFields count="15">
    <cacheField name="Order Date" numFmtId="14">
      <sharedItems containsSemiMixedTypes="0" containsNonDate="0" containsDate="1" containsString="0" minDate="2019-01-02T00:00:00" maxDate="2022-08-20T00:00:00"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1000">
        <s v="Aloisia Allner"/>
        <s v="Piotr Bote"/>
        <s v="Jami Redholes"/>
        <s v="Dene Azema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Kendal Scardefield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Ray Leivesley"/>
        <s v="Nelly Basezzi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Horatio Rubberts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lancha McAmish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Ezri Hows"/>
        <s v="Sylas Becaris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Chalmers Havenhand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Adey Lowseley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Essie Nellies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Crin Vernham"/>
        <s v="Jenn Munnings"/>
        <s v="Olympie Dautry"/>
        <s v="Ingaborg Dunwoody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Monte Percifull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Stuart Lafee"/>
        <s v="Mercedes Acott"/>
        <s v="Connor Heaviside"/>
        <s v="Devy Bulbrook"/>
        <s v="Leia Kernan"/>
        <s v="Rosaline McLae"/>
        <s v="Cleve Blowfelde"/>
        <s v="Zacharias Kiff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Annecorinne Leehane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Rhodie Whife"/>
        <s v="Benn Checci"/>
        <s v="Janifer Bagot"/>
        <s v="Ermin Beeble"/>
        <s v="Cos Fluin"/>
        <s v="Eveleen Bletsor"/>
        <s v="Paola Brydell"/>
        <s v="Claudetta Rushe"/>
        <s v="Natka Leethem"/>
        <s v="Ailene Nesfield"/>
        <s v="Stacy Pickworth"/>
        <s v="Melli Brockway"/>
        <s v="Nanny Lush"/>
        <s v="Selma McMillian"/>
        <s v="Tess Bennison"/>
        <s v="Gabie Tweed"/>
        <s v="Freddie Cusick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Fiorenze Drogan"/>
        <s v="Corine Drewett"/>
        <s v="Quinn Parsons"/>
        <s v="Vivyan Ceely"/>
        <s v="Elonore Goodings"/>
        <s v="Clement Vasiliev"/>
        <s v="Terencio O'Moylan"/>
        <s v="Jeddy Vanyarkin"/>
        <s v="Wyatan Fetherston"/>
        <s v="Emmaline Rasmus"/>
        <s v="Wesley Giorgioni"/>
        <s v="Lucienne Scargle"/>
        <s v="Christy Franseco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Selie Baulcombe"/>
        <s v="Maitilde Boxill"/>
        <s v="Jodee Caldicott"/>
        <s v="Marianna Vedmore"/>
        <s v="Willey Romao"/>
        <s v="Enriqueta Ixor"/>
        <s v="Tomasina Cotmore"/>
        <s v="Yuma Skipsey"/>
        <s v="Nicko Corps"/>
        <s v="Christabel Rubury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Fanni Mart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Dov Spros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Anthia McKeller"/>
        <s v="Faith Powley"/>
        <s v="Nevins Glowacz"/>
        <s v="Adelice Isabell"/>
        <s v="Yulma Dombrell"/>
        <s v="Alric Darth"/>
        <s v="Manuel Darrigoe"/>
        <s v="Kynthia Berick"/>
        <s v="Minetta Ackrill"/>
        <s v="Maximo Bricksey"/>
        <s v="Melosa Kippen"/>
        <s v="Witty Ranson"/>
        <s v="Rod Gowdie"/>
        <s v="Lemuel Rignold"/>
        <s v="Nevsa Fields"/>
        <s v="Chance Rowthorn"/>
        <s v="Orly Ryland"/>
        <s v="Willabella Abramski"/>
        <s v="Brandy Lottringt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Morgen Seso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Jolyn Dymoke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Ailey Brash"/>
        <s v="Tatiana Thorn"/>
        <s v="Wendeline McInerney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Brendin Bredee"/>
        <s v="Malynda Purbrick"/>
        <s v="Alf Housaman"/>
        <s v="Gladi Ducker"/>
        <s v="Emelita Shearsby"/>
        <s v="Berte Gaddes"/>
        <s v="Nadia Erswell"/>
        <s v="Wain Stearley"/>
        <s v="Diane-marie Wincer"/>
        <s v="Perry Lyfield"/>
        <s v="Heall Perris"/>
        <s v="Marja Urion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Philippine Starte"/>
        <s v="Mag Armistead"/>
        <s v="Janela Lemerle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Wyatan Cokly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Almire MacAless"/>
        <s v="Bette-ann Munden"/>
        <s v="Wilek Lightollers"/>
        <s v="Nick Brakespear"/>
        <s v="Malynda Glawsop"/>
        <s v="Granville Alberts"/>
        <s v="Vasily Polglase"/>
        <s v="Madelaine Sharples"/>
        <s v="Sigfrid Busch"/>
        <s v="Cissiee Raisbeck"/>
        <s v="Leslie Laughton"/>
        <s v="Kenton Wetherick"/>
        <s v="Reamonn Aynold"/>
        <s v="Hatty Dovydenas"/>
        <s v="Nathaniel Bloxland"/>
        <s v="Brendan Grece"/>
        <s v="Steffie Maddrell"/>
        <s v="Abbe Thys"/>
        <s v="Jackquelin Chugg"/>
        <s v="Audra Kelston"/>
        <s v="Elvina Angel"/>
        <s v="Claiborne Mottram"/>
        <s v="Dilly Marrison"/>
        <s v="Donalt Sangwin"/>
        <s v="Elizabet Aizikowitz"/>
        <s v="Herbie Peppard"/>
        <s v="Cornie Venour"/>
        <s v="Maggy Harby"/>
        <s v="Reggie Thickpenny"/>
        <s v="Phyllys Ormerod"/>
        <s v="Don Flintiff"/>
        <s v="Tymon Zanetti"/>
        <s v="Bili Follet"/>
        <s v="Reinaldos Kirtley"/>
        <s v="Carney Clemencet"/>
        <s v="Russell Donet"/>
        <s v="Sidney Gawen"/>
        <s v="Rickey Readie"/>
        <s v="Conchita Dietzler"/>
        <s v="Zilvia Claisse"/>
        <s v="Bar O' Mahony"/>
        <s v="Valenka Stansbury"/>
        <s v="Daniel Heinonen"/>
        <s v="Jewelle Shenton"/>
        <s v="Jennifer Wilkisson"/>
        <s v="Kylie Mowat"/>
        <s v="Cody Verissimo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Brendin Peattie"/>
        <s v="Laurence Ellingham"/>
        <s v="Billy Neiland"/>
        <s v="Ancell Fendt"/>
        <s v="Angelia Cleyburn"/>
        <s v="Temple Castiglione"/>
        <s v="Betti Lacasa"/>
        <s v="Gunilla Lynch"/>
        <s v="Vita Pummery"/>
        <s v="Shay Couronne"/>
        <s v="Linus Flippelli"/>
        <s v="Rachelle Elizabeth"/>
        <s v="Innis Renhard"/>
        <s v="Winne Roche"/>
        <s v="Josy Bus"/>
        <s v="Cordy Odgaard"/>
        <s v="Bertine Byrd"/>
        <s v="Nelie Garnson"/>
        <s v="Dianne Chardin"/>
        <s v="Hailee Radbone"/>
        <s v="Wallis Bernth"/>
        <s v="Byron Acarson"/>
        <s v="Faunie Brigham"/>
        <s v="Linn Alaway"/>
        <s v="Cami Meir"/>
        <s v="Marcie Aingell"/>
        <s v="Marjorie Yoxen"/>
        <s v="Gaspar McGavin"/>
        <s v="Lindy Uttermare"/>
        <s v="Eal D'Ambrogio"/>
        <s v="Carolee Winchcombe"/>
        <s v="Benedikta Paumier"/>
        <s v="Neville Piatto"/>
        <s v="Jeno Capey"/>
        <s v="Carmella Bruffell"/>
        <s v="Yardley Basill"/>
        <s v="Maggy Baistow"/>
        <s v="Courtney Pallant"/>
        <s v="Marne Mingey"/>
        <s v="Denny O' Ronan"/>
        <s v="Dottie Rallin"/>
        <s v="Ardith Chill"/>
        <s v="Tuckie Mathonnet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Hewitt Jarret"/>
        <s v="Dollie Gadsden"/>
        <s v="Val Wakelin"/>
        <s v="Annie Campsall"/>
        <s v="Shermy Moseby"/>
        <s v="Corrie Wass"/>
        <s v="Ira Sjostrom"/>
        <s v="Helli Load"/>
        <s v="Jermaine Branchett"/>
        <s v="Nissie Rudland"/>
        <s v="Janella Millett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Paola Normanvill"/>
        <s v="Ambrosio Weinmann"/>
        <s v="Elden Andriessen"/>
        <s v="Roxie Deaconson"/>
        <s v="Davida Caro"/>
        <s v="Johna Bluck"/>
        <s v="Myrle Dearden"/>
        <s v="Jimmy Dymoke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Selestina Greedy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Burlie Issac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Philomena Traite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Riva De Micoli"/>
        <s v="Antoine Taunton."/>
        <s v="Krishnah Incogna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Devora Maton"/>
        <s v="Ugo Southerden"/>
        <s v="Verne Dunkerley"/>
        <s v="Lacee Burtenshaw"/>
        <s v="Adorne Gregoratti"/>
        <s v="Chris Croster"/>
        <s v="Graeme Whitehead"/>
        <s v="Haslett Jodrelle"/>
        <s v="Cam Jewster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gretha Melland"/>
        <s v="Chaddie Bennie"/>
        <s v="Alberta Balsdone"/>
        <s v="Brice Romera"/>
        <s v="Micky Glover"/>
        <s v="Conchita Bryde"/>
        <s v="Silvanus Enefer"/>
        <s v="Lenci Haggerstone"/>
        <s v="Marvin Gundry"/>
        <s v="Bayard Wellan"/>
        <s v="Allis Wilmore"/>
        <s v="Caddric Atcheson"/>
        <s v="Eustace Stenton"/>
        <s v="Ericka Tripp"/>
        <s v="Lyndsey MacManus"/>
        <s v="Tess Benediktovich"/>
        <s v="Correy Bourner"/>
        <s v="Uta Kohring"/>
        <s v="Kandy Heddan"/>
        <s v="Ibby Charters"/>
        <s v="Adora Roubert"/>
        <s v="Hillel Mairs"/>
        <s v="Helaina Rainforth"/>
        <s v="Odelia Skerme"/>
        <s v="Isac Jesper"/>
        <s v="Lenette Dwerryhouse"/>
        <s v="Nadeen Broomer"/>
        <s v="Konstantine Thoumasson"/>
        <s v="Frans Habbergham"/>
        <s v="Margarette Woolham"/>
        <s v="Romain Avrashin"/>
        <s v="Miran Doidge"/>
        <s v="Janeva Edinboro"/>
        <s v="Trumaine Tewelson"/>
        <s v="Niles Krimmer"/>
        <s v="De Drewitt"/>
        <s v="Adelheid Gladhill"/>
        <s v="Murielle Lorinez"/>
        <s v="Edin Mathe"/>
        <s v="Mordy Van Der Vlies"/>
        <s v="Spencer Wastell"/>
        <s v="Jemimah Ethelston"/>
        <s v="Bobbe Jevon"/>
        <s v="Perice Eberz"/>
        <s v="Bear Gaish"/>
        <s v="Lynnea Danton"/>
        <s v="Skipton Morrall"/>
        <s v="Devan Crownshaw"/>
        <s v="Kriste Wessel"/>
        <s v="Joceline Reddoch"/>
        <s v="Shelley Titley"/>
        <s v="Redd Simao"/>
        <s v="Cece Inker"/>
        <s v="Noel Chisholm"/>
        <s v="Grazia Oats"/>
        <s v="Meade Birkin"/>
        <s v="Ronda Pyson"/>
        <s v="Rachele Ebrall"/>
        <s v="Rafaela Treacher"/>
        <s v="Bee Fattorini"/>
        <s v="Margie Palleske"/>
        <s v="Alexina Randals"/>
        <s v="Filip Antcliffe"/>
        <s v="Peyter Matignon"/>
        <s v="Claudie Weond"/>
        <s v="Modesty MacConnechie"/>
        <s v="Jaquenette Skentelbery"/>
        <s v="Orazio Comber"/>
        <s v="Domini Bram"/>
        <s v="Zachary Tramel"/>
        <s v="Izaak Primak"/>
        <s v="Brittani Thoresbie"/>
        <s v="Constanta Hatfull"/>
        <s v="Bobbe Castagneto"/>
        <s v="Chastity Swatman"/>
        <s v="Lindon Agnolo"/>
        <s v="Delainey Kiddy"/>
        <s v="Helli Petroulis"/>
        <s v="Marty Scholl"/>
        <s v="Kienan Ferson"/>
        <s v="Blake Kelloway"/>
        <s v="Scarlett Oliffe"/>
        <s v="Kippie Marrison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Bud Danett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Odette Tocque"/>
        <s v="Quintina Heavyside"/>
        <s v="Hadley Reuven"/>
        <s v="Mitch Attwool"/>
        <s v="Charin Maplethorp"/>
        <s v="Goldie Wynes"/>
        <s v="Celie MacCourt"/>
        <s v="Rori Ollin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Caitlin Cattermull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Jillane Jedrzej"/>
        <s v="Correy Lampel"/>
        <s v="Dulcie Mapowder"/>
        <s v="Eward Dearman"/>
        <s v="Dominique Lenard"/>
        <s v="Lloyd Toffano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Dedie Gooderridg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Dierdre Scrigmour"/>
        <s v="Romy Whittlesea"/>
        <s v="Desdemona Eye"/>
        <s v="Margarette Sterland"/>
        <s v="Catharine Scoines"/>
        <s v="Jennica Tewelson"/>
        <s v="Marguerite Graves"/>
        <s v="Etan Featenby"/>
        <s v="Nicolina Jenny"/>
        <s v="Vidovic Antonelli"/>
      </sharedItems>
    </cacheField>
    <cacheField name="City" numFmtId="0">
      <sharedItems/>
    </cacheField>
    <cacheField name="Country" numFmtId="0">
      <sharedItems count="3">
        <s v="United States"/>
        <s v="Ireland"/>
        <s v="United Kingdom"/>
      </sharedItems>
    </cacheField>
    <cacheField name="Loyalty Card" numFmtId="0">
      <sharedItems count="2">
        <s v="Yes"/>
        <s v="No"/>
      </sharedItems>
    </cacheField>
    <cacheField name="Coffee Type" numFmtId="0">
      <sharedItems count="4">
        <s v="Rob"/>
        <s v="Exc"/>
        <s v="Ara"/>
        <s v="Lib"/>
      </sharedItems>
    </cacheField>
    <cacheField name="Roast Type" numFmtId="0">
      <sharedItems count="3">
        <s v="M"/>
        <s v="L"/>
        <s v="D"/>
      </sharedItems>
    </cacheField>
    <cacheField name="Size" numFmtId="0">
      <sharedItems containsSemiMixedTypes="0" containsString="0" containsNumber="1" minValue="0.2" maxValue="2.5" count="4">
        <n v="1"/>
        <n v="0.5"/>
        <n v="2.5"/>
        <n v="0.2"/>
      </sharedItems>
    </cacheField>
    <cacheField name="Unite Price" numFmtId="0">
      <sharedItems containsSemiMixedTypes="0" containsString="0" containsNumber="1" minValue="2.6849999999999996" maxValue="36.454999999999998"/>
    </cacheField>
    <cacheField name="Price per 100g" numFmtId="0">
      <sharedItems containsSemiMixedTypes="0" containsString="0" containsNumber="1" minValue="0.82339999999999991" maxValue="2.3774999999999999"/>
    </cacheField>
    <cacheField name="Profit" numFmtId="0">
      <sharedItems containsSemiMixedTypes="0" containsString="0" containsNumber="1" minValue="0.16109999999999997" maxValue="4.7391499999999995"/>
    </cacheField>
    <cacheField name="Month-Year" numFmtId="0">
      <sharedItems count="44">
        <s v="Sep 2019"/>
        <s v="Jun 2021"/>
        <s v="Jul 2021"/>
        <s v="Aug 2021"/>
        <s v="Jan 2022"/>
        <s v="May 2022"/>
        <s v="Jan 2019"/>
        <s v="Mar 2021"/>
        <s v="Oct 2020"/>
        <s v="Jul 2022"/>
        <s v="May 2020"/>
        <s v="Apr 2022"/>
        <s v="Jun 2022"/>
        <s v="Mar 2019"/>
        <s v="Oct 2019"/>
        <s v="Jun 2019"/>
        <s v="Dec 2020"/>
        <s v="Jan 2021"/>
        <s v="Feb 2022"/>
        <s v="Sep 2021"/>
        <s v="Feb 2019"/>
        <s v="Aug 2022"/>
        <s v="Jun 2020"/>
        <s v="Feb 2021"/>
        <s v="Apr 2019"/>
        <s v="Apr 2020"/>
        <s v="Nov 2021"/>
        <s v="Apr 2021"/>
        <s v="May 2019"/>
        <s v="Oct 2021"/>
        <s v="Nov 2019"/>
        <s v="Sep 2020"/>
        <s v="Jan 2020"/>
        <s v="Mar 2022"/>
        <s v="Dec 2021"/>
        <s v="Feb 2020"/>
        <s v="Mar 2020"/>
        <s v="Jul 2019"/>
        <s v="Nov 2020"/>
        <s v="Jul 2020"/>
        <s v="Dec 2019"/>
        <s v="Aug 2019"/>
        <s v="Aug 2020"/>
        <s v="May 2021"/>
      </sharedItems>
    </cacheField>
    <cacheField name="Revenue" numFmtId="0">
      <sharedItems containsSemiMixedTypes="0" containsString="0" containsNumber="1" minValue="2.6849999999999996" maxValue="218.73" count="197">
        <n v="19.899999999999999"/>
        <n v="41.25"/>
        <n v="12.95"/>
        <n v="27.5"/>
        <n v="54.969999999999992"/>
        <n v="38.849999999999994"/>
        <n v="21.87"/>
        <n v="4.7549999999999999"/>
        <n v="17.91"/>
        <n v="5.97"/>
        <n v="39.799999999999997"/>
        <n v="170.77499999999998"/>
        <n v="49.75"/>
        <n v="41.169999999999995"/>
        <n v="11.654999999999999"/>
        <n v="114.42499999999998"/>
        <n v="20.25"/>
        <n v="77.699999999999989"/>
        <n v="82.339999999999989"/>
        <n v="16.875"/>
        <n v="14.58"/>
        <n v="91.539999999999992"/>
        <n v="11.94"/>
        <n v="11.25"/>
        <n v="12.375"/>
        <n v="27"/>
        <n v="21.825000000000003"/>
        <n v="35.82"/>
        <n v="52.38"/>
        <n v="23.774999999999999"/>
        <n v="57.06"/>
        <n v="8.73"/>
        <n v="28.53"/>
        <n v="59.699999999999996"/>
        <n v="43.650000000000006"/>
        <n v="7.29"/>
        <n v="8.0549999999999997"/>
        <n v="72.91"/>
        <n v="16.5"/>
        <n v="178.70999999999998"/>
        <n v="63.249999999999993"/>
        <n v="7.77"/>
        <n v="15.54"/>
        <n v="145.82"/>
        <n v="29.849999999999998"/>
        <n v="72.75"/>
        <n v="47.55"/>
        <n v="10.935"/>
        <n v="59.4"/>
        <n v="89.35499999999999"/>
        <n v="26.19"/>
        <n v="26.849999999999994"/>
        <n v="6.75"/>
        <n v="7.169999999999999"/>
        <n v="9.51"/>
        <n v="2.9849999999999999"/>
        <n v="136.61999999999998"/>
        <n v="77.624999999999986"/>
        <n v="17.82"/>
        <n v="53.699999999999996"/>
        <n v="3.5849999999999995"/>
        <n v="40.5"/>
        <n v="47.8"/>
        <n v="109.36499999999999"/>
        <n v="100.39499999999998"/>
        <n v="33.75"/>
        <n v="35.849999999999994"/>
        <n v="51.8"/>
        <n v="103.49999999999999"/>
        <n v="44.55"/>
        <n v="35.64"/>
        <n v="155.24999999999997"/>
        <n v="13.5"/>
        <n v="13.095000000000001"/>
        <n v="148.92499999999998"/>
        <n v="87.300000000000011"/>
        <n v="24.3"/>
        <n v="13.365"/>
        <n v="14.55"/>
        <n v="14.339999999999998"/>
        <n v="15.85"/>
        <n v="19.02"/>
        <n v="38.04"/>
        <n v="4.125"/>
        <n v="3.8849999999999998"/>
        <n v="68.75"/>
        <n v="23.88"/>
        <n v="12.15"/>
        <n v="94.874999999999986"/>
        <n v="102.46499999999997"/>
        <n v="48.6"/>
        <n v="29.784999999999997"/>
        <n v="17.46"/>
        <n v="68.309999999999988"/>
        <n v="18.225000000000001"/>
        <n v="51.749999999999993"/>
        <n v="68.655000000000001"/>
        <n v="2.6849999999999996"/>
        <n v="61.754999999999995"/>
        <n v="123.50999999999999"/>
        <n v="218.73"/>
        <n v="33"/>
        <n v="23.31"/>
        <n v="16.11"/>
        <n v="29.16"/>
        <n v="17.899999999999999"/>
        <n v="204.92999999999995"/>
        <n v="34.154999999999994"/>
        <n v="109.93999999999998"/>
        <n v="25.9"/>
        <n v="22.274999999999999"/>
        <n v="32.22"/>
        <n v="8.25"/>
        <n v="31.08"/>
        <n v="36.450000000000003"/>
        <n v="4.4550000000000001"/>
        <n v="33.464999999999996"/>
        <n v="19.424999999999997"/>
        <n v="72.900000000000006"/>
        <n v="53.46"/>
        <n v="59.569999999999993"/>
        <n v="82.5"/>
        <n v="22.5"/>
        <n v="20.584999999999997"/>
        <n v="31.7"/>
        <n v="58.2"/>
        <n v="56.25"/>
        <n v="10.754999999999999"/>
        <n v="14.924999999999999"/>
        <n v="119.13999999999999"/>
        <n v="129.37499999999997"/>
        <n v="17.924999999999997"/>
        <n v="20.625"/>
        <n v="36.454999999999998"/>
        <n v="182.27499999999998"/>
        <n v="45.769999999999996"/>
        <n v="133.85999999999999"/>
        <n v="21.509999999999998"/>
        <n v="9.9499999999999993"/>
        <n v="28.679999999999996"/>
        <n v="27.945"/>
        <n v="139.72499999999999"/>
        <n v="27.484999999999996"/>
        <n v="59.75"/>
        <n v="71.699999999999989"/>
        <n v="25.874999999999996"/>
        <n v="89.1"/>
        <n v="5.3699999999999992"/>
        <n v="13.424999999999997"/>
        <n v="26.73"/>
        <n v="111.78"/>
        <n v="14.85"/>
        <n v="189.74999999999997"/>
        <n v="44.75"/>
        <n v="13.75"/>
        <n v="21.479999999999997"/>
        <n v="22.884999999999998"/>
        <n v="45"/>
        <n v="55.89"/>
        <n v="74.25"/>
        <n v="43.74"/>
        <n v="8.91"/>
        <n v="46.62"/>
        <n v="43.019999999999996"/>
        <n v="167.67000000000002"/>
        <n v="63.4"/>
        <n v="26.849999999999998"/>
        <n v="24.75"/>
        <n v="49.5"/>
        <n v="8.9550000000000001"/>
        <n v="137.31"/>
        <n v="83.835000000000008"/>
        <n v="200.78999999999996"/>
        <n v="67.5"/>
        <n v="66.929999999999993"/>
        <n v="10.739999999999998"/>
        <n v="31.624999999999996"/>
        <n v="126.49999999999999"/>
        <n v="23.9"/>
        <n v="95.1"/>
        <n v="79.25"/>
        <n v="14.265000000000001"/>
        <n v="102.92499999999998"/>
        <n v="164.90999999999997"/>
        <n v="60.75"/>
        <n v="82.454999999999984"/>
        <n v="3.645"/>
        <n v="137.42499999999998"/>
        <n v="64.75"/>
        <n v="4.3650000000000002"/>
        <n v="34.92"/>
        <n v="35.799999999999997"/>
        <n v="8.9499999999999993"/>
        <n v="55"/>
        <n v="29.1"/>
        <n v="29.7"/>
        <n v="158.124999999999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d v="2019-09-05T00:00:00"/>
    <s v="R-M-1"/>
    <n v="2"/>
    <x v="0"/>
    <s v="Paterson"/>
    <x v="0"/>
    <x v="0"/>
    <x v="0"/>
    <x v="0"/>
    <x v="0"/>
    <n v="9.9499999999999993"/>
    <n v="0.99499999999999988"/>
    <n v="0.59699999999999998"/>
    <x v="0"/>
    <x v="0"/>
  </r>
  <r>
    <d v="2019-09-05T00:00:00"/>
    <s v="E-M-0.5"/>
    <n v="5"/>
    <x v="1"/>
    <s v="Crumlin"/>
    <x v="1"/>
    <x v="1"/>
    <x v="1"/>
    <x v="0"/>
    <x v="1"/>
    <n v="8.25"/>
    <n v="1.65"/>
    <n v="0.90749999999999997"/>
    <x v="0"/>
    <x v="1"/>
  </r>
  <r>
    <d v="2021-06-17T00:00:00"/>
    <s v="A-L-1"/>
    <n v="1"/>
    <x v="2"/>
    <s v="San Antonio"/>
    <x v="0"/>
    <x v="0"/>
    <x v="2"/>
    <x v="1"/>
    <x v="0"/>
    <n v="12.95"/>
    <n v="1.2949999999999999"/>
    <n v="1.1655"/>
    <x v="1"/>
    <x v="2"/>
  </r>
  <r>
    <d v="2021-07-15T00:00:00"/>
    <s v="E-M-1"/>
    <n v="2"/>
    <x v="3"/>
    <s v="Springfield"/>
    <x v="0"/>
    <x v="0"/>
    <x v="1"/>
    <x v="0"/>
    <x v="0"/>
    <n v="13.75"/>
    <n v="1.375"/>
    <n v="1.5125"/>
    <x v="2"/>
    <x v="3"/>
  </r>
  <r>
    <d v="2021-07-15T00:00:00"/>
    <s v="R-L-2.5"/>
    <n v="2"/>
    <x v="4"/>
    <s v="Cill Airne"/>
    <x v="1"/>
    <x v="1"/>
    <x v="0"/>
    <x v="1"/>
    <x v="2"/>
    <n v="27.484999999999996"/>
    <n v="1.0993999999999999"/>
    <n v="1.6490999999999998"/>
    <x v="2"/>
    <x v="4"/>
  </r>
  <r>
    <d v="2021-08-04T00:00:00"/>
    <s v="L-D-1"/>
    <n v="3"/>
    <x v="5"/>
    <s v="Scranton"/>
    <x v="0"/>
    <x v="1"/>
    <x v="3"/>
    <x v="2"/>
    <x v="0"/>
    <n v="12.95"/>
    <n v="1.2949999999999999"/>
    <n v="1.6835"/>
    <x v="3"/>
    <x v="5"/>
  </r>
  <r>
    <d v="2022-01-21T00:00:00"/>
    <s v="E-D-0.5"/>
    <n v="3"/>
    <x v="6"/>
    <s v="Dayton"/>
    <x v="0"/>
    <x v="0"/>
    <x v="1"/>
    <x v="2"/>
    <x v="1"/>
    <n v="7.29"/>
    <n v="1.458"/>
    <n v="0.80190000000000006"/>
    <x v="4"/>
    <x v="6"/>
  </r>
  <r>
    <d v="2022-05-20T00:00:00"/>
    <s v="L-L-0.2"/>
    <n v="1"/>
    <x v="7"/>
    <s v="Kill"/>
    <x v="1"/>
    <x v="0"/>
    <x v="3"/>
    <x v="1"/>
    <x v="3"/>
    <n v="4.7549999999999999"/>
    <n v="2.3774999999999999"/>
    <n v="0.61814999999999998"/>
    <x v="5"/>
    <x v="7"/>
  </r>
  <r>
    <d v="2019-01-02T00:00:00"/>
    <s v="R-M-0.5"/>
    <n v="3"/>
    <x v="8"/>
    <s v="Los Angeles"/>
    <x v="0"/>
    <x v="1"/>
    <x v="0"/>
    <x v="0"/>
    <x v="1"/>
    <n v="5.97"/>
    <n v="1.194"/>
    <n v="0.35819999999999996"/>
    <x v="6"/>
    <x v="8"/>
  </r>
  <r>
    <d v="2019-09-05T00:00:00"/>
    <s v="R-M-0.5"/>
    <n v="1"/>
    <x v="9"/>
    <s v="Los Angeles"/>
    <x v="0"/>
    <x v="1"/>
    <x v="0"/>
    <x v="0"/>
    <x v="1"/>
    <n v="5.97"/>
    <n v="1.194"/>
    <n v="0.35819999999999996"/>
    <x v="0"/>
    <x v="9"/>
  </r>
  <r>
    <d v="2021-03-08T00:00:00"/>
    <s v="A-D-1"/>
    <n v="4"/>
    <x v="10"/>
    <s v="San Jose"/>
    <x v="0"/>
    <x v="1"/>
    <x v="2"/>
    <x v="2"/>
    <x v="0"/>
    <n v="9.9499999999999993"/>
    <n v="0.99499999999999988"/>
    <n v="0.89549999999999985"/>
    <x v="7"/>
    <x v="10"/>
  </r>
  <r>
    <d v="2020-10-28T00:00:00"/>
    <s v="E-L-2.5"/>
    <n v="5"/>
    <x v="11"/>
    <s v="San Jose"/>
    <x v="0"/>
    <x v="0"/>
    <x v="1"/>
    <x v="1"/>
    <x v="2"/>
    <n v="34.154999999999994"/>
    <n v="1.3661999999999999"/>
    <n v="3.7570499999999996"/>
    <x v="8"/>
    <x v="11"/>
  </r>
  <r>
    <d v="2022-07-02T00:00:00"/>
    <s v="R-M-1"/>
    <n v="5"/>
    <x v="12"/>
    <s v="Richmond"/>
    <x v="0"/>
    <x v="1"/>
    <x v="0"/>
    <x v="0"/>
    <x v="0"/>
    <n v="9.9499999999999993"/>
    <n v="0.99499999999999988"/>
    <n v="0.59699999999999998"/>
    <x v="9"/>
    <x v="12"/>
  </r>
  <r>
    <d v="2020-05-22T00:00:00"/>
    <s v="R-D-2.5"/>
    <n v="2"/>
    <x v="13"/>
    <s v="Migrate"/>
    <x v="0"/>
    <x v="1"/>
    <x v="0"/>
    <x v="2"/>
    <x v="2"/>
    <n v="20.584999999999997"/>
    <n v="0.82339999999999991"/>
    <n v="1.2350999999999999"/>
    <x v="10"/>
    <x v="13"/>
  </r>
  <r>
    <d v="2022-04-05T00:00:00"/>
    <s v="L-D-0.2"/>
    <n v="3"/>
    <x v="14"/>
    <s v="Saint Louis"/>
    <x v="0"/>
    <x v="0"/>
    <x v="3"/>
    <x v="2"/>
    <x v="3"/>
    <n v="3.8849999999999998"/>
    <n v="1.9424999999999999"/>
    <n v="0.50505"/>
    <x v="11"/>
    <x v="14"/>
  </r>
  <r>
    <d v="2022-06-07T00:00:00"/>
    <s v="R-M-2.5"/>
    <n v="5"/>
    <x v="15"/>
    <s v="Philadelphia"/>
    <x v="0"/>
    <x v="1"/>
    <x v="0"/>
    <x v="0"/>
    <x v="2"/>
    <n v="22.884999999999998"/>
    <n v="0.91539999999999988"/>
    <n v="1.3730999999999998"/>
    <x v="12"/>
    <x v="15"/>
  </r>
  <r>
    <d v="2019-03-20T00:00:00"/>
    <s v="A-M-0.2"/>
    <n v="6"/>
    <x v="16"/>
    <s v="Portland"/>
    <x v="0"/>
    <x v="1"/>
    <x v="2"/>
    <x v="0"/>
    <x v="3"/>
    <n v="3.375"/>
    <n v="1.6875"/>
    <n v="0.30374999999999996"/>
    <x v="13"/>
    <x v="16"/>
  </r>
  <r>
    <d v="2019-10-19T00:00:00"/>
    <s v="A-L-1"/>
    <n v="6"/>
    <x v="17"/>
    <s v="Houston"/>
    <x v="0"/>
    <x v="1"/>
    <x v="2"/>
    <x v="1"/>
    <x v="0"/>
    <n v="12.95"/>
    <n v="1.2949999999999999"/>
    <n v="1.1655"/>
    <x v="14"/>
    <x v="17"/>
  </r>
  <r>
    <d v="2019-06-13T00:00:00"/>
    <s v="R-D-2.5"/>
    <n v="4"/>
    <x v="18"/>
    <s v="Caherconlish"/>
    <x v="1"/>
    <x v="0"/>
    <x v="0"/>
    <x v="2"/>
    <x v="2"/>
    <n v="20.584999999999997"/>
    <n v="0.82339999999999991"/>
    <n v="1.2350999999999999"/>
    <x v="15"/>
    <x v="18"/>
  </r>
  <r>
    <d v="2020-12-04T00:00:00"/>
    <s v="A-M-0.2"/>
    <n v="5"/>
    <x v="19"/>
    <s v="New York City"/>
    <x v="0"/>
    <x v="0"/>
    <x v="2"/>
    <x v="0"/>
    <x v="3"/>
    <n v="3.375"/>
    <n v="1.6875"/>
    <n v="0.30374999999999996"/>
    <x v="16"/>
    <x v="19"/>
  </r>
  <r>
    <d v="2020-12-04T00:00:00"/>
    <s v="E-D-0.2"/>
    <n v="4"/>
    <x v="20"/>
    <s v="Clondalkin"/>
    <x v="1"/>
    <x v="0"/>
    <x v="1"/>
    <x v="2"/>
    <x v="3"/>
    <n v="3.645"/>
    <n v="1.8225"/>
    <n v="0.40095000000000003"/>
    <x v="16"/>
    <x v="20"/>
  </r>
  <r>
    <d v="2020-12-04T00:00:00"/>
    <s v="A-D-0.2"/>
    <n v="6"/>
    <x v="21"/>
    <s v="Grand Rapids"/>
    <x v="0"/>
    <x v="1"/>
    <x v="2"/>
    <x v="2"/>
    <x v="3"/>
    <n v="2.9849999999999999"/>
    <n v="1.4924999999999999"/>
    <n v="0.26865"/>
    <x v="16"/>
    <x v="8"/>
  </r>
  <r>
    <d v="2021-01-22T00:00:00"/>
    <s v="R-M-2.5"/>
    <n v="4"/>
    <x v="22"/>
    <s v="Punta Gorda"/>
    <x v="0"/>
    <x v="0"/>
    <x v="0"/>
    <x v="0"/>
    <x v="2"/>
    <n v="22.884999999999998"/>
    <n v="0.91539999999999988"/>
    <n v="1.3730999999999998"/>
    <x v="17"/>
    <x v="21"/>
  </r>
  <r>
    <d v="2022-02-11T00:00:00"/>
    <s v="A-D-0.2"/>
    <n v="4"/>
    <x v="23"/>
    <s v="Vancouver"/>
    <x v="0"/>
    <x v="0"/>
    <x v="2"/>
    <x v="2"/>
    <x v="3"/>
    <n v="2.9849999999999999"/>
    <n v="1.4924999999999999"/>
    <n v="0.26865"/>
    <x v="18"/>
    <x v="22"/>
  </r>
  <r>
    <d v="2021-09-15T00:00:00"/>
    <s v="A-M-1"/>
    <n v="1"/>
    <x v="24"/>
    <s v="Englewood"/>
    <x v="0"/>
    <x v="1"/>
    <x v="2"/>
    <x v="0"/>
    <x v="0"/>
    <n v="11.25"/>
    <n v="1.125"/>
    <n v="1.0125"/>
    <x v="19"/>
    <x v="23"/>
  </r>
  <r>
    <d v="2020-10-24T00:00:00"/>
    <s v="E-M-0.2"/>
    <n v="3"/>
    <x v="25"/>
    <s v="Punta Gorda"/>
    <x v="0"/>
    <x v="0"/>
    <x v="1"/>
    <x v="0"/>
    <x v="3"/>
    <n v="4.125"/>
    <n v="2.0625"/>
    <n v="0.45374999999999999"/>
    <x v="8"/>
    <x v="24"/>
  </r>
  <r>
    <d v="2019-02-20T00:00:00"/>
    <s v="A-M-0.5"/>
    <n v="4"/>
    <x v="26"/>
    <s v="Petaluma"/>
    <x v="0"/>
    <x v="0"/>
    <x v="2"/>
    <x v="0"/>
    <x v="1"/>
    <n v="6.75"/>
    <n v="1.35"/>
    <n v="0.60749999999999993"/>
    <x v="20"/>
    <x v="25"/>
  </r>
  <r>
    <d v="2019-10-08T00:00:00"/>
    <s v="A-M-0.2"/>
    <n v="5"/>
    <x v="27"/>
    <s v="Tralee"/>
    <x v="1"/>
    <x v="1"/>
    <x v="2"/>
    <x v="0"/>
    <x v="3"/>
    <n v="3.375"/>
    <n v="1.6875"/>
    <n v="0.30374999999999996"/>
    <x v="14"/>
    <x v="19"/>
  </r>
  <r>
    <d v="2022-08-02T00:00:00"/>
    <s v="A-D-0.5"/>
    <n v="3"/>
    <x v="28"/>
    <s v="Clonskeagh"/>
    <x v="1"/>
    <x v="1"/>
    <x v="2"/>
    <x v="2"/>
    <x v="1"/>
    <n v="5.97"/>
    <n v="1.194"/>
    <n v="0.5373"/>
    <x v="21"/>
    <x v="8"/>
  </r>
  <r>
    <d v="2019-02-20T00:00:00"/>
    <s v="A-D-1"/>
    <n v="4"/>
    <x v="29"/>
    <s v="Rathwire"/>
    <x v="1"/>
    <x v="0"/>
    <x v="2"/>
    <x v="2"/>
    <x v="0"/>
    <n v="9.9499999999999993"/>
    <n v="0.99499999999999988"/>
    <n v="0.89549999999999985"/>
    <x v="20"/>
    <x v="10"/>
  </r>
  <r>
    <d v="2021-09-25T00:00:00"/>
    <s v="L-M-0.2"/>
    <n v="5"/>
    <x v="30"/>
    <s v="Aurora"/>
    <x v="0"/>
    <x v="1"/>
    <x v="3"/>
    <x v="0"/>
    <x v="3"/>
    <n v="4.3650000000000002"/>
    <n v="2.1825000000000001"/>
    <n v="0.56745000000000001"/>
    <x v="19"/>
    <x v="26"/>
  </r>
  <r>
    <d v="2021-09-25T00:00:00"/>
    <s v="A-D-0.5"/>
    <n v="6"/>
    <x v="31"/>
    <s v="Jamaica"/>
    <x v="0"/>
    <x v="1"/>
    <x v="2"/>
    <x v="2"/>
    <x v="1"/>
    <n v="5.97"/>
    <n v="1.194"/>
    <n v="0.5373"/>
    <x v="19"/>
    <x v="27"/>
  </r>
  <r>
    <d v="2021-09-25T00:00:00"/>
    <s v="L-M-0.5"/>
    <n v="6"/>
    <x v="32"/>
    <s v="Bailieborough"/>
    <x v="1"/>
    <x v="0"/>
    <x v="3"/>
    <x v="0"/>
    <x v="1"/>
    <n v="8.73"/>
    <n v="1.746"/>
    <n v="1.1349"/>
    <x v="19"/>
    <x v="28"/>
  </r>
  <r>
    <d v="2021-07-17T00:00:00"/>
    <s v="L-L-0.2"/>
    <n v="5"/>
    <x v="33"/>
    <s v="Grand Forks"/>
    <x v="0"/>
    <x v="1"/>
    <x v="3"/>
    <x v="1"/>
    <x v="3"/>
    <n v="4.7549999999999999"/>
    <n v="2.3774999999999999"/>
    <n v="0.61814999999999998"/>
    <x v="2"/>
    <x v="29"/>
  </r>
  <r>
    <d v="2020-06-29T00:00:00"/>
    <s v="L-L-0.5"/>
    <n v="6"/>
    <x v="34"/>
    <s v="Upton"/>
    <x v="2"/>
    <x v="0"/>
    <x v="3"/>
    <x v="1"/>
    <x v="1"/>
    <n v="9.51"/>
    <n v="1.9019999999999999"/>
    <n v="1.2363"/>
    <x v="22"/>
    <x v="30"/>
  </r>
  <r>
    <d v="2021-06-01T00:00:00"/>
    <s v="A-D-0.5"/>
    <n v="6"/>
    <x v="35"/>
    <s v="Charleston"/>
    <x v="0"/>
    <x v="1"/>
    <x v="2"/>
    <x v="2"/>
    <x v="1"/>
    <n v="5.97"/>
    <n v="1.194"/>
    <n v="0.5373"/>
    <x v="1"/>
    <x v="27"/>
  </r>
  <r>
    <d v="2021-02-06T00:00:00"/>
    <s v="L-M-0.2"/>
    <n v="2"/>
    <x v="36"/>
    <s v="Little Rock"/>
    <x v="0"/>
    <x v="1"/>
    <x v="3"/>
    <x v="0"/>
    <x v="3"/>
    <n v="4.3650000000000002"/>
    <n v="2.1825000000000001"/>
    <n v="0.56745000000000001"/>
    <x v="23"/>
    <x v="31"/>
  </r>
  <r>
    <d v="2019-04-25T00:00:00"/>
    <s v="L-L-0.5"/>
    <n v="3"/>
    <x v="37"/>
    <s v="Denver"/>
    <x v="0"/>
    <x v="1"/>
    <x v="3"/>
    <x v="1"/>
    <x v="1"/>
    <n v="9.51"/>
    <n v="1.9019999999999999"/>
    <n v="1.2363"/>
    <x v="24"/>
    <x v="32"/>
  </r>
  <r>
    <d v="2020-04-25T00:00:00"/>
    <s v="R-M-2.5"/>
    <n v="5"/>
    <x v="38"/>
    <s v="Minneapolis"/>
    <x v="0"/>
    <x v="1"/>
    <x v="0"/>
    <x v="0"/>
    <x v="2"/>
    <n v="22.884999999999998"/>
    <n v="0.91539999999999988"/>
    <n v="1.3730999999999998"/>
    <x v="25"/>
    <x v="15"/>
  </r>
  <r>
    <d v="2021-11-24T00:00:00"/>
    <s v="R-M-1"/>
    <n v="6"/>
    <x v="39"/>
    <s v="Tucson"/>
    <x v="0"/>
    <x v="0"/>
    <x v="0"/>
    <x v="0"/>
    <x v="0"/>
    <n v="9.9499999999999993"/>
    <n v="0.99499999999999988"/>
    <n v="0.59699999999999998"/>
    <x v="26"/>
    <x v="33"/>
  </r>
  <r>
    <d v="2021-04-19T00:00:00"/>
    <s v="L-M-1"/>
    <n v="3"/>
    <x v="40"/>
    <s v="New Orleans"/>
    <x v="0"/>
    <x v="1"/>
    <x v="3"/>
    <x v="0"/>
    <x v="0"/>
    <n v="14.55"/>
    <n v="1.4550000000000001"/>
    <n v="1.8915000000000002"/>
    <x v="27"/>
    <x v="34"/>
  </r>
  <r>
    <d v="2022-07-07T00:00:00"/>
    <s v="E-D-0.2"/>
    <n v="2"/>
    <x v="41"/>
    <s v="Hartford"/>
    <x v="0"/>
    <x v="0"/>
    <x v="1"/>
    <x v="2"/>
    <x v="3"/>
    <n v="3.645"/>
    <n v="1.8225"/>
    <n v="0.40095000000000003"/>
    <x v="9"/>
    <x v="35"/>
  </r>
  <r>
    <d v="2019-05-22T00:00:00"/>
    <s v="R-D-0.2"/>
    <n v="3"/>
    <x v="42"/>
    <s v="Ogden"/>
    <x v="0"/>
    <x v="0"/>
    <x v="0"/>
    <x v="2"/>
    <x v="3"/>
    <n v="2.6849999999999996"/>
    <n v="1.3424999999999998"/>
    <n v="0.16109999999999997"/>
    <x v="28"/>
    <x v="36"/>
  </r>
  <r>
    <d v="2021-10-04T00:00:00"/>
    <s v="L-L-2.5"/>
    <n v="2"/>
    <x v="43"/>
    <s v="Boston"/>
    <x v="0"/>
    <x v="1"/>
    <x v="3"/>
    <x v="1"/>
    <x v="2"/>
    <n v="36.454999999999998"/>
    <n v="1.4581999999999999"/>
    <n v="4.7391499999999995"/>
    <x v="29"/>
    <x v="37"/>
  </r>
  <r>
    <d v="2020-04-11T00:00:00"/>
    <s v="E-M-0.5"/>
    <n v="2"/>
    <x v="44"/>
    <s v="Rochester"/>
    <x v="0"/>
    <x v="0"/>
    <x v="1"/>
    <x v="0"/>
    <x v="1"/>
    <n v="8.25"/>
    <n v="1.65"/>
    <n v="0.90749999999999997"/>
    <x v="25"/>
    <x v="38"/>
  </r>
  <r>
    <d v="2022-01-31T00:00:00"/>
    <s v="L-D-2.5"/>
    <n v="6"/>
    <x v="45"/>
    <s v="Bronx"/>
    <x v="0"/>
    <x v="1"/>
    <x v="3"/>
    <x v="2"/>
    <x v="2"/>
    <n v="29.784999999999997"/>
    <n v="1.1913999999999998"/>
    <n v="3.8720499999999998"/>
    <x v="4"/>
    <x v="39"/>
  </r>
  <r>
    <d v="2019-11-07T00:00:00"/>
    <s v="E-M-2.5"/>
    <n v="2"/>
    <x v="46"/>
    <s v="Birmingham"/>
    <x v="0"/>
    <x v="0"/>
    <x v="1"/>
    <x v="0"/>
    <x v="2"/>
    <n v="31.624999999999996"/>
    <n v="1.2649999999999999"/>
    <n v="3.4787499999999998"/>
    <x v="30"/>
    <x v="40"/>
  </r>
  <r>
    <d v="2019-06-28T00:00:00"/>
    <s v="A-L-0.2"/>
    <n v="2"/>
    <x v="47"/>
    <s v="San Bernardino"/>
    <x v="0"/>
    <x v="0"/>
    <x v="2"/>
    <x v="1"/>
    <x v="3"/>
    <n v="3.8849999999999998"/>
    <n v="1.9424999999999999"/>
    <n v="0.34964999999999996"/>
    <x v="15"/>
    <x v="41"/>
  </r>
  <r>
    <d v="2020-09-11T00:00:00"/>
    <s v="A-D-2.5"/>
    <n v="4"/>
    <x v="48"/>
    <s v="Norfolk"/>
    <x v="0"/>
    <x v="1"/>
    <x v="2"/>
    <x v="2"/>
    <x v="2"/>
    <n v="22.884999999999998"/>
    <n v="0.91539999999999988"/>
    <n v="2.0596499999999995"/>
    <x v="31"/>
    <x v="21"/>
  </r>
  <r>
    <d v="2022-08-17T00:00:00"/>
    <s v="A-L-1"/>
    <n v="3"/>
    <x v="49"/>
    <s v="Washington"/>
    <x v="0"/>
    <x v="1"/>
    <x v="2"/>
    <x v="1"/>
    <x v="0"/>
    <n v="12.95"/>
    <n v="1.2949999999999999"/>
    <n v="1.1655"/>
    <x v="21"/>
    <x v="5"/>
  </r>
  <r>
    <d v="2022-08-19T00:00:00"/>
    <s v="L-D-0.5"/>
    <n v="2"/>
    <x v="50"/>
    <s v="Fort Lauderdale"/>
    <x v="0"/>
    <x v="1"/>
    <x v="3"/>
    <x v="2"/>
    <x v="1"/>
    <n v="7.77"/>
    <n v="1.5539999999999998"/>
    <n v="1.0101"/>
    <x v="21"/>
    <x v="42"/>
  </r>
  <r>
    <d v="2019-05-15T00:00:00"/>
    <s v="L-L-2.5"/>
    <n v="4"/>
    <x v="51"/>
    <s v="Crumlin"/>
    <x v="1"/>
    <x v="0"/>
    <x v="3"/>
    <x v="1"/>
    <x v="2"/>
    <n v="36.454999999999998"/>
    <n v="1.4581999999999999"/>
    <n v="4.7391499999999995"/>
    <x v="28"/>
    <x v="43"/>
  </r>
  <r>
    <d v="2019-09-11T00:00:00"/>
    <s v="R-M-0.5"/>
    <n v="5"/>
    <x v="52"/>
    <s v="Kinloch"/>
    <x v="2"/>
    <x v="1"/>
    <x v="0"/>
    <x v="0"/>
    <x v="1"/>
    <n v="5.97"/>
    <n v="1.194"/>
    <n v="0.35819999999999996"/>
    <x v="0"/>
    <x v="44"/>
  </r>
  <r>
    <d v="2019-09-11T00:00:00"/>
    <s v="L-L-2.5"/>
    <n v="2"/>
    <x v="53"/>
    <s v="Provo"/>
    <x v="0"/>
    <x v="1"/>
    <x v="3"/>
    <x v="1"/>
    <x v="2"/>
    <n v="36.454999999999998"/>
    <n v="1.4581999999999999"/>
    <n v="4.7391499999999995"/>
    <x v="0"/>
    <x v="37"/>
  </r>
  <r>
    <d v="2021-03-16T00:00:00"/>
    <s v="L-M-1"/>
    <n v="5"/>
    <x v="54"/>
    <s v="Toledo"/>
    <x v="0"/>
    <x v="1"/>
    <x v="3"/>
    <x v="0"/>
    <x v="0"/>
    <n v="14.55"/>
    <n v="1.4550000000000001"/>
    <n v="1.8915000000000002"/>
    <x v="7"/>
    <x v="45"/>
  </r>
  <r>
    <d v="2020-12-03T00:00:00"/>
    <s v="L-L-1"/>
    <n v="3"/>
    <x v="55"/>
    <s v="Trenton"/>
    <x v="0"/>
    <x v="1"/>
    <x v="3"/>
    <x v="1"/>
    <x v="0"/>
    <n v="15.85"/>
    <n v="1.585"/>
    <n v="2.0605000000000002"/>
    <x v="16"/>
    <x v="46"/>
  </r>
  <r>
    <d v="2020-01-27T00:00:00"/>
    <s v="E-D-0.2"/>
    <n v="3"/>
    <x v="56"/>
    <s v="Tampa"/>
    <x v="0"/>
    <x v="0"/>
    <x v="1"/>
    <x v="2"/>
    <x v="3"/>
    <n v="3.645"/>
    <n v="1.8225"/>
    <n v="0.40095000000000003"/>
    <x v="32"/>
    <x v="47"/>
  </r>
  <r>
    <d v="2022-07-17T00:00:00"/>
    <s v="E-L-1"/>
    <n v="4"/>
    <x v="57"/>
    <s v="Pensacola"/>
    <x v="0"/>
    <x v="1"/>
    <x v="1"/>
    <x v="1"/>
    <x v="0"/>
    <n v="14.85"/>
    <n v="1.4849999999999999"/>
    <n v="1.6335"/>
    <x v="9"/>
    <x v="48"/>
  </r>
  <r>
    <d v="2022-03-04T00:00:00"/>
    <s v="L-D-2.5"/>
    <n v="3"/>
    <x v="58"/>
    <s v="Zephyrhills"/>
    <x v="0"/>
    <x v="0"/>
    <x v="3"/>
    <x v="2"/>
    <x v="2"/>
    <n v="29.784999999999997"/>
    <n v="1.1913999999999998"/>
    <n v="3.8720499999999998"/>
    <x v="33"/>
    <x v="49"/>
  </r>
  <r>
    <d v="2021-12-07T00:00:00"/>
    <s v="L-M-0.5"/>
    <n v="3"/>
    <x v="59"/>
    <s v="Saint Paul"/>
    <x v="0"/>
    <x v="0"/>
    <x v="3"/>
    <x v="0"/>
    <x v="1"/>
    <n v="8.73"/>
    <n v="1.746"/>
    <n v="1.1349"/>
    <x v="34"/>
    <x v="50"/>
  </r>
  <r>
    <d v="2021-02-25T00:00:00"/>
    <s v="A-D-2.5"/>
    <n v="5"/>
    <x v="60"/>
    <s v="Fort Wayne"/>
    <x v="0"/>
    <x v="1"/>
    <x v="2"/>
    <x v="2"/>
    <x v="2"/>
    <n v="22.884999999999998"/>
    <n v="0.91539999999999988"/>
    <n v="2.0596499999999995"/>
    <x v="23"/>
    <x v="15"/>
  </r>
  <r>
    <d v="2019-02-25T00:00:00"/>
    <s v="R-D-0.5"/>
    <n v="5"/>
    <x v="61"/>
    <s v="Wootton"/>
    <x v="2"/>
    <x v="0"/>
    <x v="0"/>
    <x v="2"/>
    <x v="1"/>
    <n v="5.3699999999999992"/>
    <n v="1.0739999999999998"/>
    <n v="0.32219999999999993"/>
    <x v="20"/>
    <x v="51"/>
  </r>
  <r>
    <d v="2019-02-09T00:00:00"/>
    <s v="L-L-0.2"/>
    <n v="5"/>
    <x v="62"/>
    <s v="Naples"/>
    <x v="0"/>
    <x v="0"/>
    <x v="3"/>
    <x v="1"/>
    <x v="3"/>
    <n v="4.7549999999999999"/>
    <n v="2.3774999999999999"/>
    <n v="0.61814999999999998"/>
    <x v="20"/>
    <x v="29"/>
  </r>
  <r>
    <d v="2020-02-07T00:00:00"/>
    <s v="A-M-0.5"/>
    <n v="1"/>
    <x v="63"/>
    <s v="Chicago"/>
    <x v="0"/>
    <x v="1"/>
    <x v="2"/>
    <x v="0"/>
    <x v="1"/>
    <n v="6.75"/>
    <n v="1.35"/>
    <n v="0.60749999999999993"/>
    <x v="35"/>
    <x v="52"/>
  </r>
  <r>
    <d v="2020-03-23T00:00:00"/>
    <s v="R-M-0.5"/>
    <n v="6"/>
    <x v="64"/>
    <s v="Newark"/>
    <x v="0"/>
    <x v="0"/>
    <x v="0"/>
    <x v="0"/>
    <x v="1"/>
    <n v="5.97"/>
    <n v="1.194"/>
    <n v="0.35819999999999996"/>
    <x v="36"/>
    <x v="27"/>
  </r>
  <r>
    <d v="2022-03-06T00:00:00"/>
    <s v="R-D-2.5"/>
    <n v="4"/>
    <x v="65"/>
    <s v="Vienna"/>
    <x v="0"/>
    <x v="0"/>
    <x v="0"/>
    <x v="2"/>
    <x v="2"/>
    <n v="20.584999999999997"/>
    <n v="0.82339999999999991"/>
    <n v="1.2350999999999999"/>
    <x v="33"/>
    <x v="18"/>
  </r>
  <r>
    <d v="2022-04-15T00:00:00"/>
    <s v="R-L-0.5"/>
    <n v="1"/>
    <x v="66"/>
    <s v="Fort Worth"/>
    <x v="0"/>
    <x v="0"/>
    <x v="0"/>
    <x v="1"/>
    <x v="1"/>
    <n v="7.169999999999999"/>
    <n v="1.4339999999999997"/>
    <n v="0.43019999999999992"/>
    <x v="11"/>
    <x v="53"/>
  </r>
  <r>
    <d v="2021-11-19T00:00:00"/>
    <s v="L-L-0.2"/>
    <n v="2"/>
    <x v="67"/>
    <s v="Burbank"/>
    <x v="0"/>
    <x v="1"/>
    <x v="3"/>
    <x v="1"/>
    <x v="3"/>
    <n v="4.7549999999999999"/>
    <n v="2.3774999999999999"/>
    <n v="0.61814999999999998"/>
    <x v="26"/>
    <x v="54"/>
  </r>
  <r>
    <d v="2019-10-16T00:00:00"/>
    <s v="R-M-0.2"/>
    <n v="1"/>
    <x v="68"/>
    <s v="Kingsport"/>
    <x v="0"/>
    <x v="1"/>
    <x v="0"/>
    <x v="0"/>
    <x v="3"/>
    <n v="2.9849999999999999"/>
    <n v="1.4924999999999999"/>
    <n v="0.17909999999999998"/>
    <x v="14"/>
    <x v="55"/>
  </r>
  <r>
    <d v="2019-11-26T00:00:00"/>
    <s v="R-M-1"/>
    <n v="6"/>
    <x v="69"/>
    <s v="Liverpool"/>
    <x v="2"/>
    <x v="0"/>
    <x v="0"/>
    <x v="0"/>
    <x v="0"/>
    <n v="9.9499999999999993"/>
    <n v="0.99499999999999988"/>
    <n v="0.59699999999999998"/>
    <x v="30"/>
    <x v="33"/>
  </r>
  <r>
    <d v="2019-06-30T00:00:00"/>
    <s v="E-L-2.5"/>
    <n v="4"/>
    <x v="70"/>
    <s v="Columbus"/>
    <x v="0"/>
    <x v="1"/>
    <x v="1"/>
    <x v="1"/>
    <x v="2"/>
    <n v="34.154999999999994"/>
    <n v="1.3661999999999999"/>
    <n v="3.7570499999999996"/>
    <x v="15"/>
    <x v="56"/>
  </r>
  <r>
    <d v="2021-01-04T00:00:00"/>
    <s v="L-L-0.2"/>
    <n v="2"/>
    <x v="71"/>
    <s v="Newmarket on Fergus"/>
    <x v="1"/>
    <x v="1"/>
    <x v="3"/>
    <x v="1"/>
    <x v="3"/>
    <n v="4.7549999999999999"/>
    <n v="2.3774999999999999"/>
    <n v="0.61814999999999998"/>
    <x v="17"/>
    <x v="54"/>
  </r>
  <r>
    <d v="2020-10-27T00:00:00"/>
    <s v="A-M-2.5"/>
    <n v="3"/>
    <x v="72"/>
    <s v="New Orleans"/>
    <x v="0"/>
    <x v="1"/>
    <x v="2"/>
    <x v="0"/>
    <x v="2"/>
    <n v="25.874999999999996"/>
    <n v="1.0349999999999999"/>
    <n v="2.3287499999999994"/>
    <x v="8"/>
    <x v="57"/>
  </r>
  <r>
    <d v="2021-06-15T00:00:00"/>
    <s v="L-M-0.2"/>
    <n v="5"/>
    <x v="73"/>
    <s v="Charlotte"/>
    <x v="0"/>
    <x v="0"/>
    <x v="3"/>
    <x v="0"/>
    <x v="3"/>
    <n v="4.3650000000000002"/>
    <n v="2.1825000000000001"/>
    <n v="0.56745000000000001"/>
    <x v="1"/>
    <x v="26"/>
  </r>
  <r>
    <d v="2021-07-19T00:00:00"/>
    <s v="E-L-0.5"/>
    <n v="2"/>
    <x v="74"/>
    <s v="Springfield"/>
    <x v="0"/>
    <x v="0"/>
    <x v="1"/>
    <x v="1"/>
    <x v="1"/>
    <n v="8.91"/>
    <n v="1.782"/>
    <n v="0.98009999999999997"/>
    <x v="2"/>
    <x v="58"/>
  </r>
  <r>
    <d v="2021-07-23T00:00:00"/>
    <s v="R-D-1"/>
    <n v="6"/>
    <x v="75"/>
    <s v="Listowel"/>
    <x v="1"/>
    <x v="0"/>
    <x v="0"/>
    <x v="2"/>
    <x v="0"/>
    <n v="8.9499999999999993"/>
    <n v="0.89499999999999991"/>
    <n v="0.53699999999999992"/>
    <x v="2"/>
    <x v="59"/>
  </r>
  <r>
    <d v="2020-01-25T00:00:00"/>
    <s v="R-L-0.2"/>
    <n v="1"/>
    <x v="76"/>
    <s v="Moycullen"/>
    <x v="1"/>
    <x v="0"/>
    <x v="0"/>
    <x v="1"/>
    <x v="3"/>
    <n v="3.5849999999999995"/>
    <n v="1.7924999999999998"/>
    <n v="0.21509999999999996"/>
    <x v="32"/>
    <x v="60"/>
  </r>
  <r>
    <d v="2019-05-09T00:00:00"/>
    <s v="E-D-0.2"/>
    <n v="2"/>
    <x v="77"/>
    <s v="Midland"/>
    <x v="0"/>
    <x v="1"/>
    <x v="1"/>
    <x v="2"/>
    <x v="3"/>
    <n v="3.645"/>
    <n v="1.8225"/>
    <n v="0.40095000000000003"/>
    <x v="28"/>
    <x v="35"/>
  </r>
  <r>
    <d v="2020-03-30T00:00:00"/>
    <s v="A-M-0.5"/>
    <n v="6"/>
    <x v="78"/>
    <s v="Dallas"/>
    <x v="0"/>
    <x v="0"/>
    <x v="2"/>
    <x v="0"/>
    <x v="1"/>
    <n v="6.75"/>
    <n v="1.35"/>
    <n v="0.60749999999999993"/>
    <x v="36"/>
    <x v="61"/>
  </r>
  <r>
    <d v="2022-03-13T00:00:00"/>
    <s v="R-L-1"/>
    <n v="4"/>
    <x v="79"/>
    <s v="Dulles"/>
    <x v="0"/>
    <x v="1"/>
    <x v="0"/>
    <x v="1"/>
    <x v="0"/>
    <n v="11.95"/>
    <n v="1.1949999999999998"/>
    <n v="0.71699999999999997"/>
    <x v="33"/>
    <x v="62"/>
  </r>
  <r>
    <d v="2019-04-17T00:00:00"/>
    <s v="A-L-0.5"/>
    <n v="5"/>
    <x v="80"/>
    <s v="Oakland"/>
    <x v="0"/>
    <x v="0"/>
    <x v="2"/>
    <x v="1"/>
    <x v="1"/>
    <n v="7.77"/>
    <n v="1.5539999999999998"/>
    <n v="0.69929999999999992"/>
    <x v="24"/>
    <x v="5"/>
  </r>
  <r>
    <d v="2019-10-25T00:00:00"/>
    <s v="L-L-2.5"/>
    <n v="3"/>
    <x v="81"/>
    <s v="Colorado Springs"/>
    <x v="0"/>
    <x v="0"/>
    <x v="3"/>
    <x v="1"/>
    <x v="2"/>
    <n v="36.454999999999998"/>
    <n v="1.4581999999999999"/>
    <n v="4.7391499999999995"/>
    <x v="14"/>
    <x v="63"/>
  </r>
  <r>
    <d v="2019-09-13T00:00:00"/>
    <s v="L-M-2.5"/>
    <n v="3"/>
    <x v="82"/>
    <s v="Adare"/>
    <x v="1"/>
    <x v="0"/>
    <x v="3"/>
    <x v="0"/>
    <x v="2"/>
    <n v="33.464999999999996"/>
    <n v="1.3385999999999998"/>
    <n v="4.3504499999999995"/>
    <x v="0"/>
    <x v="64"/>
  </r>
  <r>
    <d v="2020-04-12T00:00:00"/>
    <s v="R-D-2.5"/>
    <n v="4"/>
    <x v="83"/>
    <s v="Buffalo"/>
    <x v="0"/>
    <x v="0"/>
    <x v="0"/>
    <x v="2"/>
    <x v="2"/>
    <n v="20.584999999999997"/>
    <n v="0.82339999999999991"/>
    <n v="1.2350999999999999"/>
    <x v="25"/>
    <x v="18"/>
  </r>
  <r>
    <d v="2019-11-14T00:00:00"/>
    <s v="L-L-0.5"/>
    <n v="1"/>
    <x v="84"/>
    <s v="Fresno"/>
    <x v="0"/>
    <x v="1"/>
    <x v="3"/>
    <x v="1"/>
    <x v="1"/>
    <n v="9.51"/>
    <n v="1.9019999999999999"/>
    <n v="1.2363"/>
    <x v="30"/>
    <x v="54"/>
  </r>
  <r>
    <d v="2019-07-18T00:00:00"/>
    <s v="A-L-2.5"/>
    <n v="3"/>
    <x v="85"/>
    <s v="Fort Worth"/>
    <x v="0"/>
    <x v="1"/>
    <x v="2"/>
    <x v="1"/>
    <x v="2"/>
    <n v="29.784999999999997"/>
    <n v="1.1913999999999998"/>
    <n v="2.6806499999999995"/>
    <x v="37"/>
    <x v="49"/>
  </r>
  <r>
    <d v="2019-07-18T00:00:00"/>
    <s v="A-D-0.2"/>
    <n v="4"/>
    <x v="86"/>
    <s v="Oklahoma City"/>
    <x v="0"/>
    <x v="0"/>
    <x v="2"/>
    <x v="2"/>
    <x v="3"/>
    <n v="2.9849999999999999"/>
    <n v="1.4924999999999999"/>
    <n v="0.26865"/>
    <x v="37"/>
    <x v="22"/>
  </r>
  <r>
    <d v="2021-04-03T00:00:00"/>
    <s v="A-M-1"/>
    <n v="3"/>
    <x v="87"/>
    <s v="Beaumont"/>
    <x v="0"/>
    <x v="1"/>
    <x v="2"/>
    <x v="0"/>
    <x v="0"/>
    <n v="11.25"/>
    <n v="1.125"/>
    <n v="1.0125"/>
    <x v="27"/>
    <x v="65"/>
  </r>
  <r>
    <d v="2021-03-29T00:00:00"/>
    <s v="R-L-1"/>
    <n v="3"/>
    <x v="88"/>
    <s v="Reno"/>
    <x v="0"/>
    <x v="1"/>
    <x v="0"/>
    <x v="1"/>
    <x v="0"/>
    <n v="11.95"/>
    <n v="1.1949999999999998"/>
    <n v="0.71699999999999997"/>
    <x v="7"/>
    <x v="66"/>
  </r>
  <r>
    <d v="2021-12-15T00:00:00"/>
    <s v="A-L-1"/>
    <n v="6"/>
    <x v="89"/>
    <s v="Kansas City"/>
    <x v="0"/>
    <x v="1"/>
    <x v="2"/>
    <x v="1"/>
    <x v="0"/>
    <n v="12.95"/>
    <n v="1.2949999999999999"/>
    <n v="1.1655"/>
    <x v="34"/>
    <x v="17"/>
  </r>
  <r>
    <d v="2020-05-20T00:00:00"/>
    <s v="A-L-1"/>
    <n v="4"/>
    <x v="90"/>
    <s v="Crumlin"/>
    <x v="1"/>
    <x v="0"/>
    <x v="2"/>
    <x v="1"/>
    <x v="0"/>
    <n v="12.95"/>
    <n v="1.2949999999999999"/>
    <n v="1.1655"/>
    <x v="10"/>
    <x v="67"/>
  </r>
  <r>
    <d v="2020-11-02T00:00:00"/>
    <s v="A-M-2.5"/>
    <n v="4"/>
    <x v="91"/>
    <s v="Corona"/>
    <x v="0"/>
    <x v="1"/>
    <x v="2"/>
    <x v="0"/>
    <x v="2"/>
    <n v="25.874999999999996"/>
    <n v="1.0349999999999999"/>
    <n v="2.3287499999999994"/>
    <x v="38"/>
    <x v="68"/>
  </r>
  <r>
    <d v="2020-07-25T00:00:00"/>
    <s v="E-L-1"/>
    <n v="3"/>
    <x v="92"/>
    <s v="Austin"/>
    <x v="0"/>
    <x v="0"/>
    <x v="1"/>
    <x v="1"/>
    <x v="0"/>
    <n v="14.85"/>
    <n v="1.4849999999999999"/>
    <n v="1.6335"/>
    <x v="39"/>
    <x v="69"/>
  </r>
  <r>
    <d v="2019-03-14T00:00:00"/>
    <s v="E-L-0.5"/>
    <n v="4"/>
    <x v="93"/>
    <s v="Normanton"/>
    <x v="2"/>
    <x v="0"/>
    <x v="1"/>
    <x v="1"/>
    <x v="1"/>
    <n v="8.91"/>
    <n v="1.782"/>
    <n v="0.98009999999999997"/>
    <x v="13"/>
    <x v="70"/>
  </r>
  <r>
    <d v="2020-07-02T00:00:00"/>
    <s v="A-D-0.2"/>
    <n v="6"/>
    <x v="94"/>
    <s v="Charlesland"/>
    <x v="1"/>
    <x v="0"/>
    <x v="2"/>
    <x v="2"/>
    <x v="3"/>
    <n v="2.9849999999999999"/>
    <n v="1.4924999999999999"/>
    <n v="0.26865"/>
    <x v="39"/>
    <x v="8"/>
  </r>
  <r>
    <d v="2019-12-17T00:00:00"/>
    <s v="A-M-2.5"/>
    <n v="6"/>
    <x v="95"/>
    <s v="Fresno"/>
    <x v="0"/>
    <x v="1"/>
    <x v="2"/>
    <x v="0"/>
    <x v="2"/>
    <n v="25.874999999999996"/>
    <n v="1.0349999999999999"/>
    <n v="2.3287499999999994"/>
    <x v="40"/>
    <x v="71"/>
  </r>
  <r>
    <d v="2020-12-06T00:00:00"/>
    <s v="A-D-0.2"/>
    <n v="2"/>
    <x v="96"/>
    <s v="Saint Louis"/>
    <x v="0"/>
    <x v="1"/>
    <x v="2"/>
    <x v="2"/>
    <x v="3"/>
    <n v="2.9849999999999999"/>
    <n v="1.4924999999999999"/>
    <n v="0.26865"/>
    <x v="16"/>
    <x v="9"/>
  </r>
  <r>
    <d v="2021-03-04T00:00:00"/>
    <s v="A-M-0.5"/>
    <n v="2"/>
    <x v="97"/>
    <s v="Fresno"/>
    <x v="0"/>
    <x v="1"/>
    <x v="2"/>
    <x v="0"/>
    <x v="1"/>
    <n v="6.75"/>
    <n v="1.35"/>
    <n v="0.60749999999999993"/>
    <x v="7"/>
    <x v="72"/>
  </r>
  <r>
    <d v="2021-07-17T00:00:00"/>
    <s v="A-D-0.2"/>
    <n v="1"/>
    <x v="98"/>
    <s v="Confey"/>
    <x v="1"/>
    <x v="1"/>
    <x v="2"/>
    <x v="2"/>
    <x v="3"/>
    <n v="2.9849999999999999"/>
    <n v="1.4924999999999999"/>
    <n v="0.26865"/>
    <x v="2"/>
    <x v="55"/>
  </r>
  <r>
    <d v="2020-11-04T00:00:00"/>
    <s v="L-M-0.2"/>
    <n v="3"/>
    <x v="99"/>
    <s v="Columbus"/>
    <x v="0"/>
    <x v="0"/>
    <x v="3"/>
    <x v="0"/>
    <x v="3"/>
    <n v="4.3650000000000002"/>
    <n v="2.1825000000000001"/>
    <n v="0.56745000000000001"/>
    <x v="38"/>
    <x v="73"/>
  </r>
  <r>
    <d v="2021-04-05T00:00:00"/>
    <s v="A-L-0.2"/>
    <n v="2"/>
    <x v="100"/>
    <s v="Stockton"/>
    <x v="0"/>
    <x v="0"/>
    <x v="2"/>
    <x v="1"/>
    <x v="3"/>
    <n v="3.8849999999999998"/>
    <n v="1.9424999999999999"/>
    <n v="0.34964999999999996"/>
    <x v="27"/>
    <x v="41"/>
  </r>
  <r>
    <d v="2020-03-01T00:00:00"/>
    <s v="L-D-2.5"/>
    <n v="5"/>
    <x v="101"/>
    <s v="Edgeworthstown"/>
    <x v="1"/>
    <x v="0"/>
    <x v="3"/>
    <x v="2"/>
    <x v="2"/>
    <n v="29.784999999999997"/>
    <n v="1.1913999999999998"/>
    <n v="3.8720499999999998"/>
    <x v="36"/>
    <x v="74"/>
  </r>
  <r>
    <d v="2021-10-19T00:00:00"/>
    <s v="L-D-1"/>
    <n v="3"/>
    <x v="102"/>
    <s v="Leixlip"/>
    <x v="1"/>
    <x v="0"/>
    <x v="3"/>
    <x v="2"/>
    <x v="0"/>
    <n v="12.95"/>
    <n v="1.2949999999999999"/>
    <n v="1.6835"/>
    <x v="29"/>
    <x v="5"/>
  </r>
  <r>
    <d v="2022-07-08T00:00:00"/>
    <s v="R-M-0.2"/>
    <n v="4"/>
    <x v="103"/>
    <s v="Rochester"/>
    <x v="0"/>
    <x v="1"/>
    <x v="0"/>
    <x v="0"/>
    <x v="3"/>
    <n v="2.9849999999999999"/>
    <n v="1.4924999999999999"/>
    <n v="0.17909999999999998"/>
    <x v="9"/>
    <x v="22"/>
  </r>
  <r>
    <d v="2019-08-17T00:00:00"/>
    <s v="L-M-1"/>
    <n v="6"/>
    <x v="104"/>
    <s v="Tuscaloosa"/>
    <x v="0"/>
    <x v="1"/>
    <x v="3"/>
    <x v="0"/>
    <x v="0"/>
    <n v="14.55"/>
    <n v="1.4550000000000001"/>
    <n v="1.8915000000000002"/>
    <x v="41"/>
    <x v="75"/>
  </r>
  <r>
    <d v="2020-05-31T00:00:00"/>
    <s v="A-M-0.5"/>
    <n v="6"/>
    <x v="105"/>
    <s v="Houston"/>
    <x v="0"/>
    <x v="0"/>
    <x v="2"/>
    <x v="0"/>
    <x v="1"/>
    <n v="6.75"/>
    <n v="1.35"/>
    <n v="0.60749999999999993"/>
    <x v="10"/>
    <x v="61"/>
  </r>
  <r>
    <d v="2020-05-05T00:00:00"/>
    <s v="E-D-1"/>
    <n v="2"/>
    <x v="106"/>
    <s v="El Paso"/>
    <x v="0"/>
    <x v="1"/>
    <x v="1"/>
    <x v="2"/>
    <x v="0"/>
    <n v="12.15"/>
    <n v="1.2150000000000001"/>
    <n v="1.3365"/>
    <x v="10"/>
    <x v="76"/>
  </r>
  <r>
    <d v="2019-04-14T00:00:00"/>
    <s v="R-M-0.5"/>
    <n v="3"/>
    <x v="107"/>
    <s v="Colorado Springs"/>
    <x v="0"/>
    <x v="0"/>
    <x v="0"/>
    <x v="0"/>
    <x v="1"/>
    <n v="5.97"/>
    <n v="1.194"/>
    <n v="0.35819999999999996"/>
    <x v="24"/>
    <x v="8"/>
  </r>
  <r>
    <d v="2020-07-29T00:00:00"/>
    <s v="A-M-0.5"/>
    <n v="4"/>
    <x v="108"/>
    <s v="Fort Wayne"/>
    <x v="0"/>
    <x v="1"/>
    <x v="2"/>
    <x v="0"/>
    <x v="1"/>
    <n v="6.75"/>
    <n v="1.35"/>
    <n v="0.60749999999999993"/>
    <x v="39"/>
    <x v="25"/>
  </r>
  <r>
    <d v="2019-12-12T00:00:00"/>
    <s v="L-D-0.5"/>
    <n v="1"/>
    <x v="109"/>
    <s v="Port Washington"/>
    <x v="0"/>
    <x v="0"/>
    <x v="3"/>
    <x v="2"/>
    <x v="1"/>
    <n v="7.77"/>
    <n v="1.5539999999999998"/>
    <n v="1.0101"/>
    <x v="40"/>
    <x v="41"/>
  </r>
  <r>
    <d v="2022-06-15T00:00:00"/>
    <s v="E-L-0.2"/>
    <n v="3"/>
    <x v="110"/>
    <s v="Springfield"/>
    <x v="0"/>
    <x v="0"/>
    <x v="1"/>
    <x v="1"/>
    <x v="3"/>
    <n v="4.4550000000000001"/>
    <n v="2.2275"/>
    <n v="0.49004999999999999"/>
    <x v="12"/>
    <x v="77"/>
  </r>
  <r>
    <d v="2019-06-26T00:00:00"/>
    <s v="R-D-0.5"/>
    <n v="5"/>
    <x v="111"/>
    <s v="Pensacola"/>
    <x v="0"/>
    <x v="1"/>
    <x v="0"/>
    <x v="2"/>
    <x v="1"/>
    <n v="5.3699999999999992"/>
    <n v="1.0739999999999998"/>
    <n v="0.32219999999999993"/>
    <x v="15"/>
    <x v="51"/>
  </r>
  <r>
    <d v="2021-10-12T00:00:00"/>
    <s v="A-M-1"/>
    <n v="1"/>
    <x v="112"/>
    <s v="Richmond"/>
    <x v="0"/>
    <x v="1"/>
    <x v="2"/>
    <x v="0"/>
    <x v="0"/>
    <n v="11.25"/>
    <n v="1.125"/>
    <n v="1.0125"/>
    <x v="29"/>
    <x v="23"/>
  </r>
  <r>
    <d v="2019-04-01T00:00:00"/>
    <s v="L-M-1"/>
    <n v="1"/>
    <x v="113"/>
    <s v="Cherryville"/>
    <x v="1"/>
    <x v="1"/>
    <x v="3"/>
    <x v="0"/>
    <x v="0"/>
    <n v="14.55"/>
    <n v="1.4550000000000001"/>
    <n v="1.8915000000000002"/>
    <x v="24"/>
    <x v="78"/>
  </r>
  <r>
    <d v="2021-03-10T00:00:00"/>
    <s v="R-L-0.2"/>
    <n v="4"/>
    <x v="114"/>
    <s v="Huntington"/>
    <x v="0"/>
    <x v="1"/>
    <x v="0"/>
    <x v="1"/>
    <x v="3"/>
    <n v="3.5849999999999995"/>
    <n v="1.7924999999999998"/>
    <n v="0.21509999999999996"/>
    <x v="7"/>
    <x v="79"/>
  </r>
  <r>
    <d v="2019-08-16T00:00:00"/>
    <s v="L-L-1"/>
    <n v="1"/>
    <x v="115"/>
    <s v="Birmingham"/>
    <x v="2"/>
    <x v="1"/>
    <x v="3"/>
    <x v="1"/>
    <x v="0"/>
    <n v="15.85"/>
    <n v="1.585"/>
    <n v="2.0605000000000002"/>
    <x v="41"/>
    <x v="80"/>
  </r>
  <r>
    <d v="2020-08-11T00:00:00"/>
    <s v="L-L-0.2"/>
    <n v="4"/>
    <x v="116"/>
    <s v="Killorglin"/>
    <x v="1"/>
    <x v="0"/>
    <x v="3"/>
    <x v="1"/>
    <x v="3"/>
    <n v="4.7549999999999999"/>
    <n v="2.3774999999999999"/>
    <n v="0.61814999999999998"/>
    <x v="42"/>
    <x v="81"/>
  </r>
  <r>
    <d v="2022-04-05T00:00:00"/>
    <s v="L-L-0.5"/>
    <n v="4"/>
    <x v="117"/>
    <s v="Dayton"/>
    <x v="0"/>
    <x v="1"/>
    <x v="3"/>
    <x v="1"/>
    <x v="1"/>
    <n v="9.51"/>
    <n v="1.9019999999999999"/>
    <n v="1.2363"/>
    <x v="11"/>
    <x v="82"/>
  </r>
  <r>
    <d v="2019-10-22T00:00:00"/>
    <s v="E-D-0.5"/>
    <n v="3"/>
    <x v="118"/>
    <s v="Anchorage"/>
    <x v="0"/>
    <x v="0"/>
    <x v="1"/>
    <x v="2"/>
    <x v="1"/>
    <n v="7.29"/>
    <n v="1.458"/>
    <n v="0.80190000000000006"/>
    <x v="14"/>
    <x v="6"/>
  </r>
  <r>
    <d v="2021-10-02T00:00:00"/>
    <s v="E-M-0.2"/>
    <n v="1"/>
    <x v="119"/>
    <s v="Nashville"/>
    <x v="0"/>
    <x v="1"/>
    <x v="1"/>
    <x v="0"/>
    <x v="3"/>
    <n v="4.125"/>
    <n v="2.0625"/>
    <n v="0.45374999999999999"/>
    <x v="29"/>
    <x v="83"/>
  </r>
  <r>
    <d v="2021-10-02T00:00:00"/>
    <s v="A-L-0.2"/>
    <n v="1"/>
    <x v="120"/>
    <s v="Los Angeles"/>
    <x v="0"/>
    <x v="0"/>
    <x v="2"/>
    <x v="1"/>
    <x v="3"/>
    <n v="3.8849999999999998"/>
    <n v="1.9424999999999999"/>
    <n v="0.34964999999999996"/>
    <x v="29"/>
    <x v="84"/>
  </r>
  <r>
    <d v="2021-10-02T00:00:00"/>
    <s v="E-M-1"/>
    <n v="5"/>
    <x v="121"/>
    <s v="Charlotte"/>
    <x v="0"/>
    <x v="1"/>
    <x v="1"/>
    <x v="0"/>
    <x v="0"/>
    <n v="13.75"/>
    <n v="1.375"/>
    <n v="1.5125"/>
    <x v="29"/>
    <x v="85"/>
  </r>
  <r>
    <d v="2021-03-13T00:00:00"/>
    <s v="A-D-0.5"/>
    <n v="4"/>
    <x v="122"/>
    <s v="Denver"/>
    <x v="0"/>
    <x v="0"/>
    <x v="2"/>
    <x v="2"/>
    <x v="1"/>
    <n v="5.97"/>
    <n v="1.194"/>
    <n v="0.5373"/>
    <x v="7"/>
    <x v="86"/>
  </r>
  <r>
    <d v="2022-06-12T00:00:00"/>
    <s v="L-L-2.5"/>
    <n v="4"/>
    <x v="123"/>
    <s v="Stamford"/>
    <x v="0"/>
    <x v="1"/>
    <x v="3"/>
    <x v="1"/>
    <x v="2"/>
    <n v="36.454999999999998"/>
    <n v="1.4581999999999999"/>
    <n v="4.7391499999999995"/>
    <x v="12"/>
    <x v="43"/>
  </r>
  <r>
    <d v="2019-04-27T00:00:00"/>
    <s v="L-M-0.2"/>
    <n v="5"/>
    <x v="124"/>
    <s v="Newport News"/>
    <x v="0"/>
    <x v="0"/>
    <x v="3"/>
    <x v="0"/>
    <x v="3"/>
    <n v="4.3650000000000002"/>
    <n v="2.1825000000000001"/>
    <n v="0.56745000000000001"/>
    <x v="24"/>
    <x v="26"/>
  </r>
  <r>
    <d v="2019-05-23T00:00:00"/>
    <s v="L-M-0.5"/>
    <n v="3"/>
    <x v="125"/>
    <s v="Drumcondra"/>
    <x v="1"/>
    <x v="0"/>
    <x v="3"/>
    <x v="0"/>
    <x v="1"/>
    <n v="8.73"/>
    <n v="1.746"/>
    <n v="1.1349"/>
    <x v="28"/>
    <x v="50"/>
  </r>
  <r>
    <d v="2020-07-14T00:00:00"/>
    <s v="A-M-1"/>
    <n v="1"/>
    <x v="126"/>
    <s v="Anchorage"/>
    <x v="0"/>
    <x v="1"/>
    <x v="2"/>
    <x v="0"/>
    <x v="0"/>
    <n v="11.25"/>
    <n v="1.125"/>
    <n v="1.0125"/>
    <x v="39"/>
    <x v="23"/>
  </r>
  <r>
    <d v="2021-11-10T00:00:00"/>
    <s v="L-D-1"/>
    <n v="6"/>
    <x v="127"/>
    <s v="Beaumont"/>
    <x v="1"/>
    <x v="1"/>
    <x v="3"/>
    <x v="2"/>
    <x v="0"/>
    <n v="12.95"/>
    <n v="1.2949999999999999"/>
    <n v="1.6835"/>
    <x v="26"/>
    <x v="17"/>
  </r>
  <r>
    <d v="2021-08-31T00:00:00"/>
    <s v="A-M-0.5"/>
    <n v="1"/>
    <x v="128"/>
    <s v="Fargo"/>
    <x v="0"/>
    <x v="1"/>
    <x v="2"/>
    <x v="0"/>
    <x v="1"/>
    <n v="6.75"/>
    <n v="1.35"/>
    <n v="0.60749999999999993"/>
    <x v="3"/>
    <x v="52"/>
  </r>
  <r>
    <d v="2019-07-06T00:00:00"/>
    <s v="E-D-1"/>
    <n v="1"/>
    <x v="129"/>
    <s v="Evansville"/>
    <x v="0"/>
    <x v="0"/>
    <x v="1"/>
    <x v="2"/>
    <x v="0"/>
    <n v="12.15"/>
    <n v="1.2150000000000001"/>
    <n v="1.3365"/>
    <x v="37"/>
    <x v="87"/>
  </r>
  <r>
    <d v="2022-03-04T00:00:00"/>
    <s v="A-L-2.5"/>
    <n v="5"/>
    <x v="130"/>
    <s v="Cherryville"/>
    <x v="1"/>
    <x v="0"/>
    <x v="2"/>
    <x v="1"/>
    <x v="2"/>
    <n v="29.784999999999997"/>
    <n v="1.1913999999999998"/>
    <n v="2.6806499999999995"/>
    <x v="33"/>
    <x v="74"/>
  </r>
  <r>
    <d v="2020-12-31T00:00:00"/>
    <s v="E-D-0.5"/>
    <n v="2"/>
    <x v="131"/>
    <s v="Charlotte"/>
    <x v="0"/>
    <x v="0"/>
    <x v="1"/>
    <x v="2"/>
    <x v="1"/>
    <n v="7.29"/>
    <n v="1.458"/>
    <n v="0.80190000000000006"/>
    <x v="16"/>
    <x v="20"/>
  </r>
  <r>
    <d v="2020-07-31T00:00:00"/>
    <s v="A-L-2.5"/>
    <n v="5"/>
    <x v="132"/>
    <s v="Huntsville"/>
    <x v="0"/>
    <x v="0"/>
    <x v="2"/>
    <x v="1"/>
    <x v="2"/>
    <n v="29.784999999999997"/>
    <n v="1.1913999999999998"/>
    <n v="2.6806499999999995"/>
    <x v="39"/>
    <x v="74"/>
  </r>
  <r>
    <d v="2021-05-24T00:00:00"/>
    <s v="L-D-1"/>
    <n v="1"/>
    <x v="133"/>
    <s v="Santa Ana"/>
    <x v="0"/>
    <x v="1"/>
    <x v="3"/>
    <x v="2"/>
    <x v="0"/>
    <n v="12.95"/>
    <n v="1.2949999999999999"/>
    <n v="1.6835"/>
    <x v="43"/>
    <x v="2"/>
  </r>
  <r>
    <d v="2022-07-16T00:00:00"/>
    <s v="E-M-2.5"/>
    <n v="3"/>
    <x v="134"/>
    <s v="Washington"/>
    <x v="0"/>
    <x v="0"/>
    <x v="1"/>
    <x v="0"/>
    <x v="2"/>
    <n v="31.624999999999996"/>
    <n v="1.2649999999999999"/>
    <n v="3.4787499999999998"/>
    <x v="9"/>
    <x v="88"/>
  </r>
  <r>
    <d v="2021-02-05T00:00:00"/>
    <s v="A-L-0.5"/>
    <n v="5"/>
    <x v="135"/>
    <s v="Macroom"/>
    <x v="1"/>
    <x v="1"/>
    <x v="2"/>
    <x v="1"/>
    <x v="1"/>
    <n v="7.77"/>
    <n v="1.5539999999999998"/>
    <n v="0.69929999999999992"/>
    <x v="23"/>
    <x v="5"/>
  </r>
  <r>
    <d v="2021-07-29T00:00:00"/>
    <s v="A-D-0.2"/>
    <n v="4"/>
    <x v="136"/>
    <s v="Saint Louis"/>
    <x v="0"/>
    <x v="1"/>
    <x v="2"/>
    <x v="2"/>
    <x v="3"/>
    <n v="2.9849999999999999"/>
    <n v="1.4924999999999999"/>
    <n v="0.26865"/>
    <x v="2"/>
    <x v="22"/>
  </r>
  <r>
    <d v="2022-03-17T00:00:00"/>
    <s v="E-L-2.5"/>
    <n v="3"/>
    <x v="137"/>
    <s v="Bailieborough"/>
    <x v="1"/>
    <x v="1"/>
    <x v="1"/>
    <x v="1"/>
    <x v="2"/>
    <n v="34.154999999999994"/>
    <n v="1.3661999999999999"/>
    <n v="3.7570499999999996"/>
    <x v="33"/>
    <x v="89"/>
  </r>
  <r>
    <d v="2021-02-11T00:00:00"/>
    <s v="E-D-1"/>
    <n v="4"/>
    <x v="138"/>
    <s v="Honolulu"/>
    <x v="0"/>
    <x v="1"/>
    <x v="1"/>
    <x v="2"/>
    <x v="0"/>
    <n v="12.15"/>
    <n v="1.2150000000000001"/>
    <n v="1.3365"/>
    <x v="23"/>
    <x v="90"/>
  </r>
  <r>
    <d v="2019-02-13T00:00:00"/>
    <s v="L-D-1"/>
    <n v="6"/>
    <x v="139"/>
    <s v="Corona"/>
    <x v="0"/>
    <x v="0"/>
    <x v="3"/>
    <x v="2"/>
    <x v="0"/>
    <n v="12.95"/>
    <n v="1.2949999999999999"/>
    <n v="1.6835"/>
    <x v="20"/>
    <x v="17"/>
  </r>
  <r>
    <d v="2022-05-13T00:00:00"/>
    <s v="L-D-2.5"/>
    <n v="1"/>
    <x v="140"/>
    <s v="Ballivor"/>
    <x v="1"/>
    <x v="0"/>
    <x v="3"/>
    <x v="2"/>
    <x v="2"/>
    <n v="29.784999999999997"/>
    <n v="1.1913999999999998"/>
    <n v="3.8720499999999998"/>
    <x v="5"/>
    <x v="91"/>
  </r>
  <r>
    <d v="2020-05-19T00:00:00"/>
    <s v="A-L-0.2"/>
    <n v="4"/>
    <x v="141"/>
    <s v="Washington"/>
    <x v="0"/>
    <x v="0"/>
    <x v="2"/>
    <x v="1"/>
    <x v="3"/>
    <n v="3.8849999999999998"/>
    <n v="1.9424999999999999"/>
    <n v="0.34964999999999996"/>
    <x v="10"/>
    <x v="42"/>
  </r>
  <r>
    <d v="2022-04-27T00:00:00"/>
    <s v="E-L-2.5"/>
    <n v="4"/>
    <x v="142"/>
    <s v="Portumna"/>
    <x v="1"/>
    <x v="0"/>
    <x v="1"/>
    <x v="1"/>
    <x v="2"/>
    <n v="34.154999999999994"/>
    <n v="1.3661999999999999"/>
    <n v="3.7570499999999996"/>
    <x v="11"/>
    <x v="56"/>
  </r>
  <r>
    <d v="2020-09-09T00:00:00"/>
    <s v="L-M-0.5"/>
    <n v="2"/>
    <x v="143"/>
    <s v="Houston"/>
    <x v="0"/>
    <x v="1"/>
    <x v="3"/>
    <x v="0"/>
    <x v="1"/>
    <n v="8.73"/>
    <n v="1.746"/>
    <n v="1.1349"/>
    <x v="31"/>
    <x v="92"/>
  </r>
  <r>
    <d v="2021-03-10T00:00:00"/>
    <s v="E-L-2.5"/>
    <n v="2"/>
    <x v="144"/>
    <s v="Orange"/>
    <x v="0"/>
    <x v="0"/>
    <x v="1"/>
    <x v="1"/>
    <x v="2"/>
    <n v="34.154999999999994"/>
    <n v="1.3661999999999999"/>
    <n v="3.7570499999999996"/>
    <x v="7"/>
    <x v="93"/>
  </r>
  <r>
    <d v="2019-04-07T00:00:00"/>
    <s v="L-M-0.2"/>
    <n v="4"/>
    <x v="145"/>
    <s v="El Paso"/>
    <x v="0"/>
    <x v="1"/>
    <x v="3"/>
    <x v="0"/>
    <x v="3"/>
    <n v="4.3650000000000002"/>
    <n v="2.1825000000000001"/>
    <n v="0.56745000000000001"/>
    <x v="24"/>
    <x v="92"/>
  </r>
  <r>
    <d v="2020-07-12T00:00:00"/>
    <s v="L-M-1"/>
    <n v="3"/>
    <x v="146"/>
    <s v="Carson City"/>
    <x v="0"/>
    <x v="1"/>
    <x v="3"/>
    <x v="0"/>
    <x v="0"/>
    <n v="14.55"/>
    <n v="1.4550000000000001"/>
    <n v="1.8915000000000002"/>
    <x v="39"/>
    <x v="34"/>
  </r>
  <r>
    <d v="2020-07-12T00:00:00"/>
    <s v="E-M-1"/>
    <n v="2"/>
    <x v="147"/>
    <s v="Fort Worth"/>
    <x v="0"/>
    <x v="0"/>
    <x v="1"/>
    <x v="0"/>
    <x v="0"/>
    <n v="13.75"/>
    <n v="1.375"/>
    <n v="1.5125"/>
    <x v="39"/>
    <x v="3"/>
  </r>
  <r>
    <d v="2021-12-21T00:00:00"/>
    <s v="E-D-0.2"/>
    <n v="5"/>
    <x v="148"/>
    <s v="Provo"/>
    <x v="0"/>
    <x v="0"/>
    <x v="1"/>
    <x v="2"/>
    <x v="3"/>
    <n v="3.645"/>
    <n v="1.8225"/>
    <n v="0.40095000000000003"/>
    <x v="34"/>
    <x v="94"/>
  </r>
  <r>
    <d v="2020-10-04T00:00:00"/>
    <s v="A-M-2.5"/>
    <n v="2"/>
    <x v="149"/>
    <s v="Boca Raton"/>
    <x v="0"/>
    <x v="0"/>
    <x v="2"/>
    <x v="0"/>
    <x v="2"/>
    <n v="25.874999999999996"/>
    <n v="1.0349999999999999"/>
    <n v="2.3287499999999994"/>
    <x v="8"/>
    <x v="95"/>
  </r>
  <r>
    <d v="2020-08-08T00:00:00"/>
    <s v="L-D-1"/>
    <n v="1"/>
    <x v="150"/>
    <s v="Roanoke"/>
    <x v="0"/>
    <x v="0"/>
    <x v="3"/>
    <x v="2"/>
    <x v="0"/>
    <n v="12.95"/>
    <n v="1.2949999999999999"/>
    <n v="1.6835"/>
    <x v="42"/>
    <x v="2"/>
  </r>
  <r>
    <d v="2020-10-11T00:00:00"/>
    <s v="A-M-1"/>
    <n v="3"/>
    <x v="151"/>
    <s v="Des Moines"/>
    <x v="0"/>
    <x v="0"/>
    <x v="2"/>
    <x v="0"/>
    <x v="0"/>
    <n v="11.25"/>
    <n v="1.125"/>
    <n v="1.0125"/>
    <x v="8"/>
    <x v="65"/>
  </r>
  <r>
    <d v="2021-11-10T00:00:00"/>
    <s v="R-M-2.5"/>
    <n v="3"/>
    <x v="152"/>
    <s v="Honolulu"/>
    <x v="0"/>
    <x v="0"/>
    <x v="0"/>
    <x v="0"/>
    <x v="2"/>
    <n v="22.884999999999998"/>
    <n v="0.91539999999999988"/>
    <n v="1.3730999999999998"/>
    <x v="26"/>
    <x v="96"/>
  </r>
  <r>
    <d v="2021-06-20T00:00:00"/>
    <s v="R-D-0.2"/>
    <n v="1"/>
    <x v="153"/>
    <s v="Fort Lauderdale"/>
    <x v="0"/>
    <x v="1"/>
    <x v="0"/>
    <x v="2"/>
    <x v="3"/>
    <n v="2.6849999999999996"/>
    <n v="1.3424999999999998"/>
    <n v="0.16109999999999997"/>
    <x v="1"/>
    <x v="97"/>
  </r>
  <r>
    <d v="2021-10-04T00:00:00"/>
    <s v="A-D-2.5"/>
    <n v="5"/>
    <x v="154"/>
    <s v="Philadelphia"/>
    <x v="0"/>
    <x v="1"/>
    <x v="2"/>
    <x v="2"/>
    <x v="2"/>
    <n v="22.884999999999998"/>
    <n v="0.91539999999999988"/>
    <n v="2.0596499999999995"/>
    <x v="29"/>
    <x v="15"/>
  </r>
  <r>
    <d v="2019-06-24T00:00:00"/>
    <s v="A-M-2.5"/>
    <n v="6"/>
    <x v="155"/>
    <s v="Norwalk"/>
    <x v="0"/>
    <x v="0"/>
    <x v="2"/>
    <x v="0"/>
    <x v="2"/>
    <n v="25.874999999999996"/>
    <n v="1.0349999999999999"/>
    <n v="2.3287499999999994"/>
    <x v="15"/>
    <x v="71"/>
  </r>
  <r>
    <d v="2019-10-26T00:00:00"/>
    <s v="A-M-2.5"/>
    <n v="3"/>
    <x v="156"/>
    <s v="Arlington"/>
    <x v="0"/>
    <x v="0"/>
    <x v="2"/>
    <x v="0"/>
    <x v="2"/>
    <n v="25.874999999999996"/>
    <n v="1.0349999999999999"/>
    <n v="2.3287499999999994"/>
    <x v="14"/>
    <x v="57"/>
  </r>
  <r>
    <d v="2021-06-27T00:00:00"/>
    <s v="R-D-2.5"/>
    <n v="3"/>
    <x v="157"/>
    <s v="Ashford"/>
    <x v="1"/>
    <x v="1"/>
    <x v="0"/>
    <x v="2"/>
    <x v="2"/>
    <n v="20.584999999999997"/>
    <n v="0.82339999999999991"/>
    <n v="1.2350999999999999"/>
    <x v="1"/>
    <x v="98"/>
  </r>
  <r>
    <d v="2019-09-06T00:00:00"/>
    <s v="R-D-2.5"/>
    <n v="6"/>
    <x v="158"/>
    <s v="Chattanooga"/>
    <x v="0"/>
    <x v="0"/>
    <x v="0"/>
    <x v="2"/>
    <x v="2"/>
    <n v="20.584999999999997"/>
    <n v="0.82339999999999991"/>
    <n v="1.2350999999999999"/>
    <x v="0"/>
    <x v="99"/>
  </r>
  <r>
    <d v="2021-04-30T00:00:00"/>
    <s v="L-L-2.5"/>
    <n v="6"/>
    <x v="159"/>
    <s v="Portland"/>
    <x v="0"/>
    <x v="1"/>
    <x v="3"/>
    <x v="1"/>
    <x v="2"/>
    <n v="36.454999999999998"/>
    <n v="1.4581999999999999"/>
    <n v="4.7391499999999995"/>
    <x v="27"/>
    <x v="100"/>
  </r>
  <r>
    <d v="2020-01-07T00:00:00"/>
    <s v="E-M-0.5"/>
    <n v="4"/>
    <x v="160"/>
    <s v="Oklahoma City"/>
    <x v="0"/>
    <x v="1"/>
    <x v="1"/>
    <x v="0"/>
    <x v="1"/>
    <n v="8.25"/>
    <n v="1.65"/>
    <n v="0.90749999999999997"/>
    <x v="32"/>
    <x v="101"/>
  </r>
  <r>
    <d v="2021-01-11T00:00:00"/>
    <s v="A-L-0.5"/>
    <n v="3"/>
    <x v="161"/>
    <s v="Washington"/>
    <x v="0"/>
    <x v="1"/>
    <x v="2"/>
    <x v="1"/>
    <x v="1"/>
    <n v="7.77"/>
    <n v="1.5539999999999998"/>
    <n v="0.69929999999999992"/>
    <x v="17"/>
    <x v="102"/>
  </r>
  <r>
    <d v="2021-11-15T00:00:00"/>
    <s v="E-D-0.5"/>
    <n v="3"/>
    <x v="162"/>
    <s v="Greensboro"/>
    <x v="0"/>
    <x v="0"/>
    <x v="1"/>
    <x v="2"/>
    <x v="1"/>
    <n v="7.29"/>
    <n v="1.458"/>
    <n v="0.80190000000000006"/>
    <x v="26"/>
    <x v="6"/>
  </r>
  <r>
    <d v="2019-06-03T00:00:00"/>
    <s v="R-D-0.2"/>
    <n v="6"/>
    <x v="163"/>
    <s v="Alexandria"/>
    <x v="0"/>
    <x v="1"/>
    <x v="0"/>
    <x v="2"/>
    <x v="3"/>
    <n v="2.6849999999999996"/>
    <n v="1.3424999999999998"/>
    <n v="0.16109999999999997"/>
    <x v="15"/>
    <x v="103"/>
  </r>
  <r>
    <d v="2020-12-17T00:00:00"/>
    <s v="E-D-0.5"/>
    <n v="4"/>
    <x v="164"/>
    <s v="Castlebridge"/>
    <x v="1"/>
    <x v="1"/>
    <x v="1"/>
    <x v="2"/>
    <x v="1"/>
    <n v="7.29"/>
    <n v="1.458"/>
    <n v="0.80190000000000006"/>
    <x v="16"/>
    <x v="104"/>
  </r>
  <r>
    <d v="2021-02-07T00:00:00"/>
    <s v="R-D-1"/>
    <n v="6"/>
    <x v="165"/>
    <s v="Racine"/>
    <x v="0"/>
    <x v="0"/>
    <x v="0"/>
    <x v="2"/>
    <x v="0"/>
    <n v="8.9499999999999993"/>
    <n v="0.89499999999999991"/>
    <n v="0.53699999999999992"/>
    <x v="23"/>
    <x v="59"/>
  </r>
  <r>
    <d v="2021-03-15T00:00:00"/>
    <s v="R-D-0.5"/>
    <n v="5"/>
    <x v="166"/>
    <s v="Clearwater"/>
    <x v="0"/>
    <x v="0"/>
    <x v="0"/>
    <x v="2"/>
    <x v="1"/>
    <n v="5.3699999999999992"/>
    <n v="1.0739999999999998"/>
    <n v="0.32219999999999993"/>
    <x v="7"/>
    <x v="51"/>
  </r>
  <r>
    <d v="2022-08-04T00:00:00"/>
    <s v="E-M-0.5"/>
    <n v="5"/>
    <x v="167"/>
    <s v="Racine"/>
    <x v="0"/>
    <x v="0"/>
    <x v="1"/>
    <x v="0"/>
    <x v="1"/>
    <n v="8.25"/>
    <n v="1.65"/>
    <n v="0.90749999999999997"/>
    <x v="21"/>
    <x v="1"/>
  </r>
  <r>
    <d v="2019-01-19T00:00:00"/>
    <s v="A-M-0.5"/>
    <n v="6"/>
    <x v="168"/>
    <s v="Castlebridge"/>
    <x v="1"/>
    <x v="1"/>
    <x v="2"/>
    <x v="0"/>
    <x v="1"/>
    <n v="6.75"/>
    <n v="1.35"/>
    <n v="0.60749999999999993"/>
    <x v="6"/>
    <x v="61"/>
  </r>
  <r>
    <d v="2022-03-23T00:00:00"/>
    <s v="R-D-1"/>
    <n v="2"/>
    <x v="169"/>
    <s v="Castlebellingham"/>
    <x v="1"/>
    <x v="1"/>
    <x v="0"/>
    <x v="2"/>
    <x v="0"/>
    <n v="8.9499999999999993"/>
    <n v="0.89499999999999991"/>
    <n v="0.53699999999999992"/>
    <x v="33"/>
    <x v="105"/>
  </r>
  <r>
    <d v="2021-10-07T00:00:00"/>
    <s v="E-L-2.5"/>
    <n v="2"/>
    <x v="170"/>
    <s v="Craigavon"/>
    <x v="2"/>
    <x v="1"/>
    <x v="1"/>
    <x v="1"/>
    <x v="2"/>
    <n v="34.154999999999994"/>
    <n v="1.3661999999999999"/>
    <n v="3.7570499999999996"/>
    <x v="29"/>
    <x v="93"/>
  </r>
  <r>
    <d v="2019-03-20T00:00:00"/>
    <s v="E-M-2.5"/>
    <n v="2"/>
    <x v="171"/>
    <s v="Tampa"/>
    <x v="0"/>
    <x v="0"/>
    <x v="1"/>
    <x v="0"/>
    <x v="2"/>
    <n v="31.624999999999996"/>
    <n v="1.2649999999999999"/>
    <n v="3.4787499999999998"/>
    <x v="13"/>
    <x v="40"/>
  </r>
  <r>
    <d v="2021-12-15T00:00:00"/>
    <s v="E-D-0.5"/>
    <n v="3"/>
    <x v="172"/>
    <s v="Eadestown"/>
    <x v="1"/>
    <x v="1"/>
    <x v="1"/>
    <x v="2"/>
    <x v="1"/>
    <n v="7.29"/>
    <n v="1.458"/>
    <n v="0.80190000000000006"/>
    <x v="34"/>
    <x v="6"/>
  </r>
  <r>
    <d v="2022-06-08T00:00:00"/>
    <s v="R-M-2.5"/>
    <n v="4"/>
    <x v="173"/>
    <s v="Montgomery"/>
    <x v="0"/>
    <x v="1"/>
    <x v="0"/>
    <x v="0"/>
    <x v="2"/>
    <n v="22.884999999999998"/>
    <n v="0.91539999999999988"/>
    <n v="1.3730999999999998"/>
    <x v="12"/>
    <x v="21"/>
  </r>
  <r>
    <d v="2019-12-14T00:00:00"/>
    <s v="E-L-2.5"/>
    <n v="6"/>
    <x v="174"/>
    <s v="Sparks"/>
    <x v="0"/>
    <x v="0"/>
    <x v="1"/>
    <x v="1"/>
    <x v="2"/>
    <n v="34.154999999999994"/>
    <n v="1.3661999999999999"/>
    <n v="3.7570499999999996"/>
    <x v="40"/>
    <x v="106"/>
  </r>
  <r>
    <d v="2021-04-10T00:00:00"/>
    <s v="E-M-2.5"/>
    <n v="2"/>
    <x v="175"/>
    <s v="Macon"/>
    <x v="0"/>
    <x v="0"/>
    <x v="1"/>
    <x v="0"/>
    <x v="2"/>
    <n v="31.624999999999996"/>
    <n v="1.2649999999999999"/>
    <n v="3.4787499999999998"/>
    <x v="27"/>
    <x v="40"/>
  </r>
  <r>
    <d v="2020-03-10T00:00:00"/>
    <s v="E-L-2.5"/>
    <n v="1"/>
    <x v="176"/>
    <s v="Whittier"/>
    <x v="0"/>
    <x v="0"/>
    <x v="1"/>
    <x v="1"/>
    <x v="2"/>
    <n v="34.154999999999994"/>
    <n v="1.3661999999999999"/>
    <n v="3.7570499999999996"/>
    <x v="36"/>
    <x v="107"/>
  </r>
  <r>
    <d v="2020-10-16T00:00:00"/>
    <s v="R-L-2.5"/>
    <n v="4"/>
    <x v="177"/>
    <s v="Johnson City"/>
    <x v="0"/>
    <x v="0"/>
    <x v="0"/>
    <x v="1"/>
    <x v="2"/>
    <n v="27.484999999999996"/>
    <n v="1.0993999999999999"/>
    <n v="1.6490999999999998"/>
    <x v="8"/>
    <x v="108"/>
  </r>
  <r>
    <d v="2019-10-08T00:00:00"/>
    <s v="A-L-1"/>
    <n v="2"/>
    <x v="178"/>
    <s v="Rochester"/>
    <x v="0"/>
    <x v="1"/>
    <x v="2"/>
    <x v="1"/>
    <x v="0"/>
    <n v="12.95"/>
    <n v="1.2949999999999999"/>
    <n v="1.1655"/>
    <x v="14"/>
    <x v="109"/>
  </r>
  <r>
    <d v="2019-12-31T00:00:00"/>
    <s v="A-D-0.2"/>
    <n v="1"/>
    <x v="179"/>
    <s v="Portarlington"/>
    <x v="1"/>
    <x v="1"/>
    <x v="2"/>
    <x v="2"/>
    <x v="3"/>
    <n v="2.9849999999999999"/>
    <n v="1.4924999999999999"/>
    <n v="0.26865"/>
    <x v="40"/>
    <x v="55"/>
  </r>
  <r>
    <d v="2020-03-20T00:00:00"/>
    <s v="E-L-0.2"/>
    <n v="5"/>
    <x v="180"/>
    <s v="Brooklyn"/>
    <x v="0"/>
    <x v="1"/>
    <x v="1"/>
    <x v="1"/>
    <x v="3"/>
    <n v="4.4550000000000001"/>
    <n v="2.2275"/>
    <n v="0.49004999999999999"/>
    <x v="36"/>
    <x v="110"/>
  </r>
  <r>
    <d v="2020-03-20T00:00:00"/>
    <s v="A-D-0.5"/>
    <n v="5"/>
    <x v="181"/>
    <s v="Springfield"/>
    <x v="0"/>
    <x v="1"/>
    <x v="2"/>
    <x v="2"/>
    <x v="1"/>
    <n v="5.97"/>
    <n v="1.194"/>
    <n v="0.5373"/>
    <x v="36"/>
    <x v="44"/>
  </r>
  <r>
    <d v="2021-03-29T00:00:00"/>
    <s v="R-D-0.5"/>
    <n v="6"/>
    <x v="182"/>
    <s v="Charlottesville"/>
    <x v="0"/>
    <x v="1"/>
    <x v="0"/>
    <x v="2"/>
    <x v="1"/>
    <n v="5.3699999999999992"/>
    <n v="1.0739999999999998"/>
    <n v="0.32219999999999993"/>
    <x v="7"/>
    <x v="111"/>
  </r>
  <r>
    <d v="2021-11-12T00:00:00"/>
    <s v="E-M-0.2"/>
    <n v="2"/>
    <x v="183"/>
    <s v="Garland"/>
    <x v="0"/>
    <x v="1"/>
    <x v="1"/>
    <x v="0"/>
    <x v="3"/>
    <n v="4.125"/>
    <n v="2.0625"/>
    <n v="0.45374999999999999"/>
    <x v="26"/>
    <x v="112"/>
  </r>
  <r>
    <d v="2021-07-20T00:00:00"/>
    <s v="A-L-0.5"/>
    <n v="4"/>
    <x v="184"/>
    <s v="Minneapolis"/>
    <x v="0"/>
    <x v="1"/>
    <x v="2"/>
    <x v="1"/>
    <x v="1"/>
    <n v="7.77"/>
    <n v="1.5539999999999998"/>
    <n v="0.69929999999999992"/>
    <x v="2"/>
    <x v="113"/>
  </r>
  <r>
    <d v="2019-01-18T00:00:00"/>
    <s v="E-D-0.5"/>
    <n v="5"/>
    <x v="185"/>
    <s v="Lansing"/>
    <x v="0"/>
    <x v="0"/>
    <x v="1"/>
    <x v="2"/>
    <x v="1"/>
    <n v="7.29"/>
    <n v="1.458"/>
    <n v="0.80190000000000006"/>
    <x v="6"/>
    <x v="114"/>
  </r>
  <r>
    <d v="2019-08-07T00:00:00"/>
    <s v="R-M-2.5"/>
    <n v="3"/>
    <x v="186"/>
    <s v="Grand Forks"/>
    <x v="0"/>
    <x v="1"/>
    <x v="0"/>
    <x v="0"/>
    <x v="2"/>
    <n v="22.884999999999998"/>
    <n v="0.91539999999999988"/>
    <n v="1.3730999999999998"/>
    <x v="41"/>
    <x v="96"/>
  </r>
  <r>
    <d v="2022-03-13T00:00:00"/>
    <s v="L-M-0.5"/>
    <n v="5"/>
    <x v="187"/>
    <s v="Anchorage"/>
    <x v="0"/>
    <x v="0"/>
    <x v="3"/>
    <x v="0"/>
    <x v="1"/>
    <n v="8.73"/>
    <n v="1.746"/>
    <n v="1.1349"/>
    <x v="33"/>
    <x v="34"/>
  </r>
  <r>
    <d v="2022-05-17T00:00:00"/>
    <s v="E-L-0.2"/>
    <n v="1"/>
    <x v="188"/>
    <s v="Oklahoma City"/>
    <x v="0"/>
    <x v="0"/>
    <x v="1"/>
    <x v="1"/>
    <x v="3"/>
    <n v="4.4550000000000001"/>
    <n v="2.2275"/>
    <n v="0.49004999999999999"/>
    <x v="5"/>
    <x v="115"/>
  </r>
  <r>
    <d v="2019-12-14T00:00:00"/>
    <s v="L-M-1"/>
    <n v="3"/>
    <x v="189"/>
    <s v="Tulsa"/>
    <x v="0"/>
    <x v="0"/>
    <x v="3"/>
    <x v="0"/>
    <x v="0"/>
    <n v="14.55"/>
    <n v="1.4550000000000001"/>
    <n v="1.8915000000000002"/>
    <x v="40"/>
    <x v="34"/>
  </r>
  <r>
    <d v="2020-01-15T00:00:00"/>
    <s v="L-M-2.5"/>
    <n v="1"/>
    <x v="190"/>
    <s v="Detroit"/>
    <x v="0"/>
    <x v="0"/>
    <x v="3"/>
    <x v="0"/>
    <x v="2"/>
    <n v="33.464999999999996"/>
    <n v="1.3385999999999998"/>
    <n v="4.3504499999999995"/>
    <x v="32"/>
    <x v="116"/>
  </r>
  <r>
    <d v="2019-04-12T00:00:00"/>
    <s v="L-D-0.2"/>
    <n v="5"/>
    <x v="191"/>
    <s v="Washington"/>
    <x v="0"/>
    <x v="0"/>
    <x v="3"/>
    <x v="2"/>
    <x v="3"/>
    <n v="3.8849999999999998"/>
    <n v="1.9424999999999999"/>
    <n v="0.50505"/>
    <x v="24"/>
    <x v="117"/>
  </r>
  <r>
    <d v="2020-03-29T00:00:00"/>
    <s v="E-D-1"/>
    <n v="6"/>
    <x v="192"/>
    <s v="Nenagh"/>
    <x v="1"/>
    <x v="0"/>
    <x v="1"/>
    <x v="2"/>
    <x v="0"/>
    <n v="12.15"/>
    <n v="1.2150000000000001"/>
    <n v="1.3365"/>
    <x v="36"/>
    <x v="118"/>
  </r>
  <r>
    <d v="2022-03-24T00:00:00"/>
    <s v="E-L-1"/>
    <n v="3"/>
    <x v="193"/>
    <s v="Mesa"/>
    <x v="0"/>
    <x v="1"/>
    <x v="1"/>
    <x v="1"/>
    <x v="0"/>
    <n v="14.85"/>
    <n v="1.4849999999999999"/>
    <n v="1.6335"/>
    <x v="33"/>
    <x v="69"/>
  </r>
  <r>
    <d v="2021-07-21T00:00:00"/>
    <s v="E-D-0.5"/>
    <n v="5"/>
    <x v="194"/>
    <s v="Warren"/>
    <x v="0"/>
    <x v="1"/>
    <x v="1"/>
    <x v="2"/>
    <x v="1"/>
    <n v="7.29"/>
    <n v="1.458"/>
    <n v="0.80190000000000006"/>
    <x v="2"/>
    <x v="114"/>
  </r>
  <r>
    <d v="2019-08-06T00:00:00"/>
    <s v="A-L-1"/>
    <n v="3"/>
    <x v="195"/>
    <s v="Memphis"/>
    <x v="0"/>
    <x v="1"/>
    <x v="2"/>
    <x v="1"/>
    <x v="0"/>
    <n v="12.95"/>
    <n v="1.2949999999999999"/>
    <n v="1.1655"/>
    <x v="41"/>
    <x v="5"/>
  </r>
  <r>
    <d v="2021-05-23T00:00:00"/>
    <s v="E-L-0.5"/>
    <n v="6"/>
    <x v="196"/>
    <s v="Washington"/>
    <x v="0"/>
    <x v="1"/>
    <x v="1"/>
    <x v="1"/>
    <x v="1"/>
    <n v="8.91"/>
    <n v="1.782"/>
    <n v="0.98009999999999997"/>
    <x v="43"/>
    <x v="119"/>
  </r>
  <r>
    <d v="2021-05-23T00:00:00"/>
    <s v="L-D-2.5"/>
    <n v="2"/>
    <x v="197"/>
    <s v="Muff"/>
    <x v="1"/>
    <x v="0"/>
    <x v="3"/>
    <x v="2"/>
    <x v="2"/>
    <n v="29.784999999999997"/>
    <n v="1.1913999999999998"/>
    <n v="3.8720499999999998"/>
    <x v="43"/>
    <x v="120"/>
  </r>
  <r>
    <d v="2021-05-23T00:00:00"/>
    <s v="L-D-2.5"/>
    <n v="3"/>
    <x v="198"/>
    <s v="Pompano Beach"/>
    <x v="0"/>
    <x v="1"/>
    <x v="3"/>
    <x v="2"/>
    <x v="2"/>
    <n v="29.784999999999997"/>
    <n v="1.1913999999999998"/>
    <n v="3.8720499999999998"/>
    <x v="43"/>
    <x v="49"/>
  </r>
  <r>
    <d v="2021-05-23T00:00:00"/>
    <s v="L-L-0.5"/>
    <n v="4"/>
    <x v="199"/>
    <s v="Chicago"/>
    <x v="0"/>
    <x v="1"/>
    <x v="3"/>
    <x v="1"/>
    <x v="1"/>
    <n v="9.51"/>
    <n v="1.9019999999999999"/>
    <n v="1.2363"/>
    <x v="43"/>
    <x v="82"/>
  </r>
  <r>
    <d v="2021-05-23T00:00:00"/>
    <s v="E-M-1"/>
    <n v="3"/>
    <x v="200"/>
    <s v="East End"/>
    <x v="2"/>
    <x v="1"/>
    <x v="1"/>
    <x v="0"/>
    <x v="0"/>
    <n v="13.75"/>
    <n v="1.375"/>
    <n v="1.5125"/>
    <x v="43"/>
    <x v="1"/>
  </r>
  <r>
    <d v="2021-04-08T00:00:00"/>
    <s v="L-L-0.5"/>
    <n v="6"/>
    <x v="201"/>
    <s v="Ogden"/>
    <x v="0"/>
    <x v="1"/>
    <x v="3"/>
    <x v="1"/>
    <x v="1"/>
    <n v="9.51"/>
    <n v="1.9019999999999999"/>
    <n v="1.2363"/>
    <x v="27"/>
    <x v="30"/>
  </r>
  <r>
    <d v="2021-10-17T00:00:00"/>
    <s v="L-D-2.5"/>
    <n v="6"/>
    <x v="202"/>
    <s v="Albany"/>
    <x v="0"/>
    <x v="0"/>
    <x v="3"/>
    <x v="2"/>
    <x v="2"/>
    <n v="29.784999999999997"/>
    <n v="1.1913999999999998"/>
    <n v="3.8720499999999998"/>
    <x v="29"/>
    <x v="39"/>
  </r>
  <r>
    <d v="2022-02-16T00:00:00"/>
    <s v="L-L-0.2"/>
    <n v="1"/>
    <x v="203"/>
    <s v="Spartanburg"/>
    <x v="0"/>
    <x v="1"/>
    <x v="3"/>
    <x v="1"/>
    <x v="3"/>
    <n v="4.7549999999999999"/>
    <n v="2.3774999999999999"/>
    <n v="0.61814999999999998"/>
    <x v="18"/>
    <x v="7"/>
  </r>
  <r>
    <d v="2020-07-15T00:00:00"/>
    <s v="E-M-1"/>
    <n v="6"/>
    <x v="204"/>
    <s v="Staten Island"/>
    <x v="0"/>
    <x v="1"/>
    <x v="1"/>
    <x v="0"/>
    <x v="0"/>
    <n v="13.75"/>
    <n v="1.375"/>
    <n v="1.5125"/>
    <x v="39"/>
    <x v="121"/>
  </r>
  <r>
    <d v="2020-02-22T00:00:00"/>
    <s v="R-D-0.2"/>
    <n v="3"/>
    <x v="205"/>
    <s v="Washington"/>
    <x v="0"/>
    <x v="0"/>
    <x v="0"/>
    <x v="2"/>
    <x v="3"/>
    <n v="2.6849999999999996"/>
    <n v="1.3424999999999998"/>
    <n v="0.16109999999999997"/>
    <x v="35"/>
    <x v="36"/>
  </r>
  <r>
    <d v="2021-01-15T00:00:00"/>
    <s v="A-M-1"/>
    <n v="2"/>
    <x v="206"/>
    <s v="Charlotte"/>
    <x v="0"/>
    <x v="1"/>
    <x v="2"/>
    <x v="0"/>
    <x v="0"/>
    <n v="11.25"/>
    <n v="1.125"/>
    <n v="1.0125"/>
    <x v="17"/>
    <x v="122"/>
  </r>
  <r>
    <d v="2021-01-11T00:00:00"/>
    <s v="A-M-0.5"/>
    <n v="6"/>
    <x v="207"/>
    <s v="Lubbock"/>
    <x v="0"/>
    <x v="0"/>
    <x v="2"/>
    <x v="0"/>
    <x v="1"/>
    <n v="6.75"/>
    <n v="1.35"/>
    <n v="0.60749999999999993"/>
    <x v="17"/>
    <x v="61"/>
  </r>
  <r>
    <d v="2022-04-08T00:00:00"/>
    <s v="E-D-0.5"/>
    <n v="4"/>
    <x v="208"/>
    <s v="Fermoy"/>
    <x v="1"/>
    <x v="0"/>
    <x v="1"/>
    <x v="2"/>
    <x v="1"/>
    <n v="7.29"/>
    <n v="1.458"/>
    <n v="0.80190000000000006"/>
    <x v="11"/>
    <x v="104"/>
  </r>
  <r>
    <d v="2020-10-01T00:00:00"/>
    <s v="A-M-0.5"/>
    <n v="1"/>
    <x v="209"/>
    <s v="Whitwell"/>
    <x v="2"/>
    <x v="1"/>
    <x v="2"/>
    <x v="0"/>
    <x v="1"/>
    <n v="6.75"/>
    <n v="1.35"/>
    <n v="0.60749999999999993"/>
    <x v="8"/>
    <x v="52"/>
  </r>
  <r>
    <d v="2019-10-28T00:00:00"/>
    <s v="L-D-1"/>
    <n v="4"/>
    <x v="210"/>
    <s v="Charlottesville"/>
    <x v="0"/>
    <x v="0"/>
    <x v="3"/>
    <x v="2"/>
    <x v="0"/>
    <n v="12.95"/>
    <n v="1.2949999999999999"/>
    <n v="1.6835"/>
    <x v="14"/>
    <x v="67"/>
  </r>
  <r>
    <d v="2021-03-28T00:00:00"/>
    <s v="E-L-0.5"/>
    <n v="6"/>
    <x v="211"/>
    <s v="New York City"/>
    <x v="0"/>
    <x v="1"/>
    <x v="1"/>
    <x v="1"/>
    <x v="1"/>
    <n v="8.91"/>
    <n v="1.782"/>
    <n v="0.98009999999999997"/>
    <x v="7"/>
    <x v="119"/>
  </r>
  <r>
    <d v="2020-03-31T00:00:00"/>
    <s v="E-D-0.2"/>
    <n v="4"/>
    <x v="212"/>
    <s v="Roanoke"/>
    <x v="0"/>
    <x v="0"/>
    <x v="1"/>
    <x v="2"/>
    <x v="3"/>
    <n v="3.645"/>
    <n v="1.8225"/>
    <n v="0.40095000000000003"/>
    <x v="36"/>
    <x v="20"/>
  </r>
  <r>
    <d v="2022-03-26T00:00:00"/>
    <s v="R-D-2.5"/>
    <n v="1"/>
    <x v="213"/>
    <s v="New York City"/>
    <x v="0"/>
    <x v="1"/>
    <x v="0"/>
    <x v="2"/>
    <x v="2"/>
    <n v="20.584999999999997"/>
    <n v="0.82339999999999991"/>
    <n v="1.2350999999999999"/>
    <x v="33"/>
    <x v="123"/>
  </r>
  <r>
    <d v="2019-11-06T00:00:00"/>
    <s v="L-L-1"/>
    <n v="2"/>
    <x v="214"/>
    <s v="Balally"/>
    <x v="1"/>
    <x v="1"/>
    <x v="3"/>
    <x v="1"/>
    <x v="0"/>
    <n v="15.85"/>
    <n v="1.585"/>
    <n v="2.0605000000000002"/>
    <x v="30"/>
    <x v="124"/>
  </r>
  <r>
    <d v="2019-12-30T00:00:00"/>
    <s v="L-D-0.2"/>
    <n v="6"/>
    <x v="215"/>
    <s v="Salt Lake City"/>
    <x v="0"/>
    <x v="1"/>
    <x v="3"/>
    <x v="2"/>
    <x v="3"/>
    <n v="3.8849999999999998"/>
    <n v="1.9424999999999999"/>
    <n v="0.50505"/>
    <x v="40"/>
    <x v="102"/>
  </r>
  <r>
    <d v="2021-10-01T00:00:00"/>
    <s v="L-M-1"/>
    <n v="4"/>
    <x v="216"/>
    <s v="Toledo"/>
    <x v="0"/>
    <x v="0"/>
    <x v="3"/>
    <x v="0"/>
    <x v="0"/>
    <n v="14.55"/>
    <n v="1.4550000000000001"/>
    <n v="1.8915000000000002"/>
    <x v="29"/>
    <x v="125"/>
  </r>
  <r>
    <d v="2020-12-09T00:00:00"/>
    <s v="E-L-0.5"/>
    <n v="4"/>
    <x v="217"/>
    <s v="Pasadena"/>
    <x v="0"/>
    <x v="1"/>
    <x v="1"/>
    <x v="1"/>
    <x v="1"/>
    <n v="8.91"/>
    <n v="1.782"/>
    <n v="0.98009999999999997"/>
    <x v="16"/>
    <x v="70"/>
  </r>
  <r>
    <d v="2021-05-01T00:00:00"/>
    <s v="A-M-1"/>
    <n v="5"/>
    <x v="218"/>
    <s v="Kinsale"/>
    <x v="1"/>
    <x v="0"/>
    <x v="2"/>
    <x v="0"/>
    <x v="0"/>
    <n v="11.25"/>
    <n v="1.125"/>
    <n v="1.0125"/>
    <x v="43"/>
    <x v="126"/>
  </r>
  <r>
    <d v="2022-08-04T00:00:00"/>
    <s v="R-L-0.2"/>
    <n v="3"/>
    <x v="219"/>
    <s v="Lees Summit"/>
    <x v="0"/>
    <x v="1"/>
    <x v="0"/>
    <x v="1"/>
    <x v="3"/>
    <n v="3.5849999999999995"/>
    <n v="1.7924999999999998"/>
    <n v="0.21509999999999996"/>
    <x v="21"/>
    <x v="127"/>
  </r>
  <r>
    <d v="2022-08-04T00:00:00"/>
    <s v="R-M-0.2"/>
    <n v="5"/>
    <x v="220"/>
    <s v="Fort Worth"/>
    <x v="0"/>
    <x v="1"/>
    <x v="0"/>
    <x v="0"/>
    <x v="3"/>
    <n v="2.9849999999999999"/>
    <n v="1.4924999999999999"/>
    <n v="0.17909999999999998"/>
    <x v="21"/>
    <x v="128"/>
  </r>
  <r>
    <d v="2021-11-13T00:00:00"/>
    <s v="A-L-1"/>
    <n v="6"/>
    <x v="221"/>
    <s v="Irvine"/>
    <x v="0"/>
    <x v="0"/>
    <x v="2"/>
    <x v="1"/>
    <x v="0"/>
    <n v="12.95"/>
    <n v="1.2949999999999999"/>
    <n v="1.1655"/>
    <x v="26"/>
    <x v="17"/>
  </r>
  <r>
    <d v="2020-09-16T00:00:00"/>
    <s v="L-D-0.5"/>
    <n v="3"/>
    <x v="222"/>
    <s v="Hicksville"/>
    <x v="0"/>
    <x v="1"/>
    <x v="3"/>
    <x v="2"/>
    <x v="1"/>
    <n v="7.77"/>
    <n v="1.5539999999999998"/>
    <n v="1.0101"/>
    <x v="31"/>
    <x v="102"/>
  </r>
  <r>
    <d v="2020-10-05T00:00:00"/>
    <s v="E-L-1"/>
    <n v="4"/>
    <x v="223"/>
    <s v="Washington"/>
    <x v="0"/>
    <x v="0"/>
    <x v="1"/>
    <x v="1"/>
    <x v="0"/>
    <n v="14.85"/>
    <n v="1.4849999999999999"/>
    <n v="1.6335"/>
    <x v="8"/>
    <x v="48"/>
  </r>
  <r>
    <d v="2020-01-06T00:00:00"/>
    <s v="L-D-2.5"/>
    <n v="4"/>
    <x v="224"/>
    <s v="New York City"/>
    <x v="0"/>
    <x v="0"/>
    <x v="3"/>
    <x v="2"/>
    <x v="2"/>
    <n v="29.784999999999997"/>
    <n v="1.1913999999999998"/>
    <n v="3.8720499999999998"/>
    <x v="32"/>
    <x v="129"/>
  </r>
  <r>
    <d v="2021-05-21T00:00:00"/>
    <s v="R-L-0.2"/>
    <n v="4"/>
    <x v="225"/>
    <s v="Newmarket on Fergus"/>
    <x v="1"/>
    <x v="1"/>
    <x v="0"/>
    <x v="1"/>
    <x v="3"/>
    <n v="3.5849999999999995"/>
    <n v="1.7924999999999998"/>
    <n v="0.21509999999999996"/>
    <x v="43"/>
    <x v="79"/>
  </r>
  <r>
    <d v="2020-02-26T00:00:00"/>
    <s v="A-M-2.5"/>
    <n v="5"/>
    <x v="226"/>
    <s v="Shawnee Mission"/>
    <x v="0"/>
    <x v="1"/>
    <x v="2"/>
    <x v="0"/>
    <x v="2"/>
    <n v="25.874999999999996"/>
    <n v="1.0349999999999999"/>
    <n v="2.3287499999999994"/>
    <x v="35"/>
    <x v="130"/>
  </r>
  <r>
    <d v="2020-02-19T00:00:00"/>
    <s v="R-D-0.2"/>
    <n v="6"/>
    <x v="227"/>
    <s v="Edinburgh"/>
    <x v="2"/>
    <x v="0"/>
    <x v="0"/>
    <x v="2"/>
    <x v="3"/>
    <n v="2.6849999999999996"/>
    <n v="1.3424999999999998"/>
    <n v="0.16109999999999997"/>
    <x v="35"/>
    <x v="103"/>
  </r>
  <r>
    <d v="2021-06-29T00:00:00"/>
    <s v="R-L-0.2"/>
    <n v="5"/>
    <x v="228"/>
    <s v="Sacramento"/>
    <x v="0"/>
    <x v="1"/>
    <x v="0"/>
    <x v="1"/>
    <x v="3"/>
    <n v="3.5849999999999995"/>
    <n v="1.7924999999999998"/>
    <n v="0.21509999999999996"/>
    <x v="1"/>
    <x v="131"/>
  </r>
  <r>
    <d v="2021-03-27T00:00:00"/>
    <s v="L-M-0.2"/>
    <n v="2"/>
    <x v="229"/>
    <s v="Wilkes Barre"/>
    <x v="0"/>
    <x v="1"/>
    <x v="3"/>
    <x v="0"/>
    <x v="3"/>
    <n v="4.3650000000000002"/>
    <n v="2.1825000000000001"/>
    <n v="0.56745000000000001"/>
    <x v="7"/>
    <x v="31"/>
  </r>
  <r>
    <d v="2021-10-27T00:00:00"/>
    <s v="A-M-2.5"/>
    <n v="2"/>
    <x v="230"/>
    <s v="Greensboro"/>
    <x v="0"/>
    <x v="1"/>
    <x v="2"/>
    <x v="0"/>
    <x v="2"/>
    <n v="25.874999999999996"/>
    <n v="1.0349999999999999"/>
    <n v="2.3287499999999994"/>
    <x v="29"/>
    <x v="95"/>
  </r>
  <r>
    <d v="2019-06-12T00:00:00"/>
    <s v="L-M-0.2"/>
    <n v="2"/>
    <x v="231"/>
    <s v="Newark"/>
    <x v="0"/>
    <x v="0"/>
    <x v="3"/>
    <x v="0"/>
    <x v="3"/>
    <n v="4.3650000000000002"/>
    <n v="2.1825000000000001"/>
    <n v="0.56745000000000001"/>
    <x v="15"/>
    <x v="31"/>
  </r>
  <r>
    <d v="2020-06-28T00:00:00"/>
    <s v="L-L-0.2"/>
    <n v="5"/>
    <x v="232"/>
    <s v="Kinloch"/>
    <x v="2"/>
    <x v="1"/>
    <x v="3"/>
    <x v="1"/>
    <x v="3"/>
    <n v="4.7549999999999999"/>
    <n v="2.3774999999999999"/>
    <n v="0.61814999999999998"/>
    <x v="22"/>
    <x v="29"/>
  </r>
  <r>
    <d v="2021-03-23T00:00:00"/>
    <s v="E-M-0.2"/>
    <n v="5"/>
    <x v="233"/>
    <s v="Honolulu"/>
    <x v="0"/>
    <x v="1"/>
    <x v="1"/>
    <x v="0"/>
    <x v="3"/>
    <n v="4.125"/>
    <n v="2.0625"/>
    <n v="0.45374999999999999"/>
    <x v="7"/>
    <x v="132"/>
  </r>
  <r>
    <d v="2022-02-10T00:00:00"/>
    <s v="L-L-2.5"/>
    <n v="1"/>
    <x v="234"/>
    <s v="New York City"/>
    <x v="0"/>
    <x v="1"/>
    <x v="3"/>
    <x v="1"/>
    <x v="2"/>
    <n v="36.454999999999998"/>
    <n v="1.4581999999999999"/>
    <n v="4.7391499999999995"/>
    <x v="18"/>
    <x v="133"/>
  </r>
  <r>
    <d v="2019-04-16T00:00:00"/>
    <s v="L-L-2.5"/>
    <n v="5"/>
    <x v="235"/>
    <s v="Ballinroad"/>
    <x v="1"/>
    <x v="1"/>
    <x v="3"/>
    <x v="1"/>
    <x v="2"/>
    <n v="36.454999999999998"/>
    <n v="1.4581999999999999"/>
    <n v="4.7391499999999995"/>
    <x v="24"/>
    <x v="134"/>
  </r>
  <r>
    <d v="2020-02-12T00:00:00"/>
    <s v="L-D-2.5"/>
    <n v="3"/>
    <x v="236"/>
    <s v="D煤n Laoghaire"/>
    <x v="1"/>
    <x v="1"/>
    <x v="3"/>
    <x v="2"/>
    <x v="2"/>
    <n v="29.784999999999997"/>
    <n v="1.1913999999999998"/>
    <n v="3.8720499999999998"/>
    <x v="35"/>
    <x v="49"/>
  </r>
  <r>
    <d v="2022-01-02T00:00:00"/>
    <s v="R-L-0.2"/>
    <n v="1"/>
    <x v="237"/>
    <s v="Cincinnati"/>
    <x v="0"/>
    <x v="0"/>
    <x v="0"/>
    <x v="1"/>
    <x v="3"/>
    <n v="3.5849999999999995"/>
    <n v="1.7924999999999998"/>
    <n v="0.21509999999999996"/>
    <x v="4"/>
    <x v="60"/>
  </r>
  <r>
    <d v="2020-12-07T00:00:00"/>
    <s v="R-M-2.5"/>
    <n v="2"/>
    <x v="238"/>
    <s v="Midland"/>
    <x v="0"/>
    <x v="0"/>
    <x v="0"/>
    <x v="0"/>
    <x v="2"/>
    <n v="22.884999999999998"/>
    <n v="0.91539999999999988"/>
    <n v="1.3730999999999998"/>
    <x v="16"/>
    <x v="135"/>
  </r>
  <r>
    <d v="2020-02-20T00:00:00"/>
    <s v="E-L-1"/>
    <n v="4"/>
    <x v="239"/>
    <s v="Cheyenne"/>
    <x v="0"/>
    <x v="1"/>
    <x v="1"/>
    <x v="1"/>
    <x v="0"/>
    <n v="14.85"/>
    <n v="1.4849999999999999"/>
    <n v="1.6335"/>
    <x v="35"/>
    <x v="48"/>
  </r>
  <r>
    <d v="2020-06-11T00:00:00"/>
    <s v="A-M-2.5"/>
    <n v="6"/>
    <x v="240"/>
    <s v="Atlanta"/>
    <x v="0"/>
    <x v="0"/>
    <x v="2"/>
    <x v="0"/>
    <x v="2"/>
    <n v="25.874999999999996"/>
    <n v="1.0349999999999999"/>
    <n v="2.3287499999999994"/>
    <x v="22"/>
    <x v="71"/>
  </r>
  <r>
    <d v="2020-09-08T00:00:00"/>
    <s v="R-M-2.5"/>
    <n v="2"/>
    <x v="241"/>
    <s v="Duluth"/>
    <x v="0"/>
    <x v="1"/>
    <x v="0"/>
    <x v="0"/>
    <x v="2"/>
    <n v="22.884999999999998"/>
    <n v="0.91539999999999988"/>
    <n v="1.3730999999999998"/>
    <x v="31"/>
    <x v="135"/>
  </r>
  <r>
    <d v="2020-03-28T00:00:00"/>
    <s v="E-D-1"/>
    <n v="3"/>
    <x v="242"/>
    <s v="Sacramento"/>
    <x v="0"/>
    <x v="0"/>
    <x v="1"/>
    <x v="2"/>
    <x v="0"/>
    <n v="12.15"/>
    <n v="1.2150000000000001"/>
    <n v="1.3365"/>
    <x v="36"/>
    <x v="114"/>
  </r>
  <r>
    <d v="2020-10-10T00:00:00"/>
    <s v="E-D-0.5"/>
    <n v="4"/>
    <x v="243"/>
    <s v="Tampa"/>
    <x v="0"/>
    <x v="0"/>
    <x v="1"/>
    <x v="2"/>
    <x v="1"/>
    <n v="7.29"/>
    <n v="1.458"/>
    <n v="0.80190000000000006"/>
    <x v="8"/>
    <x v="104"/>
  </r>
  <r>
    <d v="2022-05-21T00:00:00"/>
    <s v="L-M-2.5"/>
    <n v="4"/>
    <x v="244"/>
    <s v="Honolulu"/>
    <x v="0"/>
    <x v="1"/>
    <x v="3"/>
    <x v="0"/>
    <x v="2"/>
    <n v="33.464999999999996"/>
    <n v="1.3385999999999998"/>
    <n v="4.3504499999999995"/>
    <x v="5"/>
    <x v="136"/>
  </r>
  <r>
    <d v="2020-04-30T00:00:00"/>
    <s v="L-L-0.2"/>
    <n v="5"/>
    <x v="245"/>
    <s v="Baton Rouge"/>
    <x v="0"/>
    <x v="0"/>
    <x v="3"/>
    <x v="1"/>
    <x v="3"/>
    <n v="4.7549999999999999"/>
    <n v="2.3774999999999999"/>
    <n v="0.61814999999999998"/>
    <x v="25"/>
    <x v="29"/>
  </r>
  <r>
    <d v="2021-12-12T00:00:00"/>
    <s v="L-D-1"/>
    <n v="3"/>
    <x v="246"/>
    <s v="Newbiggin"/>
    <x v="2"/>
    <x v="1"/>
    <x v="3"/>
    <x v="2"/>
    <x v="0"/>
    <n v="12.95"/>
    <n v="1.2949999999999999"/>
    <n v="1.6835"/>
    <x v="34"/>
    <x v="5"/>
  </r>
  <r>
    <d v="2020-10-27T00:00:00"/>
    <s v="R-L-0.2"/>
    <n v="6"/>
    <x v="247"/>
    <s v="Kilkenny"/>
    <x v="1"/>
    <x v="0"/>
    <x v="0"/>
    <x v="1"/>
    <x v="3"/>
    <n v="3.5849999999999995"/>
    <n v="1.7924999999999998"/>
    <n v="0.21509999999999996"/>
    <x v="8"/>
    <x v="137"/>
  </r>
  <r>
    <d v="2020-07-07T00:00:00"/>
    <s v="A-D-1"/>
    <n v="1"/>
    <x v="248"/>
    <s v="Minneapolis"/>
    <x v="0"/>
    <x v="0"/>
    <x v="2"/>
    <x v="2"/>
    <x v="0"/>
    <n v="9.9499999999999993"/>
    <n v="0.99499999999999988"/>
    <n v="0.89549999999999985"/>
    <x v="39"/>
    <x v="138"/>
  </r>
  <r>
    <d v="2020-01-31T00:00:00"/>
    <s v="L-L-1"/>
    <n v="1"/>
    <x v="249"/>
    <s v="San Francisco"/>
    <x v="0"/>
    <x v="1"/>
    <x v="3"/>
    <x v="1"/>
    <x v="0"/>
    <n v="15.85"/>
    <n v="1.585"/>
    <n v="2.0605000000000002"/>
    <x v="32"/>
    <x v="80"/>
  </r>
  <r>
    <d v="2020-02-18T00:00:00"/>
    <s v="R-M-0.2"/>
    <n v="1"/>
    <x v="250"/>
    <s v="Charlotte"/>
    <x v="0"/>
    <x v="0"/>
    <x v="0"/>
    <x v="0"/>
    <x v="3"/>
    <n v="2.9849999999999999"/>
    <n v="1.4924999999999999"/>
    <n v="0.17909999999999998"/>
    <x v="35"/>
    <x v="55"/>
  </r>
  <r>
    <d v="2021-06-13T00:00:00"/>
    <s v="E-M-1"/>
    <n v="5"/>
    <x v="251"/>
    <s v="Phoenix"/>
    <x v="0"/>
    <x v="0"/>
    <x v="1"/>
    <x v="0"/>
    <x v="0"/>
    <n v="13.75"/>
    <n v="1.375"/>
    <n v="1.5125"/>
    <x v="1"/>
    <x v="85"/>
  </r>
  <r>
    <d v="2022-08-06T00:00:00"/>
    <s v="A-D-1"/>
    <n v="3"/>
    <x v="252"/>
    <s v="Jamaica"/>
    <x v="0"/>
    <x v="1"/>
    <x v="2"/>
    <x v="2"/>
    <x v="0"/>
    <n v="9.9499999999999993"/>
    <n v="0.99499999999999988"/>
    <n v="0.89549999999999985"/>
    <x v="21"/>
    <x v="44"/>
  </r>
  <r>
    <d v="2021-11-23T00:00:00"/>
    <s v="L-M-1"/>
    <n v="4"/>
    <x v="253"/>
    <s v="Champaign"/>
    <x v="0"/>
    <x v="1"/>
    <x v="3"/>
    <x v="0"/>
    <x v="0"/>
    <n v="14.55"/>
    <n v="1.4550000000000001"/>
    <n v="1.8915000000000002"/>
    <x v="26"/>
    <x v="125"/>
  </r>
  <r>
    <d v="2021-10-13T00:00:00"/>
    <s v="R-L-0.5"/>
    <n v="4"/>
    <x v="254"/>
    <s v="Swindon"/>
    <x v="2"/>
    <x v="1"/>
    <x v="0"/>
    <x v="1"/>
    <x v="1"/>
    <n v="7.169999999999999"/>
    <n v="1.4339999999999997"/>
    <n v="0.43019999999999992"/>
    <x v="29"/>
    <x v="139"/>
  </r>
  <r>
    <d v="2021-08-31T00:00:00"/>
    <s v="R-L-0.5"/>
    <n v="3"/>
    <x v="255"/>
    <s v="Tucson"/>
    <x v="0"/>
    <x v="1"/>
    <x v="0"/>
    <x v="1"/>
    <x v="1"/>
    <n v="7.169999999999999"/>
    <n v="1.4339999999999997"/>
    <n v="0.43019999999999992"/>
    <x v="3"/>
    <x v="137"/>
  </r>
  <r>
    <d v="2020-01-16T00:00:00"/>
    <s v="L-M-0.5"/>
    <n v="2"/>
    <x v="256"/>
    <s v="Milwaukee"/>
    <x v="0"/>
    <x v="0"/>
    <x v="3"/>
    <x v="0"/>
    <x v="1"/>
    <n v="8.73"/>
    <n v="1.746"/>
    <n v="1.1349"/>
    <x v="32"/>
    <x v="92"/>
  </r>
  <r>
    <d v="2022-04-25T00:00:00"/>
    <s v="E-D-2.5"/>
    <n v="1"/>
    <x v="257"/>
    <s v="Pompano Beach"/>
    <x v="0"/>
    <x v="0"/>
    <x v="1"/>
    <x v="2"/>
    <x v="2"/>
    <n v="27.945"/>
    <n v="1.1177999999999999"/>
    <n v="3.07395"/>
    <x v="11"/>
    <x v="140"/>
  </r>
  <r>
    <d v="2021-11-13T00:00:00"/>
    <s v="E-D-2.5"/>
    <n v="5"/>
    <x v="258"/>
    <s v="Whittier"/>
    <x v="0"/>
    <x v="1"/>
    <x v="1"/>
    <x v="2"/>
    <x v="2"/>
    <n v="27.945"/>
    <n v="1.1177999999999999"/>
    <n v="3.07395"/>
    <x v="26"/>
    <x v="141"/>
  </r>
  <r>
    <d v="2021-06-08T00:00:00"/>
    <s v="R-M-0.2"/>
    <n v="2"/>
    <x v="259"/>
    <s v="Sheffield"/>
    <x v="2"/>
    <x v="1"/>
    <x v="0"/>
    <x v="0"/>
    <x v="3"/>
    <n v="2.9849999999999999"/>
    <n v="1.4924999999999999"/>
    <n v="0.17909999999999998"/>
    <x v="1"/>
    <x v="9"/>
  </r>
  <r>
    <d v="2020-11-21T00:00:00"/>
    <s v="R-L-2.5"/>
    <n v="1"/>
    <x v="260"/>
    <s v="Saint Louis"/>
    <x v="0"/>
    <x v="0"/>
    <x v="0"/>
    <x v="1"/>
    <x v="2"/>
    <n v="27.484999999999996"/>
    <n v="1.0993999999999999"/>
    <n v="1.6490999999999998"/>
    <x v="38"/>
    <x v="142"/>
  </r>
  <r>
    <d v="2019-03-14T00:00:00"/>
    <s v="R-L-1"/>
    <n v="5"/>
    <x v="261"/>
    <s v="Erie"/>
    <x v="0"/>
    <x v="0"/>
    <x v="0"/>
    <x v="1"/>
    <x v="0"/>
    <n v="11.95"/>
    <n v="1.1949999999999998"/>
    <n v="0.71699999999999997"/>
    <x v="13"/>
    <x v="143"/>
  </r>
  <r>
    <d v="2019-08-16T00:00:00"/>
    <s v="E-M-1"/>
    <n v="3"/>
    <x v="262"/>
    <s v="Tacoma"/>
    <x v="0"/>
    <x v="1"/>
    <x v="1"/>
    <x v="0"/>
    <x v="0"/>
    <n v="13.75"/>
    <n v="1.375"/>
    <n v="1.5125"/>
    <x v="41"/>
    <x v="1"/>
  </r>
  <r>
    <d v="2019-04-22T00:00:00"/>
    <s v="L-M-2.5"/>
    <n v="4"/>
    <x v="263"/>
    <s v="Richmond"/>
    <x v="0"/>
    <x v="1"/>
    <x v="3"/>
    <x v="0"/>
    <x v="2"/>
    <n v="33.464999999999996"/>
    <n v="1.3385999999999998"/>
    <n v="4.3504499999999995"/>
    <x v="24"/>
    <x v="136"/>
  </r>
  <r>
    <d v="2022-05-02T00:00:00"/>
    <s v="R-L-1"/>
    <n v="5"/>
    <x v="264"/>
    <s v="Kinsealy-Drinan"/>
    <x v="1"/>
    <x v="0"/>
    <x v="0"/>
    <x v="1"/>
    <x v="0"/>
    <n v="11.95"/>
    <n v="1.1949999999999998"/>
    <n v="0.71699999999999997"/>
    <x v="5"/>
    <x v="143"/>
  </r>
  <r>
    <d v="2020-02-11T00:00:00"/>
    <s v="A-D-0.5"/>
    <n v="1"/>
    <x v="265"/>
    <s v="Little Rock"/>
    <x v="0"/>
    <x v="0"/>
    <x v="2"/>
    <x v="2"/>
    <x v="1"/>
    <n v="5.97"/>
    <n v="1.194"/>
    <n v="0.5373"/>
    <x v="35"/>
    <x v="9"/>
  </r>
  <r>
    <d v="2021-03-28T00:00:00"/>
    <s v="E-D-1"/>
    <n v="2"/>
    <x v="266"/>
    <s v="Newton"/>
    <x v="2"/>
    <x v="1"/>
    <x v="1"/>
    <x v="2"/>
    <x v="0"/>
    <n v="12.15"/>
    <n v="1.2150000000000001"/>
    <n v="1.3365"/>
    <x v="7"/>
    <x v="76"/>
  </r>
  <r>
    <d v="2021-05-08T00:00:00"/>
    <s v="E-D-0.2"/>
    <n v="6"/>
    <x v="267"/>
    <s v="Sparks"/>
    <x v="0"/>
    <x v="0"/>
    <x v="1"/>
    <x v="2"/>
    <x v="3"/>
    <n v="3.645"/>
    <n v="1.8225"/>
    <n v="0.40095000000000003"/>
    <x v="43"/>
    <x v="6"/>
  </r>
  <r>
    <d v="2019-11-21T00:00:00"/>
    <s v="A-D-1"/>
    <n v="2"/>
    <x v="268"/>
    <s v="Bryan"/>
    <x v="0"/>
    <x v="0"/>
    <x v="2"/>
    <x v="2"/>
    <x v="0"/>
    <n v="9.9499999999999993"/>
    <n v="0.99499999999999988"/>
    <n v="0.89549999999999985"/>
    <x v="30"/>
    <x v="0"/>
  </r>
  <r>
    <d v="2021-05-17T00:00:00"/>
    <s v="A-D-0.2"/>
    <n v="2"/>
    <x v="269"/>
    <s v="Denton"/>
    <x v="0"/>
    <x v="1"/>
    <x v="2"/>
    <x v="2"/>
    <x v="3"/>
    <n v="2.9849999999999999"/>
    <n v="1.4924999999999999"/>
    <n v="0.26865"/>
    <x v="43"/>
    <x v="9"/>
  </r>
  <r>
    <d v="2019-07-09T00:00:00"/>
    <s v="E-D-0.5"/>
    <n v="1"/>
    <x v="270"/>
    <s v="Tullamore"/>
    <x v="1"/>
    <x v="0"/>
    <x v="1"/>
    <x v="2"/>
    <x v="1"/>
    <n v="7.29"/>
    <n v="1.458"/>
    <n v="0.80190000000000006"/>
    <x v="37"/>
    <x v="35"/>
  </r>
  <r>
    <d v="2020-05-20T00:00:00"/>
    <s v="A-D-0.2"/>
    <n v="4"/>
    <x v="271"/>
    <s v="Raleigh"/>
    <x v="0"/>
    <x v="0"/>
    <x v="2"/>
    <x v="2"/>
    <x v="3"/>
    <n v="2.9849999999999999"/>
    <n v="1.4924999999999999"/>
    <n v="0.26865"/>
    <x v="10"/>
    <x v="22"/>
  </r>
  <r>
    <d v="2021-08-27T00:00:00"/>
    <s v="R-L-1"/>
    <n v="6"/>
    <x v="272"/>
    <s v="Shankill"/>
    <x v="1"/>
    <x v="0"/>
    <x v="0"/>
    <x v="1"/>
    <x v="0"/>
    <n v="11.95"/>
    <n v="1.1949999999999998"/>
    <n v="0.71699999999999997"/>
    <x v="3"/>
    <x v="144"/>
  </r>
  <r>
    <d v="2022-04-30T00:00:00"/>
    <s v="A-L-0.2"/>
    <n v="2"/>
    <x v="273"/>
    <s v="New York City"/>
    <x v="0"/>
    <x v="1"/>
    <x v="2"/>
    <x v="1"/>
    <x v="3"/>
    <n v="3.8849999999999998"/>
    <n v="1.9424999999999999"/>
    <n v="0.34964999999999996"/>
    <x v="11"/>
    <x v="41"/>
  </r>
  <r>
    <d v="2020-06-03T00:00:00"/>
    <s v="A-M-2.5"/>
    <n v="1"/>
    <x v="274"/>
    <s v="Stamford"/>
    <x v="0"/>
    <x v="1"/>
    <x v="2"/>
    <x v="0"/>
    <x v="2"/>
    <n v="25.874999999999996"/>
    <n v="1.0349999999999999"/>
    <n v="2.3287499999999994"/>
    <x v="22"/>
    <x v="145"/>
  </r>
  <r>
    <d v="2022-06-13T00:00:00"/>
    <s v="E-L-2.5"/>
    <n v="6"/>
    <x v="275"/>
    <s v="Toledo"/>
    <x v="0"/>
    <x v="1"/>
    <x v="1"/>
    <x v="1"/>
    <x v="2"/>
    <n v="34.154999999999994"/>
    <n v="1.3661999999999999"/>
    <n v="3.7570499999999996"/>
    <x v="12"/>
    <x v="106"/>
  </r>
  <r>
    <d v="2020-06-10T00:00:00"/>
    <s v="R-L-2.5"/>
    <n v="4"/>
    <x v="276"/>
    <s v="Castleblayney"/>
    <x v="1"/>
    <x v="0"/>
    <x v="0"/>
    <x v="1"/>
    <x v="2"/>
    <n v="27.484999999999996"/>
    <n v="1.0993999999999999"/>
    <n v="1.6490999999999998"/>
    <x v="22"/>
    <x v="108"/>
  </r>
  <r>
    <d v="2020-12-18T00:00:00"/>
    <s v="E-L-1"/>
    <n v="6"/>
    <x v="277"/>
    <s v="Columbia"/>
    <x v="0"/>
    <x v="1"/>
    <x v="1"/>
    <x v="1"/>
    <x v="0"/>
    <n v="14.85"/>
    <n v="1.4849999999999999"/>
    <n v="1.6335"/>
    <x v="16"/>
    <x v="146"/>
  </r>
  <r>
    <d v="2019-08-31T00:00:00"/>
    <s v="A-L-0.2"/>
    <n v="2"/>
    <x v="278"/>
    <s v="Fort Wayne"/>
    <x v="0"/>
    <x v="0"/>
    <x v="2"/>
    <x v="1"/>
    <x v="3"/>
    <n v="3.8849999999999998"/>
    <n v="1.9424999999999999"/>
    <n v="0.34964999999999996"/>
    <x v="41"/>
    <x v="41"/>
  </r>
  <r>
    <d v="2019-02-25T00:00:00"/>
    <s v="L-M-2.5"/>
    <n v="1"/>
    <x v="279"/>
    <s v="Saint Louis"/>
    <x v="0"/>
    <x v="0"/>
    <x v="3"/>
    <x v="0"/>
    <x v="2"/>
    <n v="33.464999999999996"/>
    <n v="1.3385999999999998"/>
    <n v="4.3504499999999995"/>
    <x v="20"/>
    <x v="116"/>
  </r>
  <r>
    <d v="2021-02-07T00:00:00"/>
    <s v="E-M-0.5"/>
    <n v="5"/>
    <x v="280"/>
    <s v="Portland"/>
    <x v="0"/>
    <x v="0"/>
    <x v="1"/>
    <x v="0"/>
    <x v="1"/>
    <n v="8.25"/>
    <n v="1.65"/>
    <n v="0.90749999999999997"/>
    <x v="23"/>
    <x v="1"/>
  </r>
  <r>
    <d v="2021-01-14T00:00:00"/>
    <s v="E-L-1"/>
    <n v="4"/>
    <x v="281"/>
    <s v="Boulder"/>
    <x v="0"/>
    <x v="0"/>
    <x v="1"/>
    <x v="1"/>
    <x v="0"/>
    <n v="14.85"/>
    <n v="1.4849999999999999"/>
    <n v="1.6335"/>
    <x v="17"/>
    <x v="48"/>
  </r>
  <r>
    <d v="2019-02-24T00:00:00"/>
    <s v="A-L-0.5"/>
    <n v="1"/>
    <x v="282"/>
    <s v="Norton"/>
    <x v="2"/>
    <x v="1"/>
    <x v="2"/>
    <x v="1"/>
    <x v="1"/>
    <n v="7.77"/>
    <n v="1.5539999999999998"/>
    <n v="0.69929999999999992"/>
    <x v="20"/>
    <x v="41"/>
  </r>
  <r>
    <d v="2019-06-23T00:00:00"/>
    <s v="R-D-0.5"/>
    <n v="1"/>
    <x v="283"/>
    <s v="Sheffield"/>
    <x v="2"/>
    <x v="0"/>
    <x v="0"/>
    <x v="2"/>
    <x v="1"/>
    <n v="5.3699999999999992"/>
    <n v="1.0739999999999998"/>
    <n v="0.32219999999999993"/>
    <x v="15"/>
    <x v="147"/>
  </r>
  <r>
    <d v="2020-05-09T00:00:00"/>
    <s v="E-M-2.5"/>
    <n v="3"/>
    <x v="284"/>
    <s v="Louisville"/>
    <x v="0"/>
    <x v="1"/>
    <x v="1"/>
    <x v="0"/>
    <x v="2"/>
    <n v="31.624999999999996"/>
    <n v="1.2649999999999999"/>
    <n v="3.4787499999999998"/>
    <x v="10"/>
    <x v="88"/>
  </r>
  <r>
    <d v="2020-07-18T00:00:00"/>
    <s v="L-L-2.5"/>
    <n v="1"/>
    <x v="285"/>
    <s v="Buffalo"/>
    <x v="0"/>
    <x v="1"/>
    <x v="3"/>
    <x v="1"/>
    <x v="2"/>
    <n v="36.454999999999998"/>
    <n v="1.4581999999999999"/>
    <n v="4.7391499999999995"/>
    <x v="39"/>
    <x v="133"/>
  </r>
  <r>
    <d v="2019-10-17T00:00:00"/>
    <s v="A-M-0.2"/>
    <n v="4"/>
    <x v="286"/>
    <s v="Canton"/>
    <x v="0"/>
    <x v="0"/>
    <x v="2"/>
    <x v="0"/>
    <x v="3"/>
    <n v="3.375"/>
    <n v="1.6875"/>
    <n v="0.30374999999999996"/>
    <x v="14"/>
    <x v="72"/>
  </r>
  <r>
    <d v="2022-05-16T00:00:00"/>
    <s v="R-L-0.2"/>
    <n v="4"/>
    <x v="287"/>
    <s v="Boston"/>
    <x v="0"/>
    <x v="1"/>
    <x v="0"/>
    <x v="1"/>
    <x v="3"/>
    <n v="3.5849999999999995"/>
    <n v="1.7924999999999998"/>
    <n v="0.21509999999999996"/>
    <x v="5"/>
    <x v="79"/>
  </r>
  <r>
    <d v="2021-03-24T00:00:00"/>
    <s v="E-M-0.5"/>
    <n v="1"/>
    <x v="288"/>
    <s v="Kinlough"/>
    <x v="1"/>
    <x v="0"/>
    <x v="1"/>
    <x v="0"/>
    <x v="1"/>
    <n v="8.25"/>
    <n v="1.65"/>
    <n v="0.90749999999999997"/>
    <x v="7"/>
    <x v="112"/>
  </r>
  <r>
    <d v="2019-11-03T00:00:00"/>
    <s v="R-D-0.2"/>
    <n v="5"/>
    <x v="289"/>
    <s v="Lynchburg"/>
    <x v="0"/>
    <x v="0"/>
    <x v="0"/>
    <x v="2"/>
    <x v="3"/>
    <n v="2.6849999999999996"/>
    <n v="1.3424999999999998"/>
    <n v="0.16109999999999997"/>
    <x v="30"/>
    <x v="148"/>
  </r>
  <r>
    <d v="2021-10-28T00:00:00"/>
    <s v="A-D-1"/>
    <n v="5"/>
    <x v="290"/>
    <s v="Los Angeles"/>
    <x v="0"/>
    <x v="1"/>
    <x v="2"/>
    <x v="2"/>
    <x v="0"/>
    <n v="9.9499999999999993"/>
    <n v="0.99499999999999988"/>
    <n v="0.89549999999999985"/>
    <x v="29"/>
    <x v="12"/>
  </r>
  <r>
    <d v="2020-12-16T00:00:00"/>
    <s v="E-M-0.5"/>
    <n v="2"/>
    <x v="291"/>
    <s v="Drumcondra"/>
    <x v="1"/>
    <x v="1"/>
    <x v="1"/>
    <x v="0"/>
    <x v="1"/>
    <n v="8.25"/>
    <n v="1.65"/>
    <n v="0.90749999999999997"/>
    <x v="16"/>
    <x v="38"/>
  </r>
  <r>
    <d v="2021-11-29T00:00:00"/>
    <s v="A-D-0.5"/>
    <n v="3"/>
    <x v="292"/>
    <s v="Birmingham"/>
    <x v="0"/>
    <x v="1"/>
    <x v="2"/>
    <x v="2"/>
    <x v="1"/>
    <n v="5.97"/>
    <n v="1.194"/>
    <n v="0.5373"/>
    <x v="26"/>
    <x v="8"/>
  </r>
  <r>
    <d v="2021-03-20T00:00:00"/>
    <s v="A-D-0.5"/>
    <n v="5"/>
    <x v="293"/>
    <s v="Alexandria"/>
    <x v="0"/>
    <x v="1"/>
    <x v="2"/>
    <x v="2"/>
    <x v="1"/>
    <n v="5.97"/>
    <n v="1.194"/>
    <n v="0.5373"/>
    <x v="7"/>
    <x v="44"/>
  </r>
  <r>
    <d v="2022-04-08T00:00:00"/>
    <s v="E-L-1"/>
    <n v="3"/>
    <x v="294"/>
    <s v="Danbury"/>
    <x v="0"/>
    <x v="1"/>
    <x v="1"/>
    <x v="1"/>
    <x v="0"/>
    <n v="14.85"/>
    <n v="1.4849999999999999"/>
    <n v="1.6335"/>
    <x v="11"/>
    <x v="69"/>
  </r>
  <r>
    <d v="2020-08-14T00:00:00"/>
    <s v="E-M-1"/>
    <n v="2"/>
    <x v="295"/>
    <s v="Albany"/>
    <x v="0"/>
    <x v="1"/>
    <x v="1"/>
    <x v="0"/>
    <x v="0"/>
    <n v="13.75"/>
    <n v="1.375"/>
    <n v="1.5125"/>
    <x v="42"/>
    <x v="3"/>
  </r>
  <r>
    <d v="2019-05-12T00:00:00"/>
    <s v="R-M-0.5"/>
    <n v="6"/>
    <x v="296"/>
    <s v="Naples"/>
    <x v="0"/>
    <x v="0"/>
    <x v="0"/>
    <x v="0"/>
    <x v="1"/>
    <n v="5.97"/>
    <n v="1.194"/>
    <n v="0.35819999999999996"/>
    <x v="28"/>
    <x v="27"/>
  </r>
  <r>
    <d v="2021-03-03T00:00:00"/>
    <s v="R-D-0.5"/>
    <n v="3"/>
    <x v="297"/>
    <s v="Miami Beach"/>
    <x v="0"/>
    <x v="0"/>
    <x v="0"/>
    <x v="2"/>
    <x v="1"/>
    <n v="5.3699999999999992"/>
    <n v="1.0739999999999998"/>
    <n v="0.32219999999999993"/>
    <x v="7"/>
    <x v="103"/>
  </r>
  <r>
    <d v="2020-02-11T00:00:00"/>
    <s v="E-L-0.2"/>
    <n v="6"/>
    <x v="298"/>
    <s v="Atlanta"/>
    <x v="0"/>
    <x v="0"/>
    <x v="1"/>
    <x v="1"/>
    <x v="3"/>
    <n v="4.4550000000000001"/>
    <n v="2.2275"/>
    <n v="0.49004999999999999"/>
    <x v="35"/>
    <x v="149"/>
  </r>
  <r>
    <d v="2019-04-27T00:00:00"/>
    <s v="E-L-2.5"/>
    <n v="6"/>
    <x v="299"/>
    <s v="Corpus Christi"/>
    <x v="0"/>
    <x v="0"/>
    <x v="1"/>
    <x v="1"/>
    <x v="2"/>
    <n v="34.154999999999994"/>
    <n v="1.3661999999999999"/>
    <n v="3.7570499999999996"/>
    <x v="24"/>
    <x v="106"/>
  </r>
  <r>
    <d v="2022-03-26T00:00:00"/>
    <s v="A-L-1"/>
    <n v="3"/>
    <x v="300"/>
    <s v="Honolulu"/>
    <x v="0"/>
    <x v="0"/>
    <x v="2"/>
    <x v="1"/>
    <x v="0"/>
    <n v="12.95"/>
    <n v="1.2949999999999999"/>
    <n v="1.1655"/>
    <x v="33"/>
    <x v="5"/>
  </r>
  <r>
    <d v="2020-09-28T00:00:00"/>
    <s v="L-D-0.2"/>
    <n v="4"/>
    <x v="301"/>
    <s v="Austin"/>
    <x v="0"/>
    <x v="0"/>
    <x v="3"/>
    <x v="2"/>
    <x v="3"/>
    <n v="3.8849999999999998"/>
    <n v="1.9424999999999999"/>
    <n v="0.50505"/>
    <x v="31"/>
    <x v="42"/>
  </r>
  <r>
    <d v="2019-10-24T00:00:00"/>
    <s v="A-M-0.5"/>
    <n v="1"/>
    <x v="302"/>
    <s v="Baltimore"/>
    <x v="0"/>
    <x v="1"/>
    <x v="2"/>
    <x v="0"/>
    <x v="1"/>
    <n v="6.75"/>
    <n v="1.35"/>
    <n v="0.60749999999999993"/>
    <x v="14"/>
    <x v="52"/>
  </r>
  <r>
    <d v="2021-08-04T00:00:00"/>
    <s v="E-D-2.5"/>
    <n v="4"/>
    <x v="303"/>
    <s v="Lexington"/>
    <x v="0"/>
    <x v="0"/>
    <x v="1"/>
    <x v="2"/>
    <x v="2"/>
    <n v="27.945"/>
    <n v="1.1177999999999999"/>
    <n v="3.07395"/>
    <x v="3"/>
    <x v="150"/>
  </r>
  <r>
    <d v="2019-12-29T00:00:00"/>
    <s v="A-L-0.2"/>
    <n v="1"/>
    <x v="304"/>
    <s v="Joliet"/>
    <x v="0"/>
    <x v="0"/>
    <x v="2"/>
    <x v="1"/>
    <x v="3"/>
    <n v="3.8849999999999998"/>
    <n v="1.9424999999999999"/>
    <n v="0.34964999999999996"/>
    <x v="40"/>
    <x v="84"/>
  </r>
  <r>
    <d v="2019-11-27T00:00:00"/>
    <s v="L-M-0.2"/>
    <n v="5"/>
    <x v="305"/>
    <s v="Eaton"/>
    <x v="2"/>
    <x v="1"/>
    <x v="3"/>
    <x v="0"/>
    <x v="3"/>
    <n v="4.3650000000000002"/>
    <n v="2.1825000000000001"/>
    <n v="0.56745000000000001"/>
    <x v="30"/>
    <x v="26"/>
  </r>
  <r>
    <d v="2020-02-29T00:00:00"/>
    <s v="R-M-0.2"/>
    <n v="5"/>
    <x v="306"/>
    <s v="Lincoln"/>
    <x v="0"/>
    <x v="1"/>
    <x v="0"/>
    <x v="0"/>
    <x v="3"/>
    <n v="2.9849999999999999"/>
    <n v="1.4924999999999999"/>
    <n v="0.17909999999999998"/>
    <x v="35"/>
    <x v="128"/>
  </r>
  <r>
    <d v="2021-01-31T00:00:00"/>
    <s v="A-M-1"/>
    <n v="3"/>
    <x v="307"/>
    <s v="Cincinnati"/>
    <x v="0"/>
    <x v="0"/>
    <x v="2"/>
    <x v="0"/>
    <x v="0"/>
    <n v="11.25"/>
    <n v="1.125"/>
    <n v="1.0125"/>
    <x v="17"/>
    <x v="65"/>
  </r>
  <r>
    <d v="2022-06-17T00:00:00"/>
    <s v="A-M-1"/>
    <n v="3"/>
    <x v="308"/>
    <s v="Sheffield"/>
    <x v="2"/>
    <x v="1"/>
    <x v="2"/>
    <x v="0"/>
    <x v="0"/>
    <n v="11.25"/>
    <n v="1.125"/>
    <n v="1.0125"/>
    <x v="12"/>
    <x v="65"/>
  </r>
  <r>
    <d v="2020-02-03T00:00:00"/>
    <s v="L-M-0.2"/>
    <n v="6"/>
    <x v="309"/>
    <s v="West Hartford"/>
    <x v="0"/>
    <x v="0"/>
    <x v="3"/>
    <x v="0"/>
    <x v="3"/>
    <n v="4.3650000000000002"/>
    <n v="2.1825000000000001"/>
    <n v="0.56745000000000001"/>
    <x v="35"/>
    <x v="50"/>
  </r>
  <r>
    <d v="2022-01-25T00:00:00"/>
    <s v="E-L-1"/>
    <n v="1"/>
    <x v="310"/>
    <s v="Listowel"/>
    <x v="1"/>
    <x v="1"/>
    <x v="1"/>
    <x v="1"/>
    <x v="0"/>
    <n v="14.85"/>
    <n v="1.4849999999999999"/>
    <n v="1.6335"/>
    <x v="4"/>
    <x v="151"/>
  </r>
  <r>
    <d v="2020-04-30T00:00:00"/>
    <s v="E-M-2.5"/>
    <n v="6"/>
    <x v="311"/>
    <s v="Charlotte"/>
    <x v="0"/>
    <x v="0"/>
    <x v="1"/>
    <x v="0"/>
    <x v="2"/>
    <n v="31.624999999999996"/>
    <n v="1.2649999999999999"/>
    <n v="3.4787499999999998"/>
    <x v="25"/>
    <x v="152"/>
  </r>
  <r>
    <d v="2021-05-01T00:00:00"/>
    <s v="R-M-0.5"/>
    <n v="1"/>
    <x v="312"/>
    <s v="Alexandria"/>
    <x v="0"/>
    <x v="0"/>
    <x v="0"/>
    <x v="0"/>
    <x v="1"/>
    <n v="5.97"/>
    <n v="1.194"/>
    <n v="0.35819999999999996"/>
    <x v="43"/>
    <x v="9"/>
  </r>
  <r>
    <d v="2021-10-28T00:00:00"/>
    <s v="R-M-1"/>
    <n v="3"/>
    <x v="313"/>
    <s v="Belfast"/>
    <x v="2"/>
    <x v="0"/>
    <x v="0"/>
    <x v="0"/>
    <x v="0"/>
    <n v="9.9499999999999993"/>
    <n v="0.99499999999999988"/>
    <n v="0.59699999999999998"/>
    <x v="29"/>
    <x v="44"/>
  </r>
  <r>
    <d v="2021-08-29T00:00:00"/>
    <s v="R-D-1"/>
    <n v="5"/>
    <x v="314"/>
    <s v="Las Vegas"/>
    <x v="0"/>
    <x v="1"/>
    <x v="0"/>
    <x v="2"/>
    <x v="0"/>
    <n v="8.9499999999999993"/>
    <n v="0.89499999999999991"/>
    <n v="0.53699999999999992"/>
    <x v="3"/>
    <x v="153"/>
  </r>
  <r>
    <d v="2019-12-27T00:00:00"/>
    <s v="E-L-2.5"/>
    <n v="1"/>
    <x v="315"/>
    <s v="Des Moines"/>
    <x v="0"/>
    <x v="0"/>
    <x v="1"/>
    <x v="1"/>
    <x v="2"/>
    <n v="34.154999999999994"/>
    <n v="1.3661999999999999"/>
    <n v="3.7570499999999996"/>
    <x v="40"/>
    <x v="107"/>
  </r>
  <r>
    <d v="2019-06-25T00:00:00"/>
    <s v="E-L-2.5"/>
    <n v="6"/>
    <x v="316"/>
    <s v="Ballivor"/>
    <x v="1"/>
    <x v="1"/>
    <x v="1"/>
    <x v="1"/>
    <x v="2"/>
    <n v="34.154999999999994"/>
    <n v="1.3661999999999999"/>
    <n v="3.7570499999999996"/>
    <x v="15"/>
    <x v="106"/>
  </r>
  <r>
    <d v="2019-03-02T00:00:00"/>
    <s v="E-D-0.5"/>
    <n v="3"/>
    <x v="317"/>
    <s v="Akron"/>
    <x v="0"/>
    <x v="1"/>
    <x v="1"/>
    <x v="2"/>
    <x v="1"/>
    <n v="7.29"/>
    <n v="1.458"/>
    <n v="0.80190000000000006"/>
    <x v="13"/>
    <x v="6"/>
  </r>
  <r>
    <d v="2022-01-02T00:00:00"/>
    <s v="A-M-2.5"/>
    <n v="2"/>
    <x v="318"/>
    <s v="West Palm Beach"/>
    <x v="0"/>
    <x v="0"/>
    <x v="2"/>
    <x v="0"/>
    <x v="2"/>
    <n v="25.874999999999996"/>
    <n v="1.0349999999999999"/>
    <n v="2.3287499999999994"/>
    <x v="4"/>
    <x v="95"/>
  </r>
  <r>
    <d v="2019-07-30T00:00:00"/>
    <s v="E-M-0.2"/>
    <n v="2"/>
    <x v="319"/>
    <s v="Fresno"/>
    <x v="0"/>
    <x v="0"/>
    <x v="1"/>
    <x v="0"/>
    <x v="3"/>
    <n v="4.125"/>
    <n v="2.0625"/>
    <n v="0.45374999999999999"/>
    <x v="37"/>
    <x v="112"/>
  </r>
  <r>
    <d v="2019-07-30T00:00:00"/>
    <s v="A-L-0.2"/>
    <n v="5"/>
    <x v="320"/>
    <s v="Iowa City"/>
    <x v="0"/>
    <x v="0"/>
    <x v="2"/>
    <x v="1"/>
    <x v="3"/>
    <n v="3.8849999999999998"/>
    <n v="1.9424999999999999"/>
    <n v="0.34964999999999996"/>
    <x v="37"/>
    <x v="117"/>
  </r>
  <r>
    <d v="2020-12-05T00:00:00"/>
    <s v="A-M-0.2"/>
    <n v="6"/>
    <x v="321"/>
    <s v="Sandyford"/>
    <x v="1"/>
    <x v="0"/>
    <x v="2"/>
    <x v="0"/>
    <x v="3"/>
    <n v="3.375"/>
    <n v="1.6875"/>
    <n v="0.30374999999999996"/>
    <x v="16"/>
    <x v="16"/>
  </r>
  <r>
    <d v="2020-12-17T00:00:00"/>
    <s v="L-D-0.5"/>
    <n v="3"/>
    <x v="322"/>
    <s v="Dublin"/>
    <x v="1"/>
    <x v="1"/>
    <x v="3"/>
    <x v="2"/>
    <x v="1"/>
    <n v="7.77"/>
    <n v="1.5539999999999998"/>
    <n v="1.0101"/>
    <x v="16"/>
    <x v="102"/>
  </r>
  <r>
    <d v="2021-06-26T00:00:00"/>
    <s v="E-D-0.2"/>
    <n v="5"/>
    <x v="323"/>
    <s v="Knoxville"/>
    <x v="0"/>
    <x v="0"/>
    <x v="1"/>
    <x v="2"/>
    <x v="3"/>
    <n v="3.645"/>
    <n v="1.8225"/>
    <n v="0.40095000000000003"/>
    <x v="1"/>
    <x v="94"/>
  </r>
  <r>
    <d v="2019-07-20T00:00:00"/>
    <s v="E-M-1"/>
    <n v="1"/>
    <x v="324"/>
    <s v="Shawnee Mission"/>
    <x v="0"/>
    <x v="1"/>
    <x v="1"/>
    <x v="0"/>
    <x v="0"/>
    <n v="13.75"/>
    <n v="1.375"/>
    <n v="1.5125"/>
    <x v="37"/>
    <x v="154"/>
  </r>
  <r>
    <d v="2022-07-14T00:00:00"/>
    <s v="A-L-2.5"/>
    <n v="1"/>
    <x v="325"/>
    <s v="San Francisco"/>
    <x v="0"/>
    <x v="0"/>
    <x v="2"/>
    <x v="1"/>
    <x v="2"/>
    <n v="29.784999999999997"/>
    <n v="1.1913999999999998"/>
    <n v="2.6806499999999995"/>
    <x v="9"/>
    <x v="91"/>
  </r>
  <r>
    <d v="2020-08-14T00:00:00"/>
    <s v="R-D-1"/>
    <n v="5"/>
    <x v="326"/>
    <s v="Birmingham"/>
    <x v="0"/>
    <x v="1"/>
    <x v="0"/>
    <x v="2"/>
    <x v="0"/>
    <n v="8.9499999999999993"/>
    <n v="0.89499999999999991"/>
    <n v="0.53699999999999992"/>
    <x v="42"/>
    <x v="153"/>
  </r>
  <r>
    <d v="2019-04-24T00:00:00"/>
    <s v="R-D-1"/>
    <n v="5"/>
    <x v="327"/>
    <s v="Brooklyn"/>
    <x v="0"/>
    <x v="0"/>
    <x v="0"/>
    <x v="2"/>
    <x v="0"/>
    <n v="8.9499999999999993"/>
    <n v="0.89499999999999991"/>
    <n v="0.53699999999999992"/>
    <x v="24"/>
    <x v="153"/>
  </r>
  <r>
    <d v="2019-06-04T00:00:00"/>
    <s v="L-L-0.5"/>
    <n v="4"/>
    <x v="328"/>
    <s v="El Paso"/>
    <x v="0"/>
    <x v="0"/>
    <x v="3"/>
    <x v="1"/>
    <x v="1"/>
    <n v="9.51"/>
    <n v="1.9019999999999999"/>
    <n v="1.2363"/>
    <x v="15"/>
    <x v="82"/>
  </r>
  <r>
    <d v="2022-08-08T00:00:00"/>
    <s v="R-D-0.5"/>
    <n v="4"/>
    <x v="329"/>
    <s v="Sacramento"/>
    <x v="0"/>
    <x v="0"/>
    <x v="0"/>
    <x v="2"/>
    <x v="1"/>
    <n v="5.3699999999999992"/>
    <n v="1.0739999999999998"/>
    <n v="0.32219999999999993"/>
    <x v="21"/>
    <x v="155"/>
  </r>
  <r>
    <d v="2019-11-13T00:00:00"/>
    <s v="R-D-0.5"/>
    <n v="3"/>
    <x v="330"/>
    <s v="Washington"/>
    <x v="0"/>
    <x v="1"/>
    <x v="0"/>
    <x v="2"/>
    <x v="1"/>
    <n v="5.3699999999999992"/>
    <n v="1.0739999999999998"/>
    <n v="0.32219999999999993"/>
    <x v="30"/>
    <x v="103"/>
  </r>
  <r>
    <d v="2020-06-07T00:00:00"/>
    <s v="R-M-2.5"/>
    <n v="1"/>
    <x v="331"/>
    <s v="Boynton Beach"/>
    <x v="0"/>
    <x v="0"/>
    <x v="0"/>
    <x v="0"/>
    <x v="2"/>
    <n v="22.884999999999998"/>
    <n v="0.91539999999999988"/>
    <n v="1.3730999999999998"/>
    <x v="22"/>
    <x v="156"/>
  </r>
  <r>
    <d v="2019-08-12T00:00:00"/>
    <s v="A-D-0.5"/>
    <n v="3"/>
    <x v="332"/>
    <s v="Los Angeles"/>
    <x v="0"/>
    <x v="0"/>
    <x v="2"/>
    <x v="2"/>
    <x v="1"/>
    <n v="5.97"/>
    <n v="1.194"/>
    <n v="0.5373"/>
    <x v="41"/>
    <x v="8"/>
  </r>
  <r>
    <d v="2019-09-04T00:00:00"/>
    <s v="R-M-0.5"/>
    <n v="4"/>
    <x v="333"/>
    <s v="Baltimore"/>
    <x v="0"/>
    <x v="0"/>
    <x v="0"/>
    <x v="0"/>
    <x v="1"/>
    <n v="5.97"/>
    <n v="1.194"/>
    <n v="0.35819999999999996"/>
    <x v="0"/>
    <x v="86"/>
  </r>
  <r>
    <d v="2019-10-04T00:00:00"/>
    <s v="R-L-1"/>
    <n v="5"/>
    <x v="334"/>
    <s v="Salt Lake City"/>
    <x v="0"/>
    <x v="1"/>
    <x v="0"/>
    <x v="1"/>
    <x v="0"/>
    <n v="11.95"/>
    <n v="1.1949999999999998"/>
    <n v="0.71699999999999997"/>
    <x v="14"/>
    <x v="143"/>
  </r>
  <r>
    <d v="2020-02-24T00:00:00"/>
    <s v="L-L-0.2"/>
    <n v="6"/>
    <x v="335"/>
    <s v="Garland"/>
    <x v="0"/>
    <x v="0"/>
    <x v="3"/>
    <x v="1"/>
    <x v="3"/>
    <n v="4.7549999999999999"/>
    <n v="2.3774999999999999"/>
    <n v="0.61814999999999998"/>
    <x v="35"/>
    <x v="32"/>
  </r>
  <r>
    <d v="2021-08-26T00:00:00"/>
    <s v="A-M-1"/>
    <n v="4"/>
    <x v="336"/>
    <s v="Church End"/>
    <x v="2"/>
    <x v="1"/>
    <x v="2"/>
    <x v="0"/>
    <x v="0"/>
    <n v="11.25"/>
    <n v="1.125"/>
    <n v="1.0125"/>
    <x v="3"/>
    <x v="157"/>
  </r>
  <r>
    <d v="2021-10-03T00:00:00"/>
    <s v="E-D-2.5"/>
    <n v="2"/>
    <x v="337"/>
    <s v="Columbus"/>
    <x v="0"/>
    <x v="1"/>
    <x v="1"/>
    <x v="2"/>
    <x v="2"/>
    <n v="27.945"/>
    <n v="1.1177999999999999"/>
    <n v="3.07395"/>
    <x v="29"/>
    <x v="158"/>
  </r>
  <r>
    <d v="2020-06-13T00:00:00"/>
    <s v="E-L-1"/>
    <n v="4"/>
    <x v="338"/>
    <s v="New York City"/>
    <x v="0"/>
    <x v="1"/>
    <x v="1"/>
    <x v="1"/>
    <x v="0"/>
    <n v="14.85"/>
    <n v="1.4849999999999999"/>
    <n v="1.6335"/>
    <x v="22"/>
    <x v="48"/>
  </r>
  <r>
    <d v="2021-03-01T00:00:00"/>
    <s v="E-D-0.2"/>
    <n v="2"/>
    <x v="339"/>
    <s v="Boston"/>
    <x v="0"/>
    <x v="0"/>
    <x v="1"/>
    <x v="2"/>
    <x v="3"/>
    <n v="3.645"/>
    <n v="1.8225"/>
    <n v="0.40095000000000003"/>
    <x v="7"/>
    <x v="35"/>
  </r>
  <r>
    <d v="2019-03-04T00:00:00"/>
    <s v="E-D-0.5"/>
    <n v="1"/>
    <x v="340"/>
    <s v="San Francisco"/>
    <x v="0"/>
    <x v="0"/>
    <x v="1"/>
    <x v="2"/>
    <x v="1"/>
    <n v="7.29"/>
    <n v="1.458"/>
    <n v="0.80190000000000006"/>
    <x v="13"/>
    <x v="35"/>
  </r>
  <r>
    <d v="2019-10-13T00:00:00"/>
    <s v="E-L-0.5"/>
    <n v="2"/>
    <x v="341"/>
    <s v="Indianapolis"/>
    <x v="0"/>
    <x v="1"/>
    <x v="1"/>
    <x v="1"/>
    <x v="1"/>
    <n v="8.91"/>
    <n v="1.782"/>
    <n v="0.98009999999999997"/>
    <x v="14"/>
    <x v="58"/>
  </r>
  <r>
    <d v="2019-10-13T00:00:00"/>
    <s v="L-D-0.5"/>
    <n v="5"/>
    <x v="342"/>
    <s v="Jacksonville"/>
    <x v="0"/>
    <x v="1"/>
    <x v="3"/>
    <x v="2"/>
    <x v="1"/>
    <n v="7.77"/>
    <n v="1.5539999999999998"/>
    <n v="1.0101"/>
    <x v="14"/>
    <x v="5"/>
  </r>
  <r>
    <d v="2019-08-15T00:00:00"/>
    <s v="R-D-0.5"/>
    <n v="6"/>
    <x v="343"/>
    <s v="Seattle"/>
    <x v="0"/>
    <x v="1"/>
    <x v="0"/>
    <x v="2"/>
    <x v="1"/>
    <n v="5.3699999999999992"/>
    <n v="1.0739999999999998"/>
    <n v="0.32219999999999993"/>
    <x v="41"/>
    <x v="111"/>
  </r>
  <r>
    <d v="2021-11-29T00:00:00"/>
    <s v="R-M-1"/>
    <n v="2"/>
    <x v="344"/>
    <s v="Dunmanway"/>
    <x v="1"/>
    <x v="0"/>
    <x v="0"/>
    <x v="0"/>
    <x v="0"/>
    <n v="9.9499999999999993"/>
    <n v="0.99499999999999988"/>
    <n v="0.59699999999999998"/>
    <x v="26"/>
    <x v="0"/>
  </r>
  <r>
    <d v="2020-01-19T00:00:00"/>
    <s v="R-L-1"/>
    <n v="5"/>
    <x v="345"/>
    <s v="Montgomery"/>
    <x v="0"/>
    <x v="1"/>
    <x v="0"/>
    <x v="1"/>
    <x v="0"/>
    <n v="11.95"/>
    <n v="1.1949999999999998"/>
    <n v="0.71699999999999997"/>
    <x v="32"/>
    <x v="143"/>
  </r>
  <r>
    <d v="2021-05-28T00:00:00"/>
    <s v="A-L-0.5"/>
    <n v="3"/>
    <x v="346"/>
    <s v="Dallas"/>
    <x v="0"/>
    <x v="0"/>
    <x v="2"/>
    <x v="1"/>
    <x v="1"/>
    <n v="7.77"/>
    <n v="1.5539999999999998"/>
    <n v="0.69929999999999992"/>
    <x v="43"/>
    <x v="102"/>
  </r>
  <r>
    <d v="2022-01-15T00:00:00"/>
    <s v="L-M-1"/>
    <n v="3"/>
    <x v="347"/>
    <s v="Topeka"/>
    <x v="0"/>
    <x v="1"/>
    <x v="3"/>
    <x v="0"/>
    <x v="0"/>
    <n v="14.55"/>
    <n v="1.4550000000000001"/>
    <n v="1.8915000000000002"/>
    <x v="4"/>
    <x v="34"/>
  </r>
  <r>
    <d v="2019-12-04T00:00:00"/>
    <s v="E-L-2.5"/>
    <n v="6"/>
    <x v="348"/>
    <s v="Tyler"/>
    <x v="0"/>
    <x v="1"/>
    <x v="1"/>
    <x v="1"/>
    <x v="2"/>
    <n v="34.154999999999994"/>
    <n v="1.3661999999999999"/>
    <n v="3.7570499999999996"/>
    <x v="40"/>
    <x v="106"/>
  </r>
  <r>
    <d v="2022-07-01T00:00:00"/>
    <s v="R-L-0.2"/>
    <n v="4"/>
    <x v="349"/>
    <s v="Los Angeles"/>
    <x v="0"/>
    <x v="1"/>
    <x v="0"/>
    <x v="1"/>
    <x v="3"/>
    <n v="3.5849999999999995"/>
    <n v="1.7924999999999998"/>
    <n v="0.21509999999999996"/>
    <x v="9"/>
    <x v="79"/>
  </r>
  <r>
    <d v="2019-05-07T00:00:00"/>
    <s v="A-D-0.5"/>
    <n v="4"/>
    <x v="350"/>
    <s v="Shreveport"/>
    <x v="0"/>
    <x v="1"/>
    <x v="2"/>
    <x v="2"/>
    <x v="1"/>
    <n v="5.97"/>
    <n v="1.194"/>
    <n v="0.5373"/>
    <x v="28"/>
    <x v="86"/>
  </r>
  <r>
    <d v="2020-08-23T00:00:00"/>
    <s v="A-M-1"/>
    <n v="2"/>
    <x v="351"/>
    <s v="Boise"/>
    <x v="0"/>
    <x v="1"/>
    <x v="2"/>
    <x v="0"/>
    <x v="0"/>
    <n v="11.25"/>
    <n v="1.125"/>
    <n v="1.0125"/>
    <x v="42"/>
    <x v="122"/>
  </r>
  <r>
    <d v="2020-06-02T00:00:00"/>
    <s v="E-D-0.5"/>
    <n v="5"/>
    <x v="352"/>
    <s v="San Bernardino"/>
    <x v="0"/>
    <x v="1"/>
    <x v="1"/>
    <x v="2"/>
    <x v="1"/>
    <n v="7.29"/>
    <n v="1.458"/>
    <n v="0.80190000000000006"/>
    <x v="22"/>
    <x v="114"/>
  </r>
  <r>
    <d v="2020-01-30T00:00:00"/>
    <s v="A-M-0.5"/>
    <n v="4"/>
    <x v="353"/>
    <s v="Montgomery"/>
    <x v="0"/>
    <x v="0"/>
    <x v="2"/>
    <x v="0"/>
    <x v="1"/>
    <n v="6.75"/>
    <n v="1.35"/>
    <n v="0.60749999999999993"/>
    <x v="32"/>
    <x v="25"/>
  </r>
  <r>
    <d v="2020-02-15T00:00:00"/>
    <s v="A-M-2.5"/>
    <n v="6"/>
    <x v="354"/>
    <s v="Fort Pierce"/>
    <x v="0"/>
    <x v="1"/>
    <x v="2"/>
    <x v="0"/>
    <x v="2"/>
    <n v="25.874999999999996"/>
    <n v="1.0349999999999999"/>
    <n v="2.3287499999999994"/>
    <x v="35"/>
    <x v="71"/>
  </r>
  <r>
    <d v="2021-06-11T00:00:00"/>
    <s v="A-D-2.5"/>
    <n v="5"/>
    <x v="355"/>
    <s v="Greensboro"/>
    <x v="0"/>
    <x v="0"/>
    <x v="2"/>
    <x v="2"/>
    <x v="2"/>
    <n v="22.884999999999998"/>
    <n v="0.91539999999999988"/>
    <n v="2.0596499999999995"/>
    <x v="1"/>
    <x v="15"/>
  </r>
  <r>
    <d v="2022-03-11T00:00:00"/>
    <s v="L-D-1"/>
    <n v="4"/>
    <x v="356"/>
    <s v="Sacramento"/>
    <x v="0"/>
    <x v="0"/>
    <x v="3"/>
    <x v="2"/>
    <x v="0"/>
    <n v="12.95"/>
    <n v="1.2949999999999999"/>
    <n v="1.6835"/>
    <x v="33"/>
    <x v="67"/>
  </r>
  <r>
    <d v="2021-09-09T00:00:00"/>
    <s v="A-M-2.5"/>
    <n v="6"/>
    <x v="357"/>
    <s v="Round Rock"/>
    <x v="0"/>
    <x v="1"/>
    <x v="2"/>
    <x v="0"/>
    <x v="2"/>
    <n v="25.874999999999996"/>
    <n v="1.0349999999999999"/>
    <n v="2.3287499999999994"/>
    <x v="19"/>
    <x v="71"/>
  </r>
  <r>
    <d v="2019-05-14T00:00:00"/>
    <s v="A-L-2.5"/>
    <n v="1"/>
    <x v="358"/>
    <s v="Reston"/>
    <x v="0"/>
    <x v="1"/>
    <x v="2"/>
    <x v="1"/>
    <x v="2"/>
    <n v="29.784999999999997"/>
    <n v="1.1913999999999998"/>
    <n v="2.6806499999999995"/>
    <x v="28"/>
    <x v="91"/>
  </r>
  <r>
    <d v="2019-04-08T00:00:00"/>
    <s v="R-L-0.2"/>
    <n v="6"/>
    <x v="359"/>
    <s v="Charlton"/>
    <x v="2"/>
    <x v="1"/>
    <x v="0"/>
    <x v="1"/>
    <x v="3"/>
    <n v="3.5849999999999995"/>
    <n v="1.7924999999999998"/>
    <n v="0.21509999999999996"/>
    <x v="24"/>
    <x v="137"/>
  </r>
  <r>
    <d v="2020-08-15T00:00:00"/>
    <s v="R-D-2.5"/>
    <n v="2"/>
    <x v="360"/>
    <s v="Columbia"/>
    <x v="0"/>
    <x v="1"/>
    <x v="0"/>
    <x v="2"/>
    <x v="2"/>
    <n v="20.584999999999997"/>
    <n v="0.82339999999999991"/>
    <n v="1.2350999999999999"/>
    <x v="42"/>
    <x v="13"/>
  </r>
  <r>
    <d v="2020-08-15T00:00:00"/>
    <s v="R-M-0.5"/>
    <n v="1"/>
    <x v="361"/>
    <s v="Nashville"/>
    <x v="0"/>
    <x v="0"/>
    <x v="0"/>
    <x v="0"/>
    <x v="1"/>
    <n v="5.97"/>
    <n v="1.194"/>
    <n v="0.35819999999999996"/>
    <x v="42"/>
    <x v="9"/>
  </r>
  <r>
    <d v="2022-05-05T00:00:00"/>
    <s v="E-L-1"/>
    <n v="5"/>
    <x v="362"/>
    <s v="Phoenix"/>
    <x v="0"/>
    <x v="0"/>
    <x v="1"/>
    <x v="1"/>
    <x v="0"/>
    <n v="14.85"/>
    <n v="1.4849999999999999"/>
    <n v="1.6335"/>
    <x v="5"/>
    <x v="159"/>
  </r>
  <r>
    <d v="2021-03-27T00:00:00"/>
    <s v="L-M-1"/>
    <n v="6"/>
    <x v="363"/>
    <s v="Miami"/>
    <x v="0"/>
    <x v="1"/>
    <x v="3"/>
    <x v="0"/>
    <x v="0"/>
    <n v="14.55"/>
    <n v="1.4550000000000001"/>
    <n v="1.8915000000000002"/>
    <x v="7"/>
    <x v="75"/>
  </r>
  <r>
    <d v="2019-04-27T00:00:00"/>
    <s v="E-D-1"/>
    <n v="6"/>
    <x v="364"/>
    <s v="Fresno"/>
    <x v="0"/>
    <x v="0"/>
    <x v="1"/>
    <x v="2"/>
    <x v="0"/>
    <n v="12.15"/>
    <n v="1.2150000000000001"/>
    <n v="1.3365"/>
    <x v="24"/>
    <x v="118"/>
  </r>
  <r>
    <d v="2021-09-25T00:00:00"/>
    <s v="L-D-0.5"/>
    <n v="1"/>
    <x v="365"/>
    <s v="Anaheim"/>
    <x v="0"/>
    <x v="1"/>
    <x v="3"/>
    <x v="2"/>
    <x v="1"/>
    <n v="7.77"/>
    <n v="1.5539999999999998"/>
    <n v="1.0101"/>
    <x v="19"/>
    <x v="41"/>
  </r>
  <r>
    <d v="2020-02-13T00:00:00"/>
    <s v="E-D-0.5"/>
    <n v="6"/>
    <x v="366"/>
    <s v="Newport News"/>
    <x v="0"/>
    <x v="1"/>
    <x v="1"/>
    <x v="2"/>
    <x v="1"/>
    <n v="7.29"/>
    <n v="1.458"/>
    <n v="0.80190000000000006"/>
    <x v="35"/>
    <x v="160"/>
  </r>
  <r>
    <d v="2021-07-16T00:00:00"/>
    <s v="L-M-0.2"/>
    <n v="2"/>
    <x v="367"/>
    <s v="Spartanburg"/>
    <x v="0"/>
    <x v="0"/>
    <x v="3"/>
    <x v="0"/>
    <x v="3"/>
    <n v="4.3650000000000002"/>
    <n v="2.1825000000000001"/>
    <n v="0.56745000000000001"/>
    <x v="2"/>
    <x v="31"/>
  </r>
  <r>
    <d v="2022-05-11T00:00:00"/>
    <s v="E-M-2.5"/>
    <n v="2"/>
    <x v="368"/>
    <s v="Staten Island"/>
    <x v="0"/>
    <x v="1"/>
    <x v="1"/>
    <x v="0"/>
    <x v="2"/>
    <n v="31.624999999999996"/>
    <n v="1.2649999999999999"/>
    <n v="3.4787499999999998"/>
    <x v="5"/>
    <x v="40"/>
  </r>
  <r>
    <d v="2019-02-04T00:00:00"/>
    <s v="E-L-0.5"/>
    <n v="1"/>
    <x v="369"/>
    <s v="Las Vegas"/>
    <x v="0"/>
    <x v="0"/>
    <x v="1"/>
    <x v="1"/>
    <x v="1"/>
    <n v="8.91"/>
    <n v="1.782"/>
    <n v="0.98009999999999997"/>
    <x v="20"/>
    <x v="161"/>
  </r>
  <r>
    <d v="2019-02-05T00:00:00"/>
    <s v="E-D-1"/>
    <n v="2"/>
    <x v="370"/>
    <s v="Salt Lake City"/>
    <x v="0"/>
    <x v="0"/>
    <x v="1"/>
    <x v="2"/>
    <x v="0"/>
    <n v="12.15"/>
    <n v="1.2150000000000001"/>
    <n v="1.3365"/>
    <x v="20"/>
    <x v="76"/>
  </r>
  <r>
    <d v="2022-05-24T00:00:00"/>
    <s v="A-L-0.5"/>
    <n v="6"/>
    <x v="371"/>
    <s v="Seattle"/>
    <x v="0"/>
    <x v="0"/>
    <x v="2"/>
    <x v="1"/>
    <x v="1"/>
    <n v="7.77"/>
    <n v="1.5539999999999998"/>
    <n v="0.69929999999999992"/>
    <x v="5"/>
    <x v="162"/>
  </r>
  <r>
    <d v="2020-10-04T00:00:00"/>
    <s v="R-L-0.5"/>
    <n v="6"/>
    <x v="372"/>
    <s v="Odessa"/>
    <x v="0"/>
    <x v="1"/>
    <x v="0"/>
    <x v="1"/>
    <x v="1"/>
    <n v="7.169999999999999"/>
    <n v="1.4339999999999997"/>
    <n v="0.43019999999999992"/>
    <x v="8"/>
    <x v="163"/>
  </r>
  <r>
    <d v="2022-06-30T00:00:00"/>
    <s v="A-D-0.5"/>
    <n v="3"/>
    <x v="373"/>
    <s v="Castleknock"/>
    <x v="1"/>
    <x v="0"/>
    <x v="2"/>
    <x v="2"/>
    <x v="1"/>
    <n v="5.97"/>
    <n v="1.194"/>
    <n v="0.5373"/>
    <x v="12"/>
    <x v="8"/>
  </r>
  <r>
    <d v="2020-10-21T00:00:00"/>
    <s v="L-L-0.5"/>
    <n v="4"/>
    <x v="374"/>
    <s v="Irving"/>
    <x v="0"/>
    <x v="0"/>
    <x v="3"/>
    <x v="1"/>
    <x v="1"/>
    <n v="9.51"/>
    <n v="1.9019999999999999"/>
    <n v="1.2363"/>
    <x v="8"/>
    <x v="82"/>
  </r>
  <r>
    <d v="2020-10-16T00:00:00"/>
    <s v="A-M-0.2"/>
    <n v="2"/>
    <x v="375"/>
    <s v="Dayton"/>
    <x v="0"/>
    <x v="0"/>
    <x v="2"/>
    <x v="0"/>
    <x v="3"/>
    <n v="3.375"/>
    <n v="1.6875"/>
    <n v="0.30374999999999996"/>
    <x v="8"/>
    <x v="52"/>
  </r>
  <r>
    <d v="2020-09-23T00:00:00"/>
    <s v="R-M-0.5"/>
    <n v="1"/>
    <x v="376"/>
    <s v="Grand Rapids"/>
    <x v="0"/>
    <x v="0"/>
    <x v="0"/>
    <x v="0"/>
    <x v="1"/>
    <n v="5.97"/>
    <n v="1.194"/>
    <n v="0.35819999999999996"/>
    <x v="31"/>
    <x v="9"/>
  </r>
  <r>
    <d v="2019-03-08T00:00:00"/>
    <s v="R-D-0.2"/>
    <n v="3"/>
    <x v="377"/>
    <s v="Balally"/>
    <x v="1"/>
    <x v="1"/>
    <x v="0"/>
    <x v="2"/>
    <x v="3"/>
    <n v="2.6849999999999996"/>
    <n v="1.3424999999999998"/>
    <n v="0.16109999999999997"/>
    <x v="13"/>
    <x v="36"/>
  </r>
  <r>
    <d v="2021-06-30T00:00:00"/>
    <s v="A-L-0.5"/>
    <n v="3"/>
    <x v="378"/>
    <s v="Tullyallen"/>
    <x v="1"/>
    <x v="0"/>
    <x v="2"/>
    <x v="1"/>
    <x v="1"/>
    <n v="7.77"/>
    <n v="1.5539999999999998"/>
    <n v="0.69929999999999992"/>
    <x v="1"/>
    <x v="102"/>
  </r>
  <r>
    <d v="2019-08-13T00:00:00"/>
    <s v="R-L-0.5"/>
    <n v="6"/>
    <x v="379"/>
    <s v="Sutton"/>
    <x v="2"/>
    <x v="0"/>
    <x v="0"/>
    <x v="1"/>
    <x v="1"/>
    <n v="7.169999999999999"/>
    <n v="1.4339999999999997"/>
    <n v="0.43019999999999992"/>
    <x v="41"/>
    <x v="163"/>
  </r>
  <r>
    <d v="2021-02-22T00:00:00"/>
    <s v="L-D-0.5"/>
    <n v="3"/>
    <x v="380"/>
    <s v="Springfield"/>
    <x v="0"/>
    <x v="1"/>
    <x v="3"/>
    <x v="2"/>
    <x v="1"/>
    <n v="7.77"/>
    <n v="1.5539999999999998"/>
    <n v="1.0101"/>
    <x v="23"/>
    <x v="102"/>
  </r>
  <r>
    <d v="2022-03-26T00:00:00"/>
    <s v="A-D-0.2"/>
    <n v="5"/>
    <x v="381"/>
    <s v="Los Angeles"/>
    <x v="0"/>
    <x v="0"/>
    <x v="2"/>
    <x v="2"/>
    <x v="3"/>
    <n v="2.9849999999999999"/>
    <n v="1.4924999999999999"/>
    <n v="0.26865"/>
    <x v="33"/>
    <x v="128"/>
  </r>
  <r>
    <d v="2020-01-10T00:00:00"/>
    <s v="E-D-0.5"/>
    <n v="3"/>
    <x v="382"/>
    <s v="Baltimore"/>
    <x v="0"/>
    <x v="1"/>
    <x v="1"/>
    <x v="2"/>
    <x v="1"/>
    <n v="7.29"/>
    <n v="1.458"/>
    <n v="0.80190000000000006"/>
    <x v="32"/>
    <x v="6"/>
  </r>
  <r>
    <d v="2019-05-01T00:00:00"/>
    <s v="E-L-0.5"/>
    <n v="6"/>
    <x v="383"/>
    <s v="Harrisburg"/>
    <x v="0"/>
    <x v="0"/>
    <x v="1"/>
    <x v="1"/>
    <x v="1"/>
    <n v="8.91"/>
    <n v="1.782"/>
    <n v="0.98009999999999997"/>
    <x v="28"/>
    <x v="119"/>
  </r>
  <r>
    <d v="2020-02-09T00:00:00"/>
    <s v="A-L-2.5"/>
    <n v="4"/>
    <x v="384"/>
    <s v="Dallas"/>
    <x v="0"/>
    <x v="1"/>
    <x v="2"/>
    <x v="1"/>
    <x v="2"/>
    <n v="29.784999999999997"/>
    <n v="1.1913999999999998"/>
    <n v="2.6806499999999995"/>
    <x v="35"/>
    <x v="129"/>
  </r>
  <r>
    <d v="2021-12-29T00:00:00"/>
    <s v="L-M-0.5"/>
    <n v="5"/>
    <x v="385"/>
    <s v="Kansas City"/>
    <x v="0"/>
    <x v="0"/>
    <x v="3"/>
    <x v="0"/>
    <x v="1"/>
    <n v="8.73"/>
    <n v="1.746"/>
    <n v="1.1349"/>
    <x v="34"/>
    <x v="34"/>
  </r>
  <r>
    <d v="2020-09-09T00:00:00"/>
    <s v="A-D-0.2"/>
    <n v="6"/>
    <x v="386"/>
    <s v="Springfield"/>
    <x v="0"/>
    <x v="0"/>
    <x v="2"/>
    <x v="2"/>
    <x v="3"/>
    <n v="2.9849999999999999"/>
    <n v="1.4924999999999999"/>
    <n v="0.26865"/>
    <x v="31"/>
    <x v="8"/>
  </r>
  <r>
    <d v="2021-09-16T00:00:00"/>
    <s v="E-L-1"/>
    <n v="5"/>
    <x v="387"/>
    <s v="New Haven"/>
    <x v="0"/>
    <x v="0"/>
    <x v="1"/>
    <x v="1"/>
    <x v="0"/>
    <n v="14.85"/>
    <n v="1.4849999999999999"/>
    <n v="1.6335"/>
    <x v="19"/>
    <x v="159"/>
  </r>
  <r>
    <d v="2020-10-26T00:00:00"/>
    <s v="L-D-0.2"/>
    <n v="3"/>
    <x v="388"/>
    <s v="Lawrenceville"/>
    <x v="0"/>
    <x v="0"/>
    <x v="3"/>
    <x v="2"/>
    <x v="3"/>
    <n v="3.8849999999999998"/>
    <n v="1.9424999999999999"/>
    <n v="0.50505"/>
    <x v="8"/>
    <x v="14"/>
  </r>
  <r>
    <d v="2019-03-12T00:00:00"/>
    <s v="L-D-0.5"/>
    <n v="3"/>
    <x v="389"/>
    <s v="Asheville"/>
    <x v="0"/>
    <x v="0"/>
    <x v="3"/>
    <x v="2"/>
    <x v="1"/>
    <n v="7.77"/>
    <n v="1.5539999999999998"/>
    <n v="1.0101"/>
    <x v="13"/>
    <x v="102"/>
  </r>
  <r>
    <d v="2021-02-18T00:00:00"/>
    <s v="E-D-0.5"/>
    <n v="2"/>
    <x v="390"/>
    <s v="Saint Paul"/>
    <x v="0"/>
    <x v="0"/>
    <x v="1"/>
    <x v="2"/>
    <x v="1"/>
    <n v="7.29"/>
    <n v="1.458"/>
    <n v="0.80190000000000006"/>
    <x v="23"/>
    <x v="20"/>
  </r>
  <r>
    <d v="2020-10-29T00:00:00"/>
    <s v="A-M-0.5"/>
    <n v="2"/>
    <x v="391"/>
    <s v="Minneapolis"/>
    <x v="0"/>
    <x v="1"/>
    <x v="2"/>
    <x v="0"/>
    <x v="1"/>
    <n v="6.75"/>
    <n v="1.35"/>
    <n v="0.60749999999999993"/>
    <x v="8"/>
    <x v="72"/>
  </r>
  <r>
    <d v="2021-09-06T00:00:00"/>
    <s v="E-L-1"/>
    <n v="6"/>
    <x v="392"/>
    <s v="Santa Ana"/>
    <x v="0"/>
    <x v="1"/>
    <x v="1"/>
    <x v="1"/>
    <x v="0"/>
    <n v="14.85"/>
    <n v="1.4849999999999999"/>
    <n v="1.6335"/>
    <x v="19"/>
    <x v="146"/>
  </r>
  <r>
    <d v="2021-09-06T00:00:00"/>
    <s v="A-L-0.2"/>
    <n v="1"/>
    <x v="393"/>
    <s v="Hagerstown"/>
    <x v="0"/>
    <x v="0"/>
    <x v="2"/>
    <x v="1"/>
    <x v="3"/>
    <n v="3.8849999999999998"/>
    <n v="1.9424999999999999"/>
    <n v="0.34964999999999996"/>
    <x v="19"/>
    <x v="84"/>
  </r>
  <r>
    <d v="2020-09-09T00:00:00"/>
    <s v="R-L-2.5"/>
    <n v="4"/>
    <x v="394"/>
    <s v="Minneapolis"/>
    <x v="0"/>
    <x v="1"/>
    <x v="0"/>
    <x v="1"/>
    <x v="2"/>
    <n v="27.484999999999996"/>
    <n v="1.0993999999999999"/>
    <n v="1.6490999999999998"/>
    <x v="31"/>
    <x v="108"/>
  </r>
  <r>
    <d v="2021-09-26T00:00:00"/>
    <s v="L-D-0.5"/>
    <n v="6"/>
    <x v="395"/>
    <s v="Washington"/>
    <x v="0"/>
    <x v="0"/>
    <x v="3"/>
    <x v="2"/>
    <x v="1"/>
    <n v="7.77"/>
    <n v="1.5539999999999998"/>
    <n v="1.0101"/>
    <x v="19"/>
    <x v="162"/>
  </r>
  <r>
    <d v="2020-11-05T00:00:00"/>
    <s v="A-L-0.5"/>
    <n v="5"/>
    <x v="396"/>
    <s v="San Bernardino"/>
    <x v="0"/>
    <x v="1"/>
    <x v="2"/>
    <x v="1"/>
    <x v="1"/>
    <n v="7.77"/>
    <n v="1.5539999999999998"/>
    <n v="0.69929999999999992"/>
    <x v="38"/>
    <x v="5"/>
  </r>
  <r>
    <d v="2019-09-12T00:00:00"/>
    <s v="L-D-0.5"/>
    <n v="4"/>
    <x v="397"/>
    <s v="Rochester"/>
    <x v="0"/>
    <x v="0"/>
    <x v="3"/>
    <x v="2"/>
    <x v="1"/>
    <n v="7.77"/>
    <n v="1.5539999999999998"/>
    <n v="1.0101"/>
    <x v="0"/>
    <x v="113"/>
  </r>
  <r>
    <d v="2019-07-31T00:00:00"/>
    <s v="A-D-0.2"/>
    <n v="6"/>
    <x v="398"/>
    <s v="Vancouver"/>
    <x v="0"/>
    <x v="0"/>
    <x v="2"/>
    <x v="2"/>
    <x v="3"/>
    <n v="2.9849999999999999"/>
    <n v="1.4924999999999999"/>
    <n v="0.26865"/>
    <x v="37"/>
    <x v="8"/>
  </r>
  <r>
    <d v="2019-03-15T00:00:00"/>
    <s v="E-D-2.5"/>
    <n v="6"/>
    <x v="399"/>
    <s v="Preston"/>
    <x v="2"/>
    <x v="1"/>
    <x v="1"/>
    <x v="2"/>
    <x v="2"/>
    <n v="27.945"/>
    <n v="1.1177999999999999"/>
    <n v="3.07395"/>
    <x v="13"/>
    <x v="164"/>
  </r>
  <r>
    <d v="2021-05-16T00:00:00"/>
    <s v="L-L-1"/>
    <n v="4"/>
    <x v="400"/>
    <s v="Washington"/>
    <x v="0"/>
    <x v="1"/>
    <x v="3"/>
    <x v="1"/>
    <x v="0"/>
    <n v="15.85"/>
    <n v="1.585"/>
    <n v="2.0605000000000002"/>
    <x v="43"/>
    <x v="165"/>
  </r>
  <r>
    <d v="2019-05-06T00:00:00"/>
    <s v="L-M-0.2"/>
    <n v="2"/>
    <x v="401"/>
    <s v="Knoxville"/>
    <x v="0"/>
    <x v="0"/>
    <x v="3"/>
    <x v="0"/>
    <x v="3"/>
    <n v="4.3650000000000002"/>
    <n v="2.1825000000000001"/>
    <n v="0.56745000000000001"/>
    <x v="28"/>
    <x v="31"/>
  </r>
  <r>
    <d v="2019-02-06T00:00:00"/>
    <s v="R-D-1"/>
    <n v="3"/>
    <x v="402"/>
    <s v="Charleston"/>
    <x v="0"/>
    <x v="0"/>
    <x v="0"/>
    <x v="2"/>
    <x v="0"/>
    <n v="8.9499999999999993"/>
    <n v="0.89499999999999991"/>
    <n v="0.53699999999999992"/>
    <x v="20"/>
    <x v="166"/>
  </r>
  <r>
    <d v="2021-04-09T00:00:00"/>
    <s v="L-L-0.2"/>
    <n v="2"/>
    <x v="403"/>
    <s v="Dallas"/>
    <x v="0"/>
    <x v="1"/>
    <x v="3"/>
    <x v="1"/>
    <x v="3"/>
    <n v="4.7549999999999999"/>
    <n v="2.3774999999999999"/>
    <n v="0.61814999999999998"/>
    <x v="27"/>
    <x v="54"/>
  </r>
  <r>
    <d v="2020-05-20T00:00:00"/>
    <s v="A-D-1"/>
    <n v="4"/>
    <x v="404"/>
    <s v="Whitegate"/>
    <x v="1"/>
    <x v="1"/>
    <x v="2"/>
    <x v="2"/>
    <x v="0"/>
    <n v="9.9499999999999993"/>
    <n v="0.99499999999999988"/>
    <n v="0.89549999999999985"/>
    <x v="10"/>
    <x v="10"/>
  </r>
  <r>
    <d v="2020-12-02T00:00:00"/>
    <s v="E-M-0.5"/>
    <n v="3"/>
    <x v="405"/>
    <s v="Chico"/>
    <x v="0"/>
    <x v="0"/>
    <x v="1"/>
    <x v="0"/>
    <x v="1"/>
    <n v="8.25"/>
    <n v="1.65"/>
    <n v="0.90749999999999997"/>
    <x v="16"/>
    <x v="167"/>
  </r>
  <r>
    <d v="2021-08-08T00:00:00"/>
    <s v="E-M-1"/>
    <n v="5"/>
    <x v="406"/>
    <s v="Little Rock"/>
    <x v="0"/>
    <x v="0"/>
    <x v="1"/>
    <x v="0"/>
    <x v="0"/>
    <n v="13.75"/>
    <n v="1.375"/>
    <n v="1.5125"/>
    <x v="3"/>
    <x v="85"/>
  </r>
  <r>
    <d v="2022-02-03T00:00:00"/>
    <s v="E-M-0.5"/>
    <n v="6"/>
    <x v="407"/>
    <s v="Balrothery"/>
    <x v="1"/>
    <x v="1"/>
    <x v="1"/>
    <x v="0"/>
    <x v="1"/>
    <n v="8.25"/>
    <n v="1.65"/>
    <n v="0.90749999999999997"/>
    <x v="18"/>
    <x v="168"/>
  </r>
  <r>
    <d v="2022-04-08T00:00:00"/>
    <s v="A-M-2.5"/>
    <n v="2"/>
    <x v="408"/>
    <s v="New Brunswick"/>
    <x v="0"/>
    <x v="0"/>
    <x v="2"/>
    <x v="0"/>
    <x v="2"/>
    <n v="25.874999999999996"/>
    <n v="1.0349999999999999"/>
    <n v="2.3287499999999994"/>
    <x v="11"/>
    <x v="95"/>
  </r>
  <r>
    <d v="2021-01-07T00:00:00"/>
    <s v="L-L-1"/>
    <n v="3"/>
    <x v="409"/>
    <s v="Valleymount"/>
    <x v="1"/>
    <x v="0"/>
    <x v="3"/>
    <x v="1"/>
    <x v="0"/>
    <n v="15.85"/>
    <n v="1.585"/>
    <n v="2.0605000000000002"/>
    <x v="17"/>
    <x v="46"/>
  </r>
  <r>
    <d v="2021-09-02T00:00:00"/>
    <s v="A-L-0.2"/>
    <n v="4"/>
    <x v="410"/>
    <s v="San Francisco"/>
    <x v="0"/>
    <x v="1"/>
    <x v="2"/>
    <x v="1"/>
    <x v="3"/>
    <n v="3.8849999999999998"/>
    <n v="1.9424999999999999"/>
    <n v="0.34964999999999996"/>
    <x v="19"/>
    <x v="42"/>
  </r>
  <r>
    <d v="2021-11-04T00:00:00"/>
    <s v="L-M-1"/>
    <n v="6"/>
    <x v="411"/>
    <s v="Lafayette"/>
    <x v="0"/>
    <x v="0"/>
    <x v="3"/>
    <x v="0"/>
    <x v="0"/>
    <n v="14.55"/>
    <n v="1.4550000000000001"/>
    <n v="1.8915000000000002"/>
    <x v="26"/>
    <x v="75"/>
  </r>
  <r>
    <d v="2021-08-02T00:00:00"/>
    <s v="A-M-1"/>
    <n v="5"/>
    <x v="412"/>
    <s v="San Diego"/>
    <x v="0"/>
    <x v="0"/>
    <x v="2"/>
    <x v="0"/>
    <x v="0"/>
    <n v="11.25"/>
    <n v="1.125"/>
    <n v="1.0125"/>
    <x v="3"/>
    <x v="126"/>
  </r>
  <r>
    <d v="2020-01-27T00:00:00"/>
    <s v="L-L-2.5"/>
    <n v="1"/>
    <x v="413"/>
    <s v="Alhambra"/>
    <x v="0"/>
    <x v="0"/>
    <x v="3"/>
    <x v="1"/>
    <x v="2"/>
    <n v="36.454999999999998"/>
    <n v="1.4581999999999999"/>
    <n v="4.7391499999999995"/>
    <x v="32"/>
    <x v="133"/>
  </r>
  <r>
    <d v="2019-12-03T00:00:00"/>
    <s v="R-L-0.2"/>
    <n v="3"/>
    <x v="414"/>
    <s v="Tyler"/>
    <x v="0"/>
    <x v="0"/>
    <x v="0"/>
    <x v="1"/>
    <x v="3"/>
    <n v="3.5849999999999995"/>
    <n v="1.7924999999999998"/>
    <n v="0.21509999999999996"/>
    <x v="40"/>
    <x v="127"/>
  </r>
  <r>
    <d v="2019-08-06T00:00:00"/>
    <s v="R-M-0.2"/>
    <n v="3"/>
    <x v="415"/>
    <s v="Lafayette"/>
    <x v="0"/>
    <x v="1"/>
    <x v="0"/>
    <x v="0"/>
    <x v="3"/>
    <n v="2.9849999999999999"/>
    <n v="1.4924999999999999"/>
    <n v="0.17909999999999998"/>
    <x v="41"/>
    <x v="169"/>
  </r>
  <r>
    <d v="2020-03-11T00:00:00"/>
    <s v="A-L-0.5"/>
    <n v="3"/>
    <x v="416"/>
    <s v="Dayton"/>
    <x v="0"/>
    <x v="0"/>
    <x v="2"/>
    <x v="1"/>
    <x v="1"/>
    <n v="7.77"/>
    <n v="1.5539999999999998"/>
    <n v="0.69929999999999992"/>
    <x v="36"/>
    <x v="102"/>
  </r>
  <r>
    <d v="2021-09-18T00:00:00"/>
    <s v="A-L-2.5"/>
    <n v="1"/>
    <x v="417"/>
    <s v="Phoenix"/>
    <x v="0"/>
    <x v="0"/>
    <x v="2"/>
    <x v="1"/>
    <x v="2"/>
    <n v="29.784999999999997"/>
    <n v="1.1913999999999998"/>
    <n v="2.6806499999999995"/>
    <x v="19"/>
    <x v="91"/>
  </r>
  <r>
    <d v="2020-11-07T00:00:00"/>
    <s v="A-L-2.5"/>
    <n v="5"/>
    <x v="418"/>
    <s v="Sacramento"/>
    <x v="0"/>
    <x v="0"/>
    <x v="2"/>
    <x v="1"/>
    <x v="2"/>
    <n v="29.784999999999997"/>
    <n v="1.1913999999999998"/>
    <n v="2.6806499999999995"/>
    <x v="38"/>
    <x v="74"/>
  </r>
  <r>
    <d v="2022-06-27T00:00:00"/>
    <s v="L-M-0.5"/>
    <n v="1"/>
    <x v="419"/>
    <s v="Lincoln"/>
    <x v="0"/>
    <x v="0"/>
    <x v="3"/>
    <x v="0"/>
    <x v="1"/>
    <n v="8.73"/>
    <n v="1.746"/>
    <n v="1.1349"/>
    <x v="12"/>
    <x v="31"/>
  </r>
  <r>
    <d v="2020-02-05T00:00:00"/>
    <s v="L-D-0.5"/>
    <n v="4"/>
    <x v="420"/>
    <s v="Harrisburg"/>
    <x v="0"/>
    <x v="1"/>
    <x v="3"/>
    <x v="2"/>
    <x v="1"/>
    <n v="7.77"/>
    <n v="1.5539999999999998"/>
    <n v="1.0101"/>
    <x v="35"/>
    <x v="113"/>
  </r>
  <r>
    <d v="2020-02-05T00:00:00"/>
    <s v="A-D-2.5"/>
    <n v="6"/>
    <x v="421"/>
    <s v="New Orleans"/>
    <x v="0"/>
    <x v="0"/>
    <x v="2"/>
    <x v="2"/>
    <x v="2"/>
    <n v="22.884999999999998"/>
    <n v="0.91539999999999988"/>
    <n v="2.0596499999999995"/>
    <x v="35"/>
    <x v="170"/>
  </r>
  <r>
    <d v="2020-02-07T00:00:00"/>
    <s v="A-D-0.5"/>
    <n v="5"/>
    <x v="422"/>
    <s v="Madison"/>
    <x v="0"/>
    <x v="1"/>
    <x v="2"/>
    <x v="2"/>
    <x v="1"/>
    <n v="5.97"/>
    <n v="1.194"/>
    <n v="0.5373"/>
    <x v="35"/>
    <x v="44"/>
  </r>
  <r>
    <d v="2020-12-18T00:00:00"/>
    <s v="R-M-0.5"/>
    <n v="3"/>
    <x v="423"/>
    <s v="Charleston"/>
    <x v="0"/>
    <x v="1"/>
    <x v="0"/>
    <x v="0"/>
    <x v="1"/>
    <n v="5.97"/>
    <n v="1.194"/>
    <n v="0.35819999999999996"/>
    <x v="16"/>
    <x v="8"/>
  </r>
  <r>
    <d v="2021-08-23T00:00:00"/>
    <s v="E-L-0.5"/>
    <n v="3"/>
    <x v="424"/>
    <s v="Little Rock"/>
    <x v="0"/>
    <x v="0"/>
    <x v="1"/>
    <x v="1"/>
    <x v="1"/>
    <n v="8.91"/>
    <n v="1.782"/>
    <n v="0.98009999999999997"/>
    <x v="3"/>
    <x v="149"/>
  </r>
  <r>
    <d v="2021-08-20T00:00:00"/>
    <s v="R-D-1"/>
    <n v="2"/>
    <x v="425"/>
    <s v="Anchorage"/>
    <x v="0"/>
    <x v="1"/>
    <x v="0"/>
    <x v="2"/>
    <x v="0"/>
    <n v="8.9499999999999993"/>
    <n v="0.89499999999999991"/>
    <n v="0.53699999999999992"/>
    <x v="3"/>
    <x v="105"/>
  </r>
  <r>
    <d v="2019-04-01T00:00:00"/>
    <s v="R-L-0.2"/>
    <n v="4"/>
    <x v="426"/>
    <s v="Longwood"/>
    <x v="1"/>
    <x v="0"/>
    <x v="0"/>
    <x v="1"/>
    <x v="3"/>
    <n v="3.5849999999999995"/>
    <n v="1.7924999999999998"/>
    <n v="0.21509999999999996"/>
    <x v="24"/>
    <x v="79"/>
  </r>
  <r>
    <d v="2021-01-28T00:00:00"/>
    <s v="A-M-2.5"/>
    <n v="3"/>
    <x v="427"/>
    <s v="San Francisco"/>
    <x v="0"/>
    <x v="0"/>
    <x v="2"/>
    <x v="0"/>
    <x v="2"/>
    <n v="25.874999999999996"/>
    <n v="1.0349999999999999"/>
    <n v="2.3287499999999994"/>
    <x v="17"/>
    <x v="57"/>
  </r>
  <r>
    <d v="2019-10-21T00:00:00"/>
    <s v="R-L-1"/>
    <n v="5"/>
    <x v="428"/>
    <s v="Warren"/>
    <x v="0"/>
    <x v="1"/>
    <x v="0"/>
    <x v="1"/>
    <x v="0"/>
    <n v="11.95"/>
    <n v="1.1949999999999998"/>
    <n v="0.71699999999999997"/>
    <x v="14"/>
    <x v="143"/>
  </r>
  <r>
    <d v="2021-06-20T00:00:00"/>
    <s v="A-L-1"/>
    <n v="6"/>
    <x v="429"/>
    <s v="Chesapeake"/>
    <x v="0"/>
    <x v="1"/>
    <x v="2"/>
    <x v="1"/>
    <x v="0"/>
    <n v="12.95"/>
    <n v="1.2949999999999999"/>
    <n v="1.1655"/>
    <x v="1"/>
    <x v="17"/>
  </r>
  <r>
    <d v="2021-11-04T00:00:00"/>
    <s v="R-D-0.2"/>
    <n v="2"/>
    <x v="430"/>
    <s v="Jackson"/>
    <x v="0"/>
    <x v="0"/>
    <x v="0"/>
    <x v="2"/>
    <x v="3"/>
    <n v="2.6849999999999996"/>
    <n v="1.3424999999999998"/>
    <n v="0.16109999999999997"/>
    <x v="26"/>
    <x v="147"/>
  </r>
  <r>
    <d v="2021-04-05T00:00:00"/>
    <s v="E-D-2.5"/>
    <n v="3"/>
    <x v="431"/>
    <s v="Kildare"/>
    <x v="1"/>
    <x v="0"/>
    <x v="1"/>
    <x v="2"/>
    <x v="2"/>
    <n v="27.945"/>
    <n v="1.1177999999999999"/>
    <n v="3.07395"/>
    <x v="27"/>
    <x v="171"/>
  </r>
  <r>
    <d v="2019-12-09T00:00:00"/>
    <s v="A-M-1"/>
    <n v="2"/>
    <x v="432"/>
    <s v="Milwaukee"/>
    <x v="0"/>
    <x v="1"/>
    <x v="2"/>
    <x v="0"/>
    <x v="0"/>
    <n v="11.25"/>
    <n v="1.125"/>
    <n v="1.0125"/>
    <x v="40"/>
    <x v="122"/>
  </r>
  <r>
    <d v="2022-01-02T00:00:00"/>
    <s v="L-M-2.5"/>
    <n v="6"/>
    <x v="433"/>
    <s v="Sacramento"/>
    <x v="0"/>
    <x v="0"/>
    <x v="3"/>
    <x v="0"/>
    <x v="2"/>
    <n v="33.464999999999996"/>
    <n v="1.3385999999999998"/>
    <n v="4.3504499999999995"/>
    <x v="4"/>
    <x v="172"/>
  </r>
  <r>
    <d v="2019-12-08T00:00:00"/>
    <s v="A-M-1"/>
    <n v="6"/>
    <x v="434"/>
    <s v="Boston"/>
    <x v="0"/>
    <x v="1"/>
    <x v="2"/>
    <x v="0"/>
    <x v="0"/>
    <n v="11.25"/>
    <n v="1.125"/>
    <n v="1.0125"/>
    <x v="40"/>
    <x v="173"/>
  </r>
  <r>
    <d v="2021-11-28T00:00:00"/>
    <s v="E-M-0.5"/>
    <n v="1"/>
    <x v="435"/>
    <s v="Topeka"/>
    <x v="0"/>
    <x v="1"/>
    <x v="1"/>
    <x v="0"/>
    <x v="1"/>
    <n v="8.25"/>
    <n v="1.65"/>
    <n v="0.90749999999999997"/>
    <x v="26"/>
    <x v="112"/>
  </r>
  <r>
    <d v="2022-03-11T00:00:00"/>
    <s v="L-L-0.2"/>
    <n v="2"/>
    <x v="436"/>
    <s v="Fargo"/>
    <x v="0"/>
    <x v="0"/>
    <x v="3"/>
    <x v="1"/>
    <x v="3"/>
    <n v="4.7549999999999999"/>
    <n v="2.3774999999999999"/>
    <n v="0.61814999999999998"/>
    <x v="33"/>
    <x v="54"/>
  </r>
  <r>
    <d v="2021-01-17T00:00:00"/>
    <s v="L-D-2.5"/>
    <n v="1"/>
    <x v="437"/>
    <s v="Houston"/>
    <x v="0"/>
    <x v="1"/>
    <x v="3"/>
    <x v="2"/>
    <x v="2"/>
    <n v="29.784999999999997"/>
    <n v="1.1913999999999998"/>
    <n v="3.8720499999999998"/>
    <x v="17"/>
    <x v="91"/>
  </r>
  <r>
    <d v="2019-01-18T00:00:00"/>
    <s v="L-D-0.5"/>
    <n v="2"/>
    <x v="438"/>
    <s v="Oklahoma City"/>
    <x v="0"/>
    <x v="1"/>
    <x v="3"/>
    <x v="2"/>
    <x v="1"/>
    <n v="7.77"/>
    <n v="1.5539999999999998"/>
    <n v="1.0101"/>
    <x v="6"/>
    <x v="42"/>
  </r>
  <r>
    <d v="2019-04-07T00:00:00"/>
    <s v="E-L-0.5"/>
    <n v="4"/>
    <x v="439"/>
    <s v="Caherconlish"/>
    <x v="1"/>
    <x v="1"/>
    <x v="1"/>
    <x v="1"/>
    <x v="1"/>
    <n v="8.91"/>
    <n v="1.782"/>
    <n v="0.98009999999999997"/>
    <x v="24"/>
    <x v="70"/>
  </r>
  <r>
    <d v="2021-02-03T00:00:00"/>
    <s v="A-M-2.5"/>
    <n v="4"/>
    <x v="440"/>
    <s v="Buffalo"/>
    <x v="0"/>
    <x v="0"/>
    <x v="2"/>
    <x v="0"/>
    <x v="2"/>
    <n v="25.874999999999996"/>
    <n v="1.0349999999999999"/>
    <n v="2.3287499999999994"/>
    <x v="23"/>
    <x v="68"/>
  </r>
  <r>
    <d v="2019-04-18T00:00:00"/>
    <s v="E-D-1"/>
    <n v="3"/>
    <x v="441"/>
    <s v="Shankill"/>
    <x v="1"/>
    <x v="0"/>
    <x v="1"/>
    <x v="2"/>
    <x v="0"/>
    <n v="12.15"/>
    <n v="1.2150000000000001"/>
    <n v="1.3365"/>
    <x v="24"/>
    <x v="114"/>
  </r>
  <r>
    <d v="2021-07-07T00:00:00"/>
    <s v="R-L-0.5"/>
    <n v="5"/>
    <x v="442"/>
    <s v="Bethlehem"/>
    <x v="0"/>
    <x v="1"/>
    <x v="0"/>
    <x v="1"/>
    <x v="1"/>
    <n v="7.169999999999999"/>
    <n v="1.4339999999999997"/>
    <n v="0.43019999999999992"/>
    <x v="2"/>
    <x v="66"/>
  </r>
  <r>
    <d v="2021-02-23T00:00:00"/>
    <s v="E-L-0.2"/>
    <n v="5"/>
    <x v="443"/>
    <s v="Watergrasshill"/>
    <x v="1"/>
    <x v="0"/>
    <x v="1"/>
    <x v="1"/>
    <x v="3"/>
    <n v="4.4550000000000001"/>
    <n v="2.2275"/>
    <n v="0.49004999999999999"/>
    <x v="23"/>
    <x v="110"/>
  </r>
  <r>
    <d v="2021-08-10T00:00:00"/>
    <s v="E-M-0.2"/>
    <n v="6"/>
    <x v="444"/>
    <s v="Monasterevin"/>
    <x v="1"/>
    <x v="1"/>
    <x v="1"/>
    <x v="0"/>
    <x v="3"/>
    <n v="4.125"/>
    <n v="2.0625"/>
    <n v="0.45374999999999999"/>
    <x v="3"/>
    <x v="167"/>
  </r>
  <r>
    <d v="2019-11-15T00:00:00"/>
    <s v="L-M-2.5"/>
    <n v="2"/>
    <x v="445"/>
    <s v="Sandyford"/>
    <x v="1"/>
    <x v="0"/>
    <x v="3"/>
    <x v="0"/>
    <x v="2"/>
    <n v="33.464999999999996"/>
    <n v="1.3385999999999998"/>
    <n v="4.3504499999999995"/>
    <x v="30"/>
    <x v="174"/>
  </r>
  <r>
    <d v="2019-12-17T00:00:00"/>
    <s v="L-M-0.5"/>
    <n v="1"/>
    <x v="446"/>
    <s v="Birmingham"/>
    <x v="2"/>
    <x v="0"/>
    <x v="3"/>
    <x v="0"/>
    <x v="1"/>
    <n v="8.73"/>
    <n v="1.746"/>
    <n v="1.1349"/>
    <x v="40"/>
    <x v="31"/>
  </r>
  <r>
    <d v="2020-03-18T00:00:00"/>
    <s v="R-M-0.5"/>
    <n v="3"/>
    <x v="447"/>
    <s v="Phoenix"/>
    <x v="0"/>
    <x v="1"/>
    <x v="0"/>
    <x v="0"/>
    <x v="1"/>
    <n v="5.97"/>
    <n v="1.194"/>
    <n v="0.35819999999999996"/>
    <x v="36"/>
    <x v="8"/>
  </r>
  <r>
    <d v="2022-06-06T00:00:00"/>
    <s v="R-L-0.5"/>
    <n v="1"/>
    <x v="448"/>
    <s v="Longford"/>
    <x v="1"/>
    <x v="1"/>
    <x v="0"/>
    <x v="1"/>
    <x v="1"/>
    <n v="7.169999999999999"/>
    <n v="1.4339999999999997"/>
    <n v="0.43019999999999992"/>
    <x v="12"/>
    <x v="53"/>
  </r>
  <r>
    <d v="2021-05-20T00:00:00"/>
    <s v="R-D-0.2"/>
    <n v="2"/>
    <x v="449"/>
    <s v="Toledo"/>
    <x v="0"/>
    <x v="1"/>
    <x v="0"/>
    <x v="2"/>
    <x v="3"/>
    <n v="2.6849999999999996"/>
    <n v="1.3424999999999998"/>
    <n v="0.16109999999999997"/>
    <x v="43"/>
    <x v="147"/>
  </r>
  <r>
    <d v="2021-01-11T00:00:00"/>
    <s v="L-L-0.2"/>
    <n v="5"/>
    <x v="450"/>
    <s v="Ballylinan"/>
    <x v="1"/>
    <x v="1"/>
    <x v="3"/>
    <x v="1"/>
    <x v="3"/>
    <n v="4.7549999999999999"/>
    <n v="2.3774999999999999"/>
    <n v="0.61814999999999998"/>
    <x v="17"/>
    <x v="29"/>
  </r>
  <r>
    <d v="2019-02-22T00:00:00"/>
    <s v="R-D-2.5"/>
    <n v="2"/>
    <x v="451"/>
    <s v="Charlotte"/>
    <x v="0"/>
    <x v="0"/>
    <x v="0"/>
    <x v="2"/>
    <x v="2"/>
    <n v="20.584999999999997"/>
    <n v="0.82339999999999991"/>
    <n v="1.2350999999999999"/>
    <x v="20"/>
    <x v="13"/>
  </r>
  <r>
    <d v="2021-11-24T00:00:00"/>
    <s v="A-L-0.2"/>
    <n v="3"/>
    <x v="452"/>
    <s v="Seattle"/>
    <x v="0"/>
    <x v="1"/>
    <x v="2"/>
    <x v="1"/>
    <x v="3"/>
    <n v="3.8849999999999998"/>
    <n v="1.9424999999999999"/>
    <n v="0.34964999999999996"/>
    <x v="26"/>
    <x v="14"/>
  </r>
  <r>
    <d v="2022-01-18T00:00:00"/>
    <s v="L-L-0.5"/>
    <n v="4"/>
    <x v="453"/>
    <s v="Wilkes Barre"/>
    <x v="0"/>
    <x v="1"/>
    <x v="3"/>
    <x v="1"/>
    <x v="1"/>
    <n v="9.51"/>
    <n v="1.9019999999999999"/>
    <n v="1.2363"/>
    <x v="4"/>
    <x v="82"/>
  </r>
  <r>
    <d v="2021-08-13T00:00:00"/>
    <s v="R-D-2.5"/>
    <n v="4"/>
    <x v="454"/>
    <s v="Ballyboden"/>
    <x v="1"/>
    <x v="0"/>
    <x v="0"/>
    <x v="2"/>
    <x v="2"/>
    <n v="20.584999999999997"/>
    <n v="0.82339999999999991"/>
    <n v="1.2350999999999999"/>
    <x v="3"/>
    <x v="18"/>
  </r>
  <r>
    <d v="2020-01-11T00:00:00"/>
    <s v="L-L-0.2"/>
    <n v="2"/>
    <x v="455"/>
    <s v="Bagenalstown"/>
    <x v="1"/>
    <x v="0"/>
    <x v="3"/>
    <x v="1"/>
    <x v="3"/>
    <n v="4.7549999999999999"/>
    <n v="2.3774999999999999"/>
    <n v="0.61814999999999998"/>
    <x v="32"/>
    <x v="54"/>
  </r>
  <r>
    <d v="2020-07-05T00:00:00"/>
    <s v="R-D-2.5"/>
    <n v="2"/>
    <x v="456"/>
    <s v="Liverpool"/>
    <x v="2"/>
    <x v="1"/>
    <x v="0"/>
    <x v="2"/>
    <x v="2"/>
    <n v="20.584999999999997"/>
    <n v="0.82339999999999991"/>
    <n v="1.2350999999999999"/>
    <x v="39"/>
    <x v="13"/>
  </r>
  <r>
    <d v="2019-07-25T00:00:00"/>
    <s v="L-L-0.5"/>
    <n v="5"/>
    <x v="457"/>
    <s v="Rochester"/>
    <x v="0"/>
    <x v="1"/>
    <x v="3"/>
    <x v="1"/>
    <x v="1"/>
    <n v="9.51"/>
    <n v="1.9019999999999999"/>
    <n v="1.2363"/>
    <x v="37"/>
    <x v="46"/>
  </r>
  <r>
    <d v="2022-05-26T00:00:00"/>
    <s v="A-M-1"/>
    <n v="4"/>
    <x v="458"/>
    <s v="Tucson"/>
    <x v="0"/>
    <x v="1"/>
    <x v="2"/>
    <x v="0"/>
    <x v="0"/>
    <n v="11.25"/>
    <n v="1.125"/>
    <n v="1.0125"/>
    <x v="5"/>
    <x v="157"/>
  </r>
  <r>
    <d v="2020-01-10T00:00:00"/>
    <s v="L-L-0.2"/>
    <n v="5"/>
    <x v="459"/>
    <s v="Minneapolis"/>
    <x v="0"/>
    <x v="1"/>
    <x v="3"/>
    <x v="1"/>
    <x v="3"/>
    <n v="4.7549999999999999"/>
    <n v="2.3774999999999999"/>
    <n v="0.61814999999999998"/>
    <x v="32"/>
    <x v="29"/>
  </r>
  <r>
    <d v="2019-05-17T00:00:00"/>
    <s v="R-D-0.5"/>
    <n v="3"/>
    <x v="460"/>
    <s v="Ashbourne"/>
    <x v="1"/>
    <x v="0"/>
    <x v="0"/>
    <x v="2"/>
    <x v="1"/>
    <n v="5.3699999999999992"/>
    <n v="1.0739999999999998"/>
    <n v="0.32219999999999993"/>
    <x v="28"/>
    <x v="103"/>
  </r>
  <r>
    <d v="2020-07-24T00:00:00"/>
    <s v="R-D-0.2"/>
    <n v="4"/>
    <x v="461"/>
    <s v="Bristol"/>
    <x v="2"/>
    <x v="0"/>
    <x v="0"/>
    <x v="2"/>
    <x v="3"/>
    <n v="2.6849999999999996"/>
    <n v="1.3424999999999998"/>
    <n v="0.16109999999999997"/>
    <x v="39"/>
    <x v="175"/>
  </r>
  <r>
    <d v="2020-10-20T00:00:00"/>
    <s v="A-D-1"/>
    <n v="5"/>
    <x v="462"/>
    <s v="Atlanta"/>
    <x v="0"/>
    <x v="0"/>
    <x v="2"/>
    <x v="2"/>
    <x v="0"/>
    <n v="9.9499999999999993"/>
    <n v="0.99499999999999988"/>
    <n v="0.89549999999999985"/>
    <x v="8"/>
    <x v="12"/>
  </r>
  <r>
    <d v="2019-09-22T00:00:00"/>
    <s v="E-M-1"/>
    <n v="2"/>
    <x v="463"/>
    <s v="Farranacoush"/>
    <x v="1"/>
    <x v="1"/>
    <x v="1"/>
    <x v="0"/>
    <x v="0"/>
    <n v="13.75"/>
    <n v="1.375"/>
    <n v="1.5125"/>
    <x v="0"/>
    <x v="3"/>
  </r>
  <r>
    <d v="2020-06-07T00:00:00"/>
    <s v="L-D-2.5"/>
    <n v="4"/>
    <x v="464"/>
    <s v="East End"/>
    <x v="2"/>
    <x v="1"/>
    <x v="3"/>
    <x v="2"/>
    <x v="2"/>
    <n v="29.784999999999997"/>
    <n v="1.1913999999999998"/>
    <n v="3.8720499999999998"/>
    <x v="22"/>
    <x v="129"/>
  </r>
  <r>
    <d v="2019-12-15T00:00:00"/>
    <s v="R-D-2.5"/>
    <n v="1"/>
    <x v="465"/>
    <s v="Knoxville"/>
    <x v="0"/>
    <x v="0"/>
    <x v="0"/>
    <x v="2"/>
    <x v="2"/>
    <n v="20.584999999999997"/>
    <n v="0.82339999999999991"/>
    <n v="1.2350999999999999"/>
    <x v="40"/>
    <x v="123"/>
  </r>
  <r>
    <d v="2020-12-06T00:00:00"/>
    <s v="A-D-0.2"/>
    <n v="3"/>
    <x v="466"/>
    <s v="Saginaw"/>
    <x v="0"/>
    <x v="0"/>
    <x v="2"/>
    <x v="2"/>
    <x v="3"/>
    <n v="2.9849999999999999"/>
    <n v="1.4924999999999999"/>
    <n v="0.26865"/>
    <x v="16"/>
    <x v="169"/>
  </r>
  <r>
    <d v="2021-12-06T00:00:00"/>
    <s v="A-D-0.5"/>
    <n v="1"/>
    <x v="467"/>
    <s v="Saint Augustine"/>
    <x v="0"/>
    <x v="1"/>
    <x v="2"/>
    <x v="2"/>
    <x v="1"/>
    <n v="5.97"/>
    <n v="1.194"/>
    <n v="0.5373"/>
    <x v="34"/>
    <x v="9"/>
  </r>
  <r>
    <d v="2020-07-11T00:00:00"/>
    <s v="E-M-1"/>
    <n v="3"/>
    <x v="468"/>
    <s v="San Rafael"/>
    <x v="0"/>
    <x v="0"/>
    <x v="1"/>
    <x v="0"/>
    <x v="0"/>
    <n v="13.75"/>
    <n v="1.375"/>
    <n v="1.5125"/>
    <x v="39"/>
    <x v="1"/>
  </r>
  <r>
    <d v="2021-06-28T00:00:00"/>
    <s v="E-L-0.2"/>
    <n v="5"/>
    <x v="469"/>
    <s v="San Jose"/>
    <x v="0"/>
    <x v="0"/>
    <x v="1"/>
    <x v="1"/>
    <x v="3"/>
    <n v="4.4550000000000001"/>
    <n v="2.2275"/>
    <n v="0.49004999999999999"/>
    <x v="1"/>
    <x v="110"/>
  </r>
  <r>
    <d v="2022-04-05T00:00:00"/>
    <s v="A-M-0.5"/>
    <n v="1"/>
    <x v="470"/>
    <s v="Lawrenceville"/>
    <x v="0"/>
    <x v="0"/>
    <x v="2"/>
    <x v="0"/>
    <x v="1"/>
    <n v="6.75"/>
    <n v="1.35"/>
    <n v="0.60749999999999993"/>
    <x v="11"/>
    <x v="52"/>
  </r>
  <r>
    <d v="2022-03-24T00:00:00"/>
    <s v="L-M-2.5"/>
    <n v="4"/>
    <x v="471"/>
    <s v="Topeka"/>
    <x v="0"/>
    <x v="0"/>
    <x v="3"/>
    <x v="0"/>
    <x v="2"/>
    <n v="33.464999999999996"/>
    <n v="1.3385999999999998"/>
    <n v="4.3504499999999995"/>
    <x v="33"/>
    <x v="136"/>
  </r>
  <r>
    <d v="2020-02-08T00:00:00"/>
    <s v="A-D-0.2"/>
    <n v="2"/>
    <x v="472"/>
    <s v="Shawnee Mission"/>
    <x v="0"/>
    <x v="1"/>
    <x v="2"/>
    <x v="2"/>
    <x v="3"/>
    <n v="2.9849999999999999"/>
    <n v="1.4924999999999999"/>
    <n v="0.26865"/>
    <x v="35"/>
    <x v="9"/>
  </r>
  <r>
    <d v="2022-02-11T00:00:00"/>
    <s v="A-L-1"/>
    <n v="2"/>
    <x v="473"/>
    <s v="Seattle"/>
    <x v="0"/>
    <x v="1"/>
    <x v="2"/>
    <x v="1"/>
    <x v="0"/>
    <n v="12.95"/>
    <n v="1.2949999999999999"/>
    <n v="1.1655"/>
    <x v="18"/>
    <x v="109"/>
  </r>
  <r>
    <d v="2020-07-02T00:00:00"/>
    <s v="E-M-2.5"/>
    <n v="1"/>
    <x v="474"/>
    <s v="Kilkenny"/>
    <x v="1"/>
    <x v="0"/>
    <x v="1"/>
    <x v="0"/>
    <x v="2"/>
    <n v="31.624999999999996"/>
    <n v="1.2649999999999999"/>
    <n v="3.4787499999999998"/>
    <x v="39"/>
    <x v="176"/>
  </r>
  <r>
    <d v="2022-07-25T00:00:00"/>
    <s v="L-M-0.2"/>
    <n v="2"/>
    <x v="475"/>
    <s v="Kissimmee"/>
    <x v="0"/>
    <x v="1"/>
    <x v="3"/>
    <x v="0"/>
    <x v="3"/>
    <n v="4.3650000000000002"/>
    <n v="2.1825000000000001"/>
    <n v="0.56745000000000001"/>
    <x v="9"/>
    <x v="31"/>
  </r>
  <r>
    <d v="2021-03-19T00:00:00"/>
    <s v="E-L-0.2"/>
    <n v="6"/>
    <x v="476"/>
    <s v="Rochester"/>
    <x v="0"/>
    <x v="0"/>
    <x v="1"/>
    <x v="1"/>
    <x v="3"/>
    <n v="4.4550000000000001"/>
    <n v="2.2275"/>
    <n v="0.49004999999999999"/>
    <x v="7"/>
    <x v="149"/>
  </r>
  <r>
    <d v="2020-05-11T00:00:00"/>
    <s v="L-M-0.2"/>
    <n v="6"/>
    <x v="477"/>
    <s v="Tyler"/>
    <x v="0"/>
    <x v="1"/>
    <x v="3"/>
    <x v="0"/>
    <x v="3"/>
    <n v="4.3650000000000002"/>
    <n v="2.1825000000000001"/>
    <n v="0.56745000000000001"/>
    <x v="10"/>
    <x v="50"/>
  </r>
  <r>
    <d v="2019-06-08T00:00:00"/>
    <s v="R-D-1"/>
    <n v="6"/>
    <x v="478"/>
    <s v="Flushing"/>
    <x v="0"/>
    <x v="0"/>
    <x v="0"/>
    <x v="2"/>
    <x v="0"/>
    <n v="8.9499999999999993"/>
    <n v="0.89499999999999991"/>
    <n v="0.53699999999999992"/>
    <x v="15"/>
    <x v="59"/>
  </r>
  <r>
    <d v="2019-06-08T00:00:00"/>
    <s v="E-M-2.5"/>
    <n v="4"/>
    <x v="479"/>
    <s v="Sterling"/>
    <x v="0"/>
    <x v="0"/>
    <x v="1"/>
    <x v="0"/>
    <x v="2"/>
    <n v="31.624999999999996"/>
    <n v="1.2649999999999999"/>
    <n v="3.4787499999999998"/>
    <x v="15"/>
    <x v="177"/>
  </r>
  <r>
    <d v="2019-06-08T00:00:00"/>
    <s v="E-M-0.2"/>
    <n v="1"/>
    <x v="480"/>
    <s v="Richmond"/>
    <x v="0"/>
    <x v="1"/>
    <x v="1"/>
    <x v="0"/>
    <x v="3"/>
    <n v="4.125"/>
    <n v="2.0625"/>
    <n v="0.45374999999999999"/>
    <x v="15"/>
    <x v="83"/>
  </r>
  <r>
    <d v="2019-10-09T00:00:00"/>
    <s v="R-L-1"/>
    <n v="2"/>
    <x v="481"/>
    <s v="Seaton"/>
    <x v="2"/>
    <x v="1"/>
    <x v="0"/>
    <x v="1"/>
    <x v="0"/>
    <n v="11.95"/>
    <n v="1.1949999999999998"/>
    <n v="0.71699999999999997"/>
    <x v="14"/>
    <x v="178"/>
  </r>
  <r>
    <d v="2021-02-20T00:00:00"/>
    <s v="E-D-2.5"/>
    <n v="5"/>
    <x v="482"/>
    <s v="Alexandria"/>
    <x v="0"/>
    <x v="0"/>
    <x v="1"/>
    <x v="2"/>
    <x v="2"/>
    <n v="27.945"/>
    <n v="1.1177999999999999"/>
    <n v="3.07395"/>
    <x v="23"/>
    <x v="141"/>
  </r>
  <r>
    <d v="2019-11-21T00:00:00"/>
    <s v="L-D-2.5"/>
    <n v="2"/>
    <x v="483"/>
    <s v="Salt Lake City"/>
    <x v="0"/>
    <x v="0"/>
    <x v="3"/>
    <x v="2"/>
    <x v="2"/>
    <n v="29.784999999999997"/>
    <n v="1.1913999999999998"/>
    <n v="3.8720499999999998"/>
    <x v="30"/>
    <x v="120"/>
  </r>
  <r>
    <d v="2021-10-10T00:00:00"/>
    <s v="L-L-0.5"/>
    <n v="6"/>
    <x v="484"/>
    <s v="San Jose"/>
    <x v="0"/>
    <x v="1"/>
    <x v="3"/>
    <x v="1"/>
    <x v="1"/>
    <n v="9.51"/>
    <n v="1.9019999999999999"/>
    <n v="1.2363"/>
    <x v="29"/>
    <x v="30"/>
  </r>
  <r>
    <d v="2021-08-05T00:00:00"/>
    <s v="R-L-0.2"/>
    <n v="6"/>
    <x v="485"/>
    <s v="Tr谩 Mh贸r"/>
    <x v="1"/>
    <x v="0"/>
    <x v="0"/>
    <x v="1"/>
    <x v="3"/>
    <n v="3.5849999999999995"/>
    <n v="1.7924999999999998"/>
    <n v="0.21509999999999996"/>
    <x v="3"/>
    <x v="137"/>
  </r>
  <r>
    <d v="2020-07-31T00:00:00"/>
    <s v="L-M-0.5"/>
    <n v="6"/>
    <x v="486"/>
    <s v="Coolock"/>
    <x v="1"/>
    <x v="0"/>
    <x v="3"/>
    <x v="0"/>
    <x v="1"/>
    <n v="8.73"/>
    <n v="1.746"/>
    <n v="1.1349"/>
    <x v="39"/>
    <x v="28"/>
  </r>
  <r>
    <d v="2020-09-19T00:00:00"/>
    <s v="E-D-1"/>
    <n v="6"/>
    <x v="487"/>
    <s v="Coolock"/>
    <x v="1"/>
    <x v="1"/>
    <x v="1"/>
    <x v="2"/>
    <x v="0"/>
    <n v="12.15"/>
    <n v="1.2150000000000001"/>
    <n v="1.3365"/>
    <x v="31"/>
    <x v="118"/>
  </r>
  <r>
    <d v="2020-05-03T00:00:00"/>
    <s v="R-M-0.2"/>
    <n v="5"/>
    <x v="488"/>
    <s v="Kinnegad"/>
    <x v="1"/>
    <x v="0"/>
    <x v="0"/>
    <x v="0"/>
    <x v="3"/>
    <n v="2.9849999999999999"/>
    <n v="1.4924999999999999"/>
    <n v="0.17909999999999998"/>
    <x v="10"/>
    <x v="128"/>
  </r>
  <r>
    <d v="2019-07-08T00:00:00"/>
    <s v="L-L-1"/>
    <n v="6"/>
    <x v="489"/>
    <s v="El Paso"/>
    <x v="0"/>
    <x v="1"/>
    <x v="3"/>
    <x v="1"/>
    <x v="0"/>
    <n v="15.85"/>
    <n v="1.585"/>
    <n v="2.0605000000000002"/>
    <x v="37"/>
    <x v="179"/>
  </r>
  <r>
    <d v="2019-10-26T00:00:00"/>
    <s v="L-D-0.5"/>
    <n v="2"/>
    <x v="490"/>
    <s v="Fort Lauderdale"/>
    <x v="0"/>
    <x v="1"/>
    <x v="3"/>
    <x v="2"/>
    <x v="1"/>
    <n v="7.77"/>
    <n v="1.5539999999999998"/>
    <n v="1.0101"/>
    <x v="14"/>
    <x v="42"/>
  </r>
  <r>
    <d v="2020-09-27T00:00:00"/>
    <s v="L-D-0.2"/>
    <n v="6"/>
    <x v="491"/>
    <s v="Indianapolis"/>
    <x v="0"/>
    <x v="1"/>
    <x v="3"/>
    <x v="2"/>
    <x v="3"/>
    <n v="3.8849999999999998"/>
    <n v="1.9424999999999999"/>
    <n v="0.50505"/>
    <x v="31"/>
    <x v="102"/>
  </r>
  <r>
    <d v="2022-02-28T00:00:00"/>
    <s v="E-M-0.2"/>
    <n v="1"/>
    <x v="492"/>
    <s v="Milwaukee"/>
    <x v="0"/>
    <x v="0"/>
    <x v="1"/>
    <x v="0"/>
    <x v="3"/>
    <n v="4.125"/>
    <n v="2.0625"/>
    <n v="0.45374999999999999"/>
    <x v="18"/>
    <x v="83"/>
  </r>
  <r>
    <d v="2020-09-16T00:00:00"/>
    <s v="R-M-0.5"/>
    <n v="6"/>
    <x v="493"/>
    <s v="Eaton"/>
    <x v="2"/>
    <x v="1"/>
    <x v="0"/>
    <x v="0"/>
    <x v="1"/>
    <n v="5.97"/>
    <n v="1.194"/>
    <n v="0.35819999999999996"/>
    <x v="31"/>
    <x v="27"/>
  </r>
  <r>
    <d v="2020-10-28T00:00:00"/>
    <s v="L-L-1"/>
    <n v="2"/>
    <x v="494"/>
    <s v="Baton Rouge"/>
    <x v="0"/>
    <x v="1"/>
    <x v="3"/>
    <x v="1"/>
    <x v="0"/>
    <n v="15.85"/>
    <n v="1.585"/>
    <n v="2.0605000000000002"/>
    <x v="8"/>
    <x v="124"/>
  </r>
  <r>
    <d v="2019-09-02T00:00:00"/>
    <s v="L-L-1"/>
    <n v="5"/>
    <x v="495"/>
    <s v="Danbury"/>
    <x v="0"/>
    <x v="0"/>
    <x v="3"/>
    <x v="1"/>
    <x v="0"/>
    <n v="15.85"/>
    <n v="1.585"/>
    <n v="2.0605000000000002"/>
    <x v="0"/>
    <x v="180"/>
  </r>
  <r>
    <d v="2021-08-30T00:00:00"/>
    <s v="E-D-0.2"/>
    <n v="3"/>
    <x v="496"/>
    <s v="Pensacola"/>
    <x v="0"/>
    <x v="1"/>
    <x v="1"/>
    <x v="2"/>
    <x v="3"/>
    <n v="3.645"/>
    <n v="1.8225"/>
    <n v="0.40095000000000003"/>
    <x v="3"/>
    <x v="47"/>
  </r>
  <r>
    <d v="2021-06-04T00:00:00"/>
    <s v="A-D-1"/>
    <n v="4"/>
    <x v="497"/>
    <s v="Milltown"/>
    <x v="1"/>
    <x v="1"/>
    <x v="2"/>
    <x v="2"/>
    <x v="0"/>
    <n v="9.9499999999999993"/>
    <n v="0.99499999999999988"/>
    <n v="0.89549999999999985"/>
    <x v="1"/>
    <x v="10"/>
  </r>
  <r>
    <d v="2020-11-24T00:00:00"/>
    <s v="R-M-1"/>
    <n v="5"/>
    <x v="498"/>
    <s v="Norton"/>
    <x v="2"/>
    <x v="0"/>
    <x v="0"/>
    <x v="0"/>
    <x v="0"/>
    <n v="9.9499999999999993"/>
    <n v="0.99499999999999988"/>
    <n v="0.59699999999999998"/>
    <x v="38"/>
    <x v="12"/>
  </r>
  <r>
    <d v="2020-06-21T00:00:00"/>
    <s v="R-D-0.2"/>
    <n v="3"/>
    <x v="499"/>
    <s v="Balally"/>
    <x v="1"/>
    <x v="0"/>
    <x v="0"/>
    <x v="2"/>
    <x v="3"/>
    <n v="2.6849999999999996"/>
    <n v="1.3424999999999998"/>
    <n v="0.16109999999999997"/>
    <x v="22"/>
    <x v="36"/>
  </r>
  <r>
    <d v="2020-07-13T00:00:00"/>
    <s v="R-L-1"/>
    <n v="4"/>
    <x v="500"/>
    <s v="Grand Rapids"/>
    <x v="0"/>
    <x v="1"/>
    <x v="0"/>
    <x v="1"/>
    <x v="0"/>
    <n v="11.95"/>
    <n v="1.1949999999999998"/>
    <n v="0.71699999999999997"/>
    <x v="39"/>
    <x v="62"/>
  </r>
  <r>
    <d v="2019-01-02T00:00:00"/>
    <s v="R-M-0.2"/>
    <n v="4"/>
    <x v="501"/>
    <s v="Belfast"/>
    <x v="2"/>
    <x v="1"/>
    <x v="0"/>
    <x v="0"/>
    <x v="3"/>
    <n v="2.9849999999999999"/>
    <n v="1.4924999999999999"/>
    <n v="0.17909999999999998"/>
    <x v="6"/>
    <x v="22"/>
  </r>
  <r>
    <d v="2019-01-02T00:00:00"/>
    <s v="E-M-0.2"/>
    <n v="4"/>
    <x v="502"/>
    <s v="Kansas City"/>
    <x v="0"/>
    <x v="1"/>
    <x v="1"/>
    <x v="0"/>
    <x v="3"/>
    <n v="4.125"/>
    <n v="2.0625"/>
    <n v="0.45374999999999999"/>
    <x v="6"/>
    <x v="38"/>
  </r>
  <r>
    <d v="2019-01-02T00:00:00"/>
    <s v="L-D-1"/>
    <n v="4"/>
    <x v="503"/>
    <s v="Elmira"/>
    <x v="0"/>
    <x v="1"/>
    <x v="3"/>
    <x v="2"/>
    <x v="0"/>
    <n v="12.95"/>
    <n v="1.2949999999999999"/>
    <n v="1.6835"/>
    <x v="6"/>
    <x v="67"/>
  </r>
  <r>
    <d v="2019-01-02T00:00:00"/>
    <s v="L-L-0.2"/>
    <n v="3"/>
    <x v="504"/>
    <s v="Milwaukee"/>
    <x v="0"/>
    <x v="0"/>
    <x v="3"/>
    <x v="1"/>
    <x v="3"/>
    <n v="4.7549999999999999"/>
    <n v="2.3774999999999999"/>
    <n v="0.61814999999999998"/>
    <x v="6"/>
    <x v="181"/>
  </r>
  <r>
    <d v="2022-02-17T00:00:00"/>
    <s v="L-M-0.2"/>
    <n v="6"/>
    <x v="505"/>
    <s v="High Point"/>
    <x v="0"/>
    <x v="1"/>
    <x v="3"/>
    <x v="0"/>
    <x v="3"/>
    <n v="4.3650000000000002"/>
    <n v="2.1825000000000001"/>
    <n v="0.56745000000000001"/>
    <x v="18"/>
    <x v="50"/>
  </r>
  <r>
    <d v="2020-12-19T00:00:00"/>
    <s v="A-L-1"/>
    <n v="2"/>
    <x v="506"/>
    <s v="El Paso"/>
    <x v="0"/>
    <x v="0"/>
    <x v="2"/>
    <x v="1"/>
    <x v="0"/>
    <n v="12.95"/>
    <n v="1.2949999999999999"/>
    <n v="1.1655"/>
    <x v="16"/>
    <x v="109"/>
  </r>
  <r>
    <d v="2019-02-20T00:00:00"/>
    <s v="A-L-2.5"/>
    <n v="3"/>
    <x v="507"/>
    <s v="Cleveland"/>
    <x v="0"/>
    <x v="0"/>
    <x v="2"/>
    <x v="1"/>
    <x v="2"/>
    <n v="29.784999999999997"/>
    <n v="1.1913999999999998"/>
    <n v="2.6806499999999995"/>
    <x v="20"/>
    <x v="49"/>
  </r>
  <r>
    <d v="2021-01-14T00:00:00"/>
    <s v="L-D-0.5"/>
    <n v="6"/>
    <x v="508"/>
    <s v="Ballymahon"/>
    <x v="1"/>
    <x v="1"/>
    <x v="3"/>
    <x v="2"/>
    <x v="1"/>
    <n v="7.77"/>
    <n v="1.5539999999999998"/>
    <n v="1.0101"/>
    <x v="17"/>
    <x v="162"/>
  </r>
  <r>
    <d v="2019-11-16T00:00:00"/>
    <s v="A-D-1"/>
    <n v="3"/>
    <x v="509"/>
    <s v="Virginia"/>
    <x v="1"/>
    <x v="0"/>
    <x v="2"/>
    <x v="2"/>
    <x v="0"/>
    <n v="9.9499999999999993"/>
    <n v="0.99499999999999988"/>
    <n v="0.89549999999999985"/>
    <x v="30"/>
    <x v="44"/>
  </r>
  <r>
    <d v="2019-12-04T00:00:00"/>
    <s v="R-L-0.2"/>
    <n v="3"/>
    <x v="510"/>
    <s v="Whitegate"/>
    <x v="1"/>
    <x v="0"/>
    <x v="0"/>
    <x v="1"/>
    <x v="3"/>
    <n v="3.5849999999999995"/>
    <n v="1.7924999999999998"/>
    <n v="0.21509999999999996"/>
    <x v="40"/>
    <x v="127"/>
  </r>
  <r>
    <d v="2020-07-31T00:00:00"/>
    <s v="A-M-0.2"/>
    <n v="4"/>
    <x v="511"/>
    <s v="Birmingham"/>
    <x v="0"/>
    <x v="0"/>
    <x v="2"/>
    <x v="0"/>
    <x v="3"/>
    <n v="3.375"/>
    <n v="1.6875"/>
    <n v="0.30374999999999996"/>
    <x v="39"/>
    <x v="72"/>
  </r>
  <r>
    <d v="2019-03-11T00:00:00"/>
    <s v="L-L-1"/>
    <n v="3"/>
    <x v="512"/>
    <s v="Saint Cloud"/>
    <x v="0"/>
    <x v="1"/>
    <x v="3"/>
    <x v="1"/>
    <x v="0"/>
    <n v="15.85"/>
    <n v="1.585"/>
    <n v="2.0605000000000002"/>
    <x v="13"/>
    <x v="46"/>
  </r>
  <r>
    <d v="2022-05-10T00:00:00"/>
    <s v="L-L-1"/>
    <n v="5"/>
    <x v="513"/>
    <s v="Philadelphia"/>
    <x v="0"/>
    <x v="1"/>
    <x v="3"/>
    <x v="1"/>
    <x v="0"/>
    <n v="15.85"/>
    <n v="1.585"/>
    <n v="2.0605000000000002"/>
    <x v="5"/>
    <x v="180"/>
  </r>
  <r>
    <d v="2021-12-25T00:00:00"/>
    <s v="L-M-0.2"/>
    <n v="6"/>
    <x v="514"/>
    <s v="Detroit"/>
    <x v="0"/>
    <x v="0"/>
    <x v="3"/>
    <x v="0"/>
    <x v="3"/>
    <n v="4.3650000000000002"/>
    <n v="2.1825000000000001"/>
    <n v="0.56745000000000001"/>
    <x v="34"/>
    <x v="50"/>
  </r>
  <r>
    <d v="2022-04-22T00:00:00"/>
    <s v="R-L-0.5"/>
    <n v="3"/>
    <x v="515"/>
    <s v="Saint Louis"/>
    <x v="0"/>
    <x v="1"/>
    <x v="0"/>
    <x v="1"/>
    <x v="1"/>
    <n v="7.169999999999999"/>
    <n v="1.4339999999999997"/>
    <n v="0.43019999999999992"/>
    <x v="11"/>
    <x v="137"/>
  </r>
  <r>
    <d v="2022-06-11T00:00:00"/>
    <s v="R-D-2.5"/>
    <n v="5"/>
    <x v="516"/>
    <s v="Schenectady"/>
    <x v="0"/>
    <x v="0"/>
    <x v="0"/>
    <x v="2"/>
    <x v="2"/>
    <n v="20.584999999999997"/>
    <n v="0.82339999999999991"/>
    <n v="1.2350999999999999"/>
    <x v="12"/>
    <x v="182"/>
  </r>
  <r>
    <d v="2022-04-27T00:00:00"/>
    <s v="L-D-0.2"/>
    <n v="2"/>
    <x v="517"/>
    <s v="Lakeland"/>
    <x v="0"/>
    <x v="1"/>
    <x v="3"/>
    <x v="2"/>
    <x v="3"/>
    <n v="3.8849999999999998"/>
    <n v="1.9424999999999999"/>
    <n v="0.50505"/>
    <x v="11"/>
    <x v="41"/>
  </r>
  <r>
    <d v="2020-12-29T00:00:00"/>
    <s v="E-D-2.5"/>
    <n v="5"/>
    <x v="518"/>
    <s v="Melbourne"/>
    <x v="0"/>
    <x v="1"/>
    <x v="1"/>
    <x v="2"/>
    <x v="2"/>
    <n v="27.945"/>
    <n v="1.1177999999999999"/>
    <n v="3.07395"/>
    <x v="16"/>
    <x v="141"/>
  </r>
  <r>
    <d v="2020-07-14T00:00:00"/>
    <s v="A-D-0.5"/>
    <n v="2"/>
    <x v="519"/>
    <s v="Houston"/>
    <x v="0"/>
    <x v="1"/>
    <x v="2"/>
    <x v="2"/>
    <x v="1"/>
    <n v="5.97"/>
    <n v="1.194"/>
    <n v="0.5373"/>
    <x v="39"/>
    <x v="22"/>
  </r>
  <r>
    <d v="2021-09-07T00:00:00"/>
    <s v="L-D-0.2"/>
    <n v="1"/>
    <x v="520"/>
    <s v="New Orleans"/>
    <x v="0"/>
    <x v="1"/>
    <x v="3"/>
    <x v="2"/>
    <x v="3"/>
    <n v="3.8849999999999998"/>
    <n v="1.9424999999999999"/>
    <n v="0.50505"/>
    <x v="19"/>
    <x v="84"/>
  </r>
  <r>
    <d v="2021-09-07T00:00:00"/>
    <s v="R-M-1"/>
    <n v="4"/>
    <x v="521"/>
    <s v="Oklahoma City"/>
    <x v="0"/>
    <x v="1"/>
    <x v="0"/>
    <x v="0"/>
    <x v="0"/>
    <n v="9.9499999999999993"/>
    <n v="0.99499999999999988"/>
    <n v="0.59699999999999998"/>
    <x v="19"/>
    <x v="10"/>
  </r>
  <r>
    <d v="2019-06-09T00:00:00"/>
    <s v="R-M-0.5"/>
    <n v="5"/>
    <x v="522"/>
    <s v="Topeka"/>
    <x v="0"/>
    <x v="1"/>
    <x v="0"/>
    <x v="0"/>
    <x v="1"/>
    <n v="5.97"/>
    <n v="1.194"/>
    <n v="0.35819999999999996"/>
    <x v="15"/>
    <x v="44"/>
  </r>
  <r>
    <d v="2020-10-25T00:00:00"/>
    <s v="L-D-2.5"/>
    <n v="1"/>
    <x v="523"/>
    <s v="Lucan"/>
    <x v="1"/>
    <x v="1"/>
    <x v="3"/>
    <x v="2"/>
    <x v="2"/>
    <n v="29.784999999999997"/>
    <n v="1.1913999999999998"/>
    <n v="3.8720499999999998"/>
    <x v="8"/>
    <x v="91"/>
  </r>
  <r>
    <d v="2021-02-28T00:00:00"/>
    <s v="L-L-2.5"/>
    <n v="2"/>
    <x v="524"/>
    <s v="Springfield"/>
    <x v="0"/>
    <x v="1"/>
    <x v="3"/>
    <x v="1"/>
    <x v="2"/>
    <n v="36.454999999999998"/>
    <n v="1.4581999999999999"/>
    <n v="4.7391499999999995"/>
    <x v="23"/>
    <x v="37"/>
  </r>
  <r>
    <d v="2020-07-26T00:00:00"/>
    <s v="R-D-0.2"/>
    <n v="5"/>
    <x v="525"/>
    <s v="Camden"/>
    <x v="0"/>
    <x v="0"/>
    <x v="0"/>
    <x v="2"/>
    <x v="3"/>
    <n v="2.6849999999999996"/>
    <n v="1.3424999999999998"/>
    <n v="0.16109999999999997"/>
    <x v="39"/>
    <x v="148"/>
  </r>
  <r>
    <d v="2022-06-05T00:00:00"/>
    <s v="E-M-2.5"/>
    <n v="4"/>
    <x v="526"/>
    <s v="Seattle"/>
    <x v="0"/>
    <x v="0"/>
    <x v="1"/>
    <x v="0"/>
    <x v="2"/>
    <n v="31.624999999999996"/>
    <n v="1.2649999999999999"/>
    <n v="3.4787499999999998"/>
    <x v="12"/>
    <x v="177"/>
  </r>
  <r>
    <d v="2019-02-21T00:00:00"/>
    <s v="E-M-0.5"/>
    <n v="5"/>
    <x v="527"/>
    <s v="Wootton"/>
    <x v="2"/>
    <x v="1"/>
    <x v="1"/>
    <x v="0"/>
    <x v="1"/>
    <n v="8.25"/>
    <n v="1.65"/>
    <n v="0.90749999999999997"/>
    <x v="20"/>
    <x v="1"/>
  </r>
  <r>
    <d v="2020-04-05T00:00:00"/>
    <s v="E-L-0.5"/>
    <n v="6"/>
    <x v="528"/>
    <s v="Waco"/>
    <x v="0"/>
    <x v="1"/>
    <x v="1"/>
    <x v="1"/>
    <x v="1"/>
    <n v="8.91"/>
    <n v="1.782"/>
    <n v="0.98009999999999997"/>
    <x v="25"/>
    <x v="119"/>
  </r>
  <r>
    <d v="2019-01-10T00:00:00"/>
    <s v="R-M-1"/>
    <n v="6"/>
    <x v="529"/>
    <s v="Richmond"/>
    <x v="0"/>
    <x v="1"/>
    <x v="0"/>
    <x v="0"/>
    <x v="0"/>
    <n v="9.9499999999999993"/>
    <n v="0.99499999999999988"/>
    <n v="0.59699999999999998"/>
    <x v="6"/>
    <x v="33"/>
  </r>
  <r>
    <d v="2022-04-12T00:00:00"/>
    <s v="R-M-1"/>
    <n v="6"/>
    <x v="530"/>
    <s v="Toledo"/>
    <x v="0"/>
    <x v="1"/>
    <x v="0"/>
    <x v="0"/>
    <x v="0"/>
    <n v="9.9499999999999993"/>
    <n v="0.99499999999999988"/>
    <n v="0.59699999999999998"/>
    <x v="11"/>
    <x v="33"/>
  </r>
  <r>
    <d v="2022-01-30T00:00:00"/>
    <s v="R-D-1"/>
    <n v="5"/>
    <x v="531"/>
    <s v="Huntington"/>
    <x v="0"/>
    <x v="1"/>
    <x v="0"/>
    <x v="2"/>
    <x v="0"/>
    <n v="8.9499999999999993"/>
    <n v="0.89499999999999991"/>
    <n v="0.53699999999999992"/>
    <x v="4"/>
    <x v="153"/>
  </r>
  <r>
    <d v="2021-05-14T00:00:00"/>
    <s v="E-M-0.5"/>
    <n v="2"/>
    <x v="532"/>
    <s v="Winter Haven"/>
    <x v="0"/>
    <x v="0"/>
    <x v="1"/>
    <x v="0"/>
    <x v="1"/>
    <n v="8.25"/>
    <n v="1.65"/>
    <n v="0.90749999999999997"/>
    <x v="43"/>
    <x v="38"/>
  </r>
  <r>
    <d v="2022-06-12T00:00:00"/>
    <s v="R-D-0.5"/>
    <n v="4"/>
    <x v="533"/>
    <s v="Dallas"/>
    <x v="0"/>
    <x v="1"/>
    <x v="0"/>
    <x v="2"/>
    <x v="1"/>
    <n v="5.3699999999999992"/>
    <n v="1.0739999999999998"/>
    <n v="0.32219999999999993"/>
    <x v="12"/>
    <x v="155"/>
  </r>
  <r>
    <d v="2022-01-02T00:00:00"/>
    <s v="R-M-2.5"/>
    <n v="2"/>
    <x v="534"/>
    <s v="Adare"/>
    <x v="1"/>
    <x v="0"/>
    <x v="0"/>
    <x v="0"/>
    <x v="2"/>
    <n v="22.884999999999998"/>
    <n v="0.91539999999999988"/>
    <n v="1.3730999999999998"/>
    <x v="4"/>
    <x v="135"/>
  </r>
  <r>
    <d v="2022-01-24T00:00:00"/>
    <s v="L-L-0.2"/>
    <n v="2"/>
    <x v="535"/>
    <s v="Ballivor"/>
    <x v="1"/>
    <x v="1"/>
    <x v="3"/>
    <x v="1"/>
    <x v="3"/>
    <n v="4.7549999999999999"/>
    <n v="2.3774999999999999"/>
    <n v="0.61814999999999998"/>
    <x v="4"/>
    <x v="54"/>
  </r>
  <r>
    <d v="2019-03-20T00:00:00"/>
    <s v="R-D-0.2"/>
    <n v="3"/>
    <x v="536"/>
    <s v="Columbus"/>
    <x v="0"/>
    <x v="1"/>
    <x v="0"/>
    <x v="2"/>
    <x v="3"/>
    <n v="2.6849999999999996"/>
    <n v="1.3424999999999998"/>
    <n v="0.16109999999999997"/>
    <x v="13"/>
    <x v="36"/>
  </r>
  <r>
    <d v="2020-11-21T00:00:00"/>
    <s v="E-D-2.5"/>
    <n v="4"/>
    <x v="537"/>
    <s v="Evansville"/>
    <x v="0"/>
    <x v="0"/>
    <x v="1"/>
    <x v="2"/>
    <x v="2"/>
    <n v="27.945"/>
    <n v="1.1177999999999999"/>
    <n v="3.07395"/>
    <x v="38"/>
    <x v="150"/>
  </r>
  <r>
    <d v="2021-10-13T00:00:00"/>
    <s v="R-D-0.2"/>
    <n v="4"/>
    <x v="538"/>
    <s v="Naperville"/>
    <x v="0"/>
    <x v="0"/>
    <x v="0"/>
    <x v="2"/>
    <x v="3"/>
    <n v="2.6849999999999996"/>
    <n v="1.3424999999999998"/>
    <n v="0.16109999999999997"/>
    <x v="29"/>
    <x v="175"/>
  </r>
  <r>
    <d v="2021-10-19T00:00:00"/>
    <s v="R-D-0.5"/>
    <n v="5"/>
    <x v="539"/>
    <s v="Charleston"/>
    <x v="0"/>
    <x v="1"/>
    <x v="0"/>
    <x v="2"/>
    <x v="1"/>
    <n v="5.3699999999999992"/>
    <n v="1.0739999999999998"/>
    <n v="0.32219999999999993"/>
    <x v="29"/>
    <x v="51"/>
  </r>
  <r>
    <d v="2019-04-29T00:00:00"/>
    <s v="L-L-1"/>
    <n v="4"/>
    <x v="540"/>
    <s v="Lansing"/>
    <x v="0"/>
    <x v="0"/>
    <x v="3"/>
    <x v="1"/>
    <x v="0"/>
    <n v="15.85"/>
    <n v="1.585"/>
    <n v="2.0605000000000002"/>
    <x v="24"/>
    <x v="165"/>
  </r>
  <r>
    <d v="2019-10-12T00:00:00"/>
    <s v="A-D-2.5"/>
    <n v="1"/>
    <x v="541"/>
    <s v="Boyle"/>
    <x v="1"/>
    <x v="0"/>
    <x v="2"/>
    <x v="2"/>
    <x v="2"/>
    <n v="22.884999999999998"/>
    <n v="0.91539999999999988"/>
    <n v="2.0596499999999995"/>
    <x v="14"/>
    <x v="156"/>
  </r>
  <r>
    <d v="2021-05-19T00:00:00"/>
    <s v="A-M-2.5"/>
    <n v="4"/>
    <x v="542"/>
    <s v="Shreveport"/>
    <x v="0"/>
    <x v="1"/>
    <x v="2"/>
    <x v="0"/>
    <x v="2"/>
    <n v="25.874999999999996"/>
    <n v="1.0349999999999999"/>
    <n v="2.3287499999999994"/>
    <x v="43"/>
    <x v="68"/>
  </r>
  <r>
    <d v="2021-07-03T00:00:00"/>
    <s v="R-L-2.5"/>
    <n v="2"/>
    <x v="543"/>
    <s v="San Jose"/>
    <x v="0"/>
    <x v="1"/>
    <x v="0"/>
    <x v="1"/>
    <x v="2"/>
    <n v="27.484999999999996"/>
    <n v="1.0993999999999999"/>
    <n v="1.6490999999999998"/>
    <x v="2"/>
    <x v="4"/>
  </r>
  <r>
    <d v="2020-02-08T00:00:00"/>
    <s v="A-L-0.5"/>
    <n v="2"/>
    <x v="544"/>
    <s v="Philadelphia"/>
    <x v="0"/>
    <x v="1"/>
    <x v="2"/>
    <x v="1"/>
    <x v="1"/>
    <n v="7.77"/>
    <n v="1.5539999999999998"/>
    <n v="0.69929999999999992"/>
    <x v="35"/>
    <x v="42"/>
  </r>
  <r>
    <d v="2020-10-16T00:00:00"/>
    <s v="L-D-0.2"/>
    <n v="4"/>
    <x v="545"/>
    <s v="Sheffield"/>
    <x v="2"/>
    <x v="1"/>
    <x v="3"/>
    <x v="2"/>
    <x v="3"/>
    <n v="3.8849999999999998"/>
    <n v="1.9424999999999999"/>
    <n v="0.50505"/>
    <x v="8"/>
    <x v="42"/>
  </r>
  <r>
    <d v="2020-10-23T00:00:00"/>
    <s v="E-D-2.5"/>
    <n v="3"/>
    <x v="546"/>
    <s v="Manorhamilton"/>
    <x v="1"/>
    <x v="1"/>
    <x v="1"/>
    <x v="2"/>
    <x v="2"/>
    <n v="27.945"/>
    <n v="1.1177999999999999"/>
    <n v="3.07395"/>
    <x v="8"/>
    <x v="171"/>
  </r>
  <r>
    <d v="2021-03-10T00:00:00"/>
    <s v="R-L-0.2"/>
    <n v="3"/>
    <x v="547"/>
    <s v="Baltimore"/>
    <x v="0"/>
    <x v="0"/>
    <x v="0"/>
    <x v="1"/>
    <x v="3"/>
    <n v="3.5849999999999995"/>
    <n v="1.7924999999999998"/>
    <n v="0.21509999999999996"/>
    <x v="7"/>
    <x v="127"/>
  </r>
  <r>
    <d v="2021-07-07T00:00:00"/>
    <s v="E-L-0.2"/>
    <n v="3"/>
    <x v="548"/>
    <s v="Oklahoma City"/>
    <x v="0"/>
    <x v="0"/>
    <x v="1"/>
    <x v="1"/>
    <x v="3"/>
    <n v="4.4550000000000001"/>
    <n v="2.2275"/>
    <n v="0.49004999999999999"/>
    <x v="2"/>
    <x v="77"/>
  </r>
  <r>
    <d v="2021-02-05T00:00:00"/>
    <s v="E-L-0.2"/>
    <n v="4"/>
    <x v="549"/>
    <s v="New York City"/>
    <x v="0"/>
    <x v="0"/>
    <x v="1"/>
    <x v="1"/>
    <x v="3"/>
    <n v="4.4550000000000001"/>
    <n v="2.2275"/>
    <n v="0.49004999999999999"/>
    <x v="23"/>
    <x v="58"/>
  </r>
  <r>
    <d v="2020-12-11T00:00:00"/>
    <s v="L-D-0.2"/>
    <n v="6"/>
    <x v="550"/>
    <s v="Newark"/>
    <x v="0"/>
    <x v="0"/>
    <x v="3"/>
    <x v="2"/>
    <x v="3"/>
    <n v="3.8849999999999998"/>
    <n v="1.9424999999999999"/>
    <n v="0.50505"/>
    <x v="16"/>
    <x v="102"/>
  </r>
  <r>
    <d v="2022-05-13T00:00:00"/>
    <s v="E-D-0.2"/>
    <n v="2"/>
    <x v="551"/>
    <s v="New Haven"/>
    <x v="0"/>
    <x v="1"/>
    <x v="1"/>
    <x v="2"/>
    <x v="3"/>
    <n v="3.645"/>
    <n v="1.8225"/>
    <n v="0.40095000000000003"/>
    <x v="5"/>
    <x v="35"/>
  </r>
  <r>
    <d v="2019-10-23T00:00:00"/>
    <s v="E-L-0.2"/>
    <n v="4"/>
    <x v="552"/>
    <s v="Belfast"/>
    <x v="2"/>
    <x v="0"/>
    <x v="1"/>
    <x v="1"/>
    <x v="3"/>
    <n v="4.4550000000000001"/>
    <n v="2.2275"/>
    <n v="0.49004999999999999"/>
    <x v="14"/>
    <x v="58"/>
  </r>
  <r>
    <d v="2020-09-11T00:00:00"/>
    <s v="E-M-1"/>
    <n v="5"/>
    <x v="553"/>
    <s v="Toledo"/>
    <x v="0"/>
    <x v="1"/>
    <x v="1"/>
    <x v="0"/>
    <x v="0"/>
    <n v="13.75"/>
    <n v="1.375"/>
    <n v="1.5125"/>
    <x v="31"/>
    <x v="85"/>
  </r>
  <r>
    <d v="2019-09-29T00:00:00"/>
    <s v="R-L-2.5"/>
    <n v="2"/>
    <x v="554"/>
    <s v="Newton"/>
    <x v="2"/>
    <x v="0"/>
    <x v="0"/>
    <x v="1"/>
    <x v="2"/>
    <n v="27.484999999999996"/>
    <n v="1.0993999999999999"/>
    <n v="1.6490999999999998"/>
    <x v="0"/>
    <x v="4"/>
  </r>
  <r>
    <d v="2021-03-03T00:00:00"/>
    <s v="E-M-1"/>
    <n v="6"/>
    <x v="555"/>
    <s v="Bantry"/>
    <x v="1"/>
    <x v="1"/>
    <x v="1"/>
    <x v="0"/>
    <x v="0"/>
    <n v="13.75"/>
    <n v="1.375"/>
    <n v="1.5125"/>
    <x v="7"/>
    <x v="121"/>
  </r>
  <r>
    <d v="2021-11-23T00:00:00"/>
    <s v="L-M-0.2"/>
    <n v="2"/>
    <x v="556"/>
    <s v="Shreveport"/>
    <x v="0"/>
    <x v="0"/>
    <x v="3"/>
    <x v="0"/>
    <x v="3"/>
    <n v="4.3650000000000002"/>
    <n v="2.1825000000000001"/>
    <n v="0.56745000000000001"/>
    <x v="26"/>
    <x v="31"/>
  </r>
  <r>
    <d v="2021-11-06T00:00:00"/>
    <s v="E-L-1"/>
    <n v="4"/>
    <x v="557"/>
    <s v="Orlando"/>
    <x v="0"/>
    <x v="1"/>
    <x v="1"/>
    <x v="1"/>
    <x v="0"/>
    <n v="14.85"/>
    <n v="1.4849999999999999"/>
    <n v="1.6335"/>
    <x v="26"/>
    <x v="48"/>
  </r>
  <r>
    <d v="2021-01-29T00:00:00"/>
    <s v="L-D-0.2"/>
    <n v="4"/>
    <x v="558"/>
    <s v="Lexington"/>
    <x v="0"/>
    <x v="0"/>
    <x v="3"/>
    <x v="2"/>
    <x v="3"/>
    <n v="3.8849999999999998"/>
    <n v="1.9424999999999999"/>
    <n v="0.50505"/>
    <x v="17"/>
    <x v="42"/>
  </r>
  <r>
    <d v="2022-04-16T00:00:00"/>
    <s v="A-L-1"/>
    <n v="3"/>
    <x v="559"/>
    <s v="Milwaukee"/>
    <x v="0"/>
    <x v="0"/>
    <x v="2"/>
    <x v="1"/>
    <x v="0"/>
    <n v="12.95"/>
    <n v="1.2949999999999999"/>
    <n v="1.1655"/>
    <x v="11"/>
    <x v="5"/>
  </r>
  <r>
    <d v="2021-07-24T00:00:00"/>
    <s v="E-M-2.5"/>
    <n v="6"/>
    <x v="560"/>
    <s v="Amarillo"/>
    <x v="0"/>
    <x v="0"/>
    <x v="1"/>
    <x v="0"/>
    <x v="2"/>
    <n v="31.624999999999996"/>
    <n v="1.2649999999999999"/>
    <n v="3.4787499999999998"/>
    <x v="2"/>
    <x v="152"/>
  </r>
  <r>
    <d v="2019-08-11T00:00:00"/>
    <s v="A-D-0.2"/>
    <n v="6"/>
    <x v="561"/>
    <s v="Daingean"/>
    <x v="1"/>
    <x v="0"/>
    <x v="2"/>
    <x v="2"/>
    <x v="3"/>
    <n v="2.9849999999999999"/>
    <n v="1.4924999999999999"/>
    <n v="0.26865"/>
    <x v="41"/>
    <x v="8"/>
  </r>
  <r>
    <d v="2019-07-23T00:00:00"/>
    <s v="L-L-0.2"/>
    <n v="6"/>
    <x v="562"/>
    <s v="Halton"/>
    <x v="2"/>
    <x v="1"/>
    <x v="3"/>
    <x v="1"/>
    <x v="3"/>
    <n v="4.7549999999999999"/>
    <n v="2.3774999999999999"/>
    <n v="0.61814999999999998"/>
    <x v="37"/>
    <x v="32"/>
  </r>
  <r>
    <d v="2020-06-09T00:00:00"/>
    <s v="E-M-1"/>
    <n v="6"/>
    <x v="563"/>
    <s v="Atlanta"/>
    <x v="0"/>
    <x v="1"/>
    <x v="1"/>
    <x v="0"/>
    <x v="0"/>
    <n v="13.75"/>
    <n v="1.375"/>
    <n v="1.5125"/>
    <x v="22"/>
    <x v="121"/>
  </r>
  <r>
    <d v="2020-02-22T00:00:00"/>
    <s v="R-L-0.5"/>
    <n v="2"/>
    <x v="564"/>
    <s v="Knoxville"/>
    <x v="0"/>
    <x v="1"/>
    <x v="0"/>
    <x v="1"/>
    <x v="1"/>
    <n v="7.169999999999999"/>
    <n v="1.4339999999999997"/>
    <n v="0.43019999999999992"/>
    <x v="35"/>
    <x v="79"/>
  </r>
  <r>
    <d v="2020-07-19T00:00:00"/>
    <s v="R-D-2.5"/>
    <n v="4"/>
    <x v="565"/>
    <s v="Shawnee Mission"/>
    <x v="0"/>
    <x v="1"/>
    <x v="0"/>
    <x v="2"/>
    <x v="2"/>
    <n v="20.584999999999997"/>
    <n v="0.82339999999999991"/>
    <n v="1.2350999999999999"/>
    <x v="39"/>
    <x v="18"/>
  </r>
  <r>
    <d v="2021-09-20T00:00:00"/>
    <s v="A-M-0.2"/>
    <n v="6"/>
    <x v="566"/>
    <s v="Fort Lauderdale"/>
    <x v="0"/>
    <x v="0"/>
    <x v="2"/>
    <x v="0"/>
    <x v="3"/>
    <n v="3.375"/>
    <n v="1.6875"/>
    <n v="0.30374999999999996"/>
    <x v="19"/>
    <x v="16"/>
  </r>
  <r>
    <d v="2021-05-02T00:00:00"/>
    <s v="R-L-2.5"/>
    <n v="6"/>
    <x v="567"/>
    <s v="Tralee"/>
    <x v="1"/>
    <x v="1"/>
    <x v="0"/>
    <x v="1"/>
    <x v="2"/>
    <n v="27.484999999999996"/>
    <n v="1.0993999999999999"/>
    <n v="1.6490999999999998"/>
    <x v="43"/>
    <x v="183"/>
  </r>
  <r>
    <d v="2021-11-26T00:00:00"/>
    <s v="L-L-0.2"/>
    <n v="4"/>
    <x v="568"/>
    <s v="Austin"/>
    <x v="0"/>
    <x v="0"/>
    <x v="3"/>
    <x v="1"/>
    <x v="3"/>
    <n v="4.7549999999999999"/>
    <n v="2.3774999999999999"/>
    <n v="0.61814999999999998"/>
    <x v="26"/>
    <x v="81"/>
  </r>
  <r>
    <d v="2020-02-18T00:00:00"/>
    <s v="A-D-2.5"/>
    <n v="6"/>
    <x v="569"/>
    <s v="Cleveland"/>
    <x v="0"/>
    <x v="1"/>
    <x v="2"/>
    <x v="2"/>
    <x v="2"/>
    <n v="22.884999999999998"/>
    <n v="0.91539999999999988"/>
    <n v="2.0596499999999995"/>
    <x v="35"/>
    <x v="170"/>
  </r>
  <r>
    <d v="2020-04-07T00:00:00"/>
    <s v="A-M-0.5"/>
    <n v="4"/>
    <x v="570"/>
    <s v="Hyattsville"/>
    <x v="0"/>
    <x v="1"/>
    <x v="2"/>
    <x v="0"/>
    <x v="1"/>
    <n v="6.75"/>
    <n v="1.35"/>
    <n v="0.60749999999999993"/>
    <x v="25"/>
    <x v="25"/>
  </r>
  <r>
    <d v="2022-01-31T00:00:00"/>
    <s v="E-L-0.5"/>
    <n v="4"/>
    <x v="571"/>
    <s v="Ashley"/>
    <x v="2"/>
    <x v="1"/>
    <x v="1"/>
    <x v="1"/>
    <x v="1"/>
    <n v="8.91"/>
    <n v="1.782"/>
    <n v="0.98009999999999997"/>
    <x v="4"/>
    <x v="70"/>
  </r>
  <r>
    <d v="2019-02-19T00:00:00"/>
    <s v="A-D-0.2"/>
    <n v="2"/>
    <x v="572"/>
    <s v="Pasadena"/>
    <x v="0"/>
    <x v="0"/>
    <x v="2"/>
    <x v="2"/>
    <x v="3"/>
    <n v="2.9849999999999999"/>
    <n v="1.4924999999999999"/>
    <n v="0.26865"/>
    <x v="20"/>
    <x v="9"/>
  </r>
  <r>
    <d v="2019-11-12T00:00:00"/>
    <s v="A-M-1"/>
    <n v="6"/>
    <x v="573"/>
    <s v="Shreveport"/>
    <x v="0"/>
    <x v="1"/>
    <x v="2"/>
    <x v="0"/>
    <x v="0"/>
    <n v="11.25"/>
    <n v="1.125"/>
    <n v="1.0125"/>
    <x v="30"/>
    <x v="173"/>
  </r>
  <r>
    <d v="2022-05-16T00:00:00"/>
    <s v="R-L-0.2"/>
    <n v="6"/>
    <x v="574"/>
    <s v="Pensacola"/>
    <x v="0"/>
    <x v="0"/>
    <x v="0"/>
    <x v="1"/>
    <x v="3"/>
    <n v="3.5849999999999995"/>
    <n v="1.7924999999999998"/>
    <n v="0.21509999999999996"/>
    <x v="5"/>
    <x v="137"/>
  </r>
  <r>
    <d v="2021-02-12T00:00:00"/>
    <s v="L-M-2.5"/>
    <n v="2"/>
    <x v="575"/>
    <s v="Los Angeles"/>
    <x v="0"/>
    <x v="1"/>
    <x v="3"/>
    <x v="0"/>
    <x v="2"/>
    <n v="33.464999999999996"/>
    <n v="1.3385999999999998"/>
    <n v="4.3504499999999995"/>
    <x v="23"/>
    <x v="174"/>
  </r>
  <r>
    <d v="2021-04-04T00:00:00"/>
    <s v="A-D-0.2"/>
    <n v="6"/>
    <x v="576"/>
    <s v="Durham"/>
    <x v="0"/>
    <x v="1"/>
    <x v="2"/>
    <x v="2"/>
    <x v="3"/>
    <n v="2.9849999999999999"/>
    <n v="1.4924999999999999"/>
    <n v="0.26865"/>
    <x v="27"/>
    <x v="8"/>
  </r>
  <r>
    <d v="2021-08-02T00:00:00"/>
    <s v="L-M-1"/>
    <n v="4"/>
    <x v="577"/>
    <s v="London"/>
    <x v="2"/>
    <x v="1"/>
    <x v="3"/>
    <x v="0"/>
    <x v="0"/>
    <n v="14.55"/>
    <n v="1.4550000000000001"/>
    <n v="1.8915000000000002"/>
    <x v="3"/>
    <x v="125"/>
  </r>
  <r>
    <d v="2022-06-08T00:00:00"/>
    <s v="E-L-0.2"/>
    <n v="3"/>
    <x v="578"/>
    <s v="Loughrea"/>
    <x v="1"/>
    <x v="1"/>
    <x v="1"/>
    <x v="1"/>
    <x v="3"/>
    <n v="4.4550000000000001"/>
    <n v="2.2275"/>
    <n v="0.49004999999999999"/>
    <x v="12"/>
    <x v="77"/>
  </r>
  <r>
    <d v="2022-06-08T00:00:00"/>
    <s v="A-M-0.5"/>
    <n v="5"/>
    <x v="579"/>
    <s v="Daingean"/>
    <x v="1"/>
    <x v="1"/>
    <x v="2"/>
    <x v="0"/>
    <x v="1"/>
    <n v="6.75"/>
    <n v="1.35"/>
    <n v="0.60749999999999993"/>
    <x v="12"/>
    <x v="65"/>
  </r>
  <r>
    <d v="2020-05-14T00:00:00"/>
    <s v="E-L-1"/>
    <n v="3"/>
    <x v="580"/>
    <s v="Whittier"/>
    <x v="0"/>
    <x v="0"/>
    <x v="1"/>
    <x v="1"/>
    <x v="0"/>
    <n v="14.85"/>
    <n v="1.4849999999999999"/>
    <n v="1.6335"/>
    <x v="10"/>
    <x v="69"/>
  </r>
  <r>
    <d v="2020-12-25T00:00:00"/>
    <s v="E-L-0.5"/>
    <n v="5"/>
    <x v="581"/>
    <s v="Birmingham"/>
    <x v="2"/>
    <x v="0"/>
    <x v="1"/>
    <x v="1"/>
    <x v="1"/>
    <n v="8.91"/>
    <n v="1.782"/>
    <n v="0.98009999999999997"/>
    <x v="16"/>
    <x v="69"/>
  </r>
  <r>
    <d v="2021-07-05T00:00:00"/>
    <s v="E-D-1"/>
    <n v="5"/>
    <x v="582"/>
    <s v="Richmond"/>
    <x v="0"/>
    <x v="1"/>
    <x v="1"/>
    <x v="2"/>
    <x v="0"/>
    <n v="12.15"/>
    <n v="1.2150000000000001"/>
    <n v="1.3365"/>
    <x v="2"/>
    <x v="184"/>
  </r>
  <r>
    <d v="2019-03-14T00:00:00"/>
    <s v="R-L-0.2"/>
    <n v="1"/>
    <x v="583"/>
    <s v="Sterling"/>
    <x v="0"/>
    <x v="0"/>
    <x v="0"/>
    <x v="1"/>
    <x v="3"/>
    <n v="3.5849999999999995"/>
    <n v="1.7924999999999998"/>
    <n v="0.21509999999999996"/>
    <x v="13"/>
    <x v="60"/>
  </r>
  <r>
    <d v="2021-03-07T00:00:00"/>
    <s v="R-L-0.2"/>
    <n v="6"/>
    <x v="584"/>
    <s v="Carson City"/>
    <x v="0"/>
    <x v="1"/>
    <x v="0"/>
    <x v="1"/>
    <x v="3"/>
    <n v="3.5849999999999995"/>
    <n v="1.7924999999999998"/>
    <n v="0.21509999999999996"/>
    <x v="7"/>
    <x v="137"/>
  </r>
  <r>
    <d v="2021-11-05T00:00:00"/>
    <s v="E-M-0.5"/>
    <n v="2"/>
    <x v="585"/>
    <s v="Ashford"/>
    <x v="1"/>
    <x v="0"/>
    <x v="1"/>
    <x v="0"/>
    <x v="1"/>
    <n v="8.25"/>
    <n v="1.65"/>
    <n v="0.90749999999999997"/>
    <x v="26"/>
    <x v="38"/>
  </r>
  <r>
    <d v="2020-02-06T00:00:00"/>
    <s v="R-L-2.5"/>
    <n v="3"/>
    <x v="586"/>
    <s v="Saint Paul"/>
    <x v="0"/>
    <x v="1"/>
    <x v="0"/>
    <x v="1"/>
    <x v="2"/>
    <n v="27.484999999999996"/>
    <n v="1.0993999999999999"/>
    <n v="1.6490999999999998"/>
    <x v="35"/>
    <x v="185"/>
  </r>
  <r>
    <d v="2021-03-12T00:00:00"/>
    <s v="L-D-0.5"/>
    <n v="1"/>
    <x v="587"/>
    <s v="Huntsville"/>
    <x v="0"/>
    <x v="0"/>
    <x v="3"/>
    <x v="2"/>
    <x v="1"/>
    <n v="7.77"/>
    <n v="1.5539999999999998"/>
    <n v="1.0101"/>
    <x v="7"/>
    <x v="41"/>
  </r>
  <r>
    <d v="2020-08-03T00:00:00"/>
    <s v="R-M-0.5"/>
    <n v="2"/>
    <x v="588"/>
    <s v="El Paso"/>
    <x v="0"/>
    <x v="0"/>
    <x v="0"/>
    <x v="0"/>
    <x v="1"/>
    <n v="5.97"/>
    <n v="1.194"/>
    <n v="0.35819999999999996"/>
    <x v="42"/>
    <x v="22"/>
  </r>
  <r>
    <d v="2019-07-25T00:00:00"/>
    <s v="E-L-2.5"/>
    <n v="6"/>
    <x v="589"/>
    <s v="Decatur"/>
    <x v="0"/>
    <x v="1"/>
    <x v="1"/>
    <x v="1"/>
    <x v="2"/>
    <n v="34.154999999999994"/>
    <n v="1.3661999999999999"/>
    <n v="3.7570499999999996"/>
    <x v="37"/>
    <x v="106"/>
  </r>
  <r>
    <d v="2020-04-29T00:00:00"/>
    <s v="E-M-2.5"/>
    <n v="2"/>
    <x v="590"/>
    <s v="Orange"/>
    <x v="0"/>
    <x v="0"/>
    <x v="1"/>
    <x v="0"/>
    <x v="2"/>
    <n v="31.624999999999996"/>
    <n v="1.2649999999999999"/>
    <n v="3.4787499999999998"/>
    <x v="25"/>
    <x v="40"/>
  </r>
  <r>
    <d v="2019-05-02T00:00:00"/>
    <s v="R-D-0.2"/>
    <n v="3"/>
    <x v="591"/>
    <s v="Huntington Beach"/>
    <x v="0"/>
    <x v="0"/>
    <x v="0"/>
    <x v="2"/>
    <x v="3"/>
    <n v="2.6849999999999996"/>
    <n v="1.3424999999999998"/>
    <n v="0.16109999999999997"/>
    <x v="28"/>
    <x v="36"/>
  </r>
  <r>
    <d v="2021-08-29T00:00:00"/>
    <s v="A-M-2.5"/>
    <n v="2"/>
    <x v="592"/>
    <s v="Milwaukee"/>
    <x v="0"/>
    <x v="1"/>
    <x v="2"/>
    <x v="0"/>
    <x v="2"/>
    <n v="25.874999999999996"/>
    <n v="1.0349999999999999"/>
    <n v="2.3287499999999994"/>
    <x v="3"/>
    <x v="95"/>
  </r>
  <r>
    <d v="2020-03-13T00:00:00"/>
    <s v="E-D-2.5"/>
    <n v="1"/>
    <x v="593"/>
    <s v="Upton"/>
    <x v="2"/>
    <x v="0"/>
    <x v="1"/>
    <x v="2"/>
    <x v="2"/>
    <n v="27.945"/>
    <n v="1.1177999999999999"/>
    <n v="3.07395"/>
    <x v="36"/>
    <x v="140"/>
  </r>
  <r>
    <d v="2019-02-16T00:00:00"/>
    <s v="A-L-2.5"/>
    <n v="2"/>
    <x v="594"/>
    <s v="Chattanooga"/>
    <x v="0"/>
    <x v="1"/>
    <x v="2"/>
    <x v="1"/>
    <x v="2"/>
    <n v="29.784999999999997"/>
    <n v="1.1913999999999998"/>
    <n v="2.6806499999999995"/>
    <x v="20"/>
    <x v="120"/>
  </r>
  <r>
    <d v="2021-11-27T00:00:00"/>
    <s v="E-L-1"/>
    <n v="1"/>
    <x v="595"/>
    <s v="Manchester"/>
    <x v="2"/>
    <x v="1"/>
    <x v="1"/>
    <x v="1"/>
    <x v="0"/>
    <n v="14.85"/>
    <n v="1.4849999999999999"/>
    <n v="1.6335"/>
    <x v="26"/>
    <x v="151"/>
  </r>
  <r>
    <d v="2021-11-23T00:00:00"/>
    <s v="A-M-0.5"/>
    <n v="5"/>
    <x v="596"/>
    <s v="Columbus"/>
    <x v="0"/>
    <x v="1"/>
    <x v="2"/>
    <x v="0"/>
    <x v="1"/>
    <n v="6.75"/>
    <n v="1.35"/>
    <n v="0.60749999999999993"/>
    <x v="26"/>
    <x v="65"/>
  </r>
  <r>
    <d v="2021-12-02T00:00:00"/>
    <s v="L-L-2.5"/>
    <n v="4"/>
    <x v="597"/>
    <s v="Pasadena"/>
    <x v="0"/>
    <x v="0"/>
    <x v="3"/>
    <x v="1"/>
    <x v="2"/>
    <n v="36.454999999999998"/>
    <n v="1.4581999999999999"/>
    <n v="4.7391499999999995"/>
    <x v="34"/>
    <x v="43"/>
  </r>
  <r>
    <d v="2019-01-06T00:00:00"/>
    <s v="R-M-0.2"/>
    <n v="4"/>
    <x v="598"/>
    <s v="San Francisco"/>
    <x v="0"/>
    <x v="0"/>
    <x v="0"/>
    <x v="0"/>
    <x v="3"/>
    <n v="2.9849999999999999"/>
    <n v="1.4924999999999999"/>
    <n v="0.17909999999999998"/>
    <x v="6"/>
    <x v="22"/>
  </r>
  <r>
    <d v="2021-05-05T00:00:00"/>
    <s v="A-D-0.2"/>
    <n v="4"/>
    <x v="599"/>
    <s v="Shreveport"/>
    <x v="0"/>
    <x v="0"/>
    <x v="2"/>
    <x v="2"/>
    <x v="3"/>
    <n v="2.9849999999999999"/>
    <n v="1.4924999999999999"/>
    <n v="0.26865"/>
    <x v="43"/>
    <x v="22"/>
  </r>
  <r>
    <d v="2021-10-23T00:00:00"/>
    <s v="L-D-0.5"/>
    <n v="1"/>
    <x v="600"/>
    <s v="Philadelphia"/>
    <x v="0"/>
    <x v="1"/>
    <x v="3"/>
    <x v="2"/>
    <x v="1"/>
    <n v="7.77"/>
    <n v="1.5539999999999998"/>
    <n v="1.0101"/>
    <x v="29"/>
    <x v="41"/>
  </r>
  <r>
    <d v="2019-12-16T00:00:00"/>
    <s v="R-L-2.5"/>
    <n v="4"/>
    <x v="601"/>
    <s v="Migrate"/>
    <x v="0"/>
    <x v="0"/>
    <x v="0"/>
    <x v="1"/>
    <x v="2"/>
    <n v="27.484999999999996"/>
    <n v="1.0993999999999999"/>
    <n v="1.6490999999999998"/>
    <x v="40"/>
    <x v="108"/>
  </r>
  <r>
    <d v="2019-05-18T00:00:00"/>
    <s v="E-L-0.2"/>
    <n v="5"/>
    <x v="602"/>
    <s v="Toledo"/>
    <x v="0"/>
    <x v="0"/>
    <x v="1"/>
    <x v="1"/>
    <x v="3"/>
    <n v="4.4550000000000001"/>
    <n v="2.2275"/>
    <n v="0.49004999999999999"/>
    <x v="28"/>
    <x v="110"/>
  </r>
  <r>
    <d v="2019-07-14T00:00:00"/>
    <s v="R-M-0.2"/>
    <n v="3"/>
    <x v="603"/>
    <s v="Colorado Springs"/>
    <x v="0"/>
    <x v="1"/>
    <x v="0"/>
    <x v="0"/>
    <x v="3"/>
    <n v="2.9849999999999999"/>
    <n v="1.4924999999999999"/>
    <n v="0.17909999999999998"/>
    <x v="37"/>
    <x v="169"/>
  </r>
  <r>
    <d v="2020-11-13T00:00:00"/>
    <s v="L-D-2.5"/>
    <n v="4"/>
    <x v="604"/>
    <s v="Longwood"/>
    <x v="1"/>
    <x v="1"/>
    <x v="3"/>
    <x v="2"/>
    <x v="2"/>
    <n v="29.784999999999997"/>
    <n v="1.1913999999999998"/>
    <n v="3.8720499999999998"/>
    <x v="38"/>
    <x v="129"/>
  </r>
  <r>
    <d v="2020-07-16T00:00:00"/>
    <s v="A-L-2.5"/>
    <n v="5"/>
    <x v="605"/>
    <s v="Pittsburgh"/>
    <x v="0"/>
    <x v="0"/>
    <x v="2"/>
    <x v="1"/>
    <x v="2"/>
    <n v="29.784999999999997"/>
    <n v="1.1913999999999998"/>
    <n v="2.6806499999999995"/>
    <x v="39"/>
    <x v="74"/>
  </r>
  <r>
    <d v="2020-11-03T00:00:00"/>
    <s v="L-L-2.5"/>
    <n v="3"/>
    <x v="606"/>
    <s v="West Palm Beach"/>
    <x v="0"/>
    <x v="1"/>
    <x v="3"/>
    <x v="1"/>
    <x v="2"/>
    <n v="36.454999999999998"/>
    <n v="1.4581999999999999"/>
    <n v="4.7391499999999995"/>
    <x v="38"/>
    <x v="63"/>
  </r>
  <r>
    <d v="2022-03-20T00:00:00"/>
    <s v="E-D-0.2"/>
    <n v="1"/>
    <x v="607"/>
    <s v="Shreveport"/>
    <x v="0"/>
    <x v="0"/>
    <x v="1"/>
    <x v="2"/>
    <x v="3"/>
    <n v="3.645"/>
    <n v="1.8225"/>
    <n v="0.40095000000000003"/>
    <x v="33"/>
    <x v="186"/>
  </r>
  <r>
    <d v="2022-02-16T00:00:00"/>
    <s v="E-D-2.5"/>
    <n v="2"/>
    <x v="608"/>
    <s v="Cleveland"/>
    <x v="0"/>
    <x v="1"/>
    <x v="1"/>
    <x v="2"/>
    <x v="2"/>
    <n v="27.945"/>
    <n v="1.1177999999999999"/>
    <n v="3.07395"/>
    <x v="18"/>
    <x v="158"/>
  </r>
  <r>
    <d v="2020-11-12T00:00:00"/>
    <s v="L-M-0.2"/>
    <n v="6"/>
    <x v="609"/>
    <s v="Milwaukee"/>
    <x v="0"/>
    <x v="0"/>
    <x v="3"/>
    <x v="0"/>
    <x v="3"/>
    <n v="4.3650000000000002"/>
    <n v="2.1825000000000001"/>
    <n v="0.56745000000000001"/>
    <x v="38"/>
    <x v="50"/>
  </r>
  <r>
    <d v="2019-10-05T00:00:00"/>
    <s v="R-M-1"/>
    <n v="4"/>
    <x v="610"/>
    <s v="Fort Lauderdale"/>
    <x v="0"/>
    <x v="1"/>
    <x v="0"/>
    <x v="0"/>
    <x v="0"/>
    <n v="9.9499999999999993"/>
    <n v="0.99499999999999988"/>
    <n v="0.59699999999999998"/>
    <x v="14"/>
    <x v="10"/>
  </r>
  <r>
    <d v="2019-10-01T00:00:00"/>
    <s v="E-L-2.5"/>
    <n v="2"/>
    <x v="611"/>
    <s v="Shreveport"/>
    <x v="0"/>
    <x v="1"/>
    <x v="1"/>
    <x v="1"/>
    <x v="2"/>
    <n v="34.154999999999994"/>
    <n v="1.3661999999999999"/>
    <n v="3.7570499999999996"/>
    <x v="14"/>
    <x v="93"/>
  </r>
  <r>
    <d v="2020-03-06T00:00:00"/>
    <s v="A-M-0.2"/>
    <n v="4"/>
    <x v="612"/>
    <s v="Beaumont"/>
    <x v="1"/>
    <x v="1"/>
    <x v="2"/>
    <x v="0"/>
    <x v="3"/>
    <n v="3.375"/>
    <n v="1.6875"/>
    <n v="0.30374999999999996"/>
    <x v="36"/>
    <x v="72"/>
  </r>
  <r>
    <d v="2019-10-23T00:00:00"/>
    <s v="R-M-0.5"/>
    <n v="1"/>
    <x v="613"/>
    <s v="Sacramento"/>
    <x v="0"/>
    <x v="1"/>
    <x v="0"/>
    <x v="0"/>
    <x v="1"/>
    <n v="5.97"/>
    <n v="1.194"/>
    <n v="0.35819999999999996"/>
    <x v="14"/>
    <x v="9"/>
  </r>
  <r>
    <d v="2020-04-23T00:00:00"/>
    <s v="R-M-0.5"/>
    <n v="5"/>
    <x v="614"/>
    <s v="Nashville"/>
    <x v="0"/>
    <x v="1"/>
    <x v="0"/>
    <x v="0"/>
    <x v="1"/>
    <n v="5.97"/>
    <n v="1.194"/>
    <n v="0.35819999999999996"/>
    <x v="25"/>
    <x v="44"/>
  </r>
  <r>
    <d v="2020-06-24T00:00:00"/>
    <s v="L-L-2.5"/>
    <n v="2"/>
    <x v="615"/>
    <s v="Fargo"/>
    <x v="0"/>
    <x v="0"/>
    <x v="3"/>
    <x v="1"/>
    <x v="2"/>
    <n v="36.454999999999998"/>
    <n v="1.4581999999999999"/>
    <n v="4.7391499999999995"/>
    <x v="22"/>
    <x v="37"/>
  </r>
  <r>
    <d v="2021-03-16T00:00:00"/>
    <s v="E-M-2.5"/>
    <n v="4"/>
    <x v="616"/>
    <s v="Middleton"/>
    <x v="2"/>
    <x v="1"/>
    <x v="1"/>
    <x v="0"/>
    <x v="2"/>
    <n v="31.624999999999996"/>
    <n v="1.2649999999999999"/>
    <n v="3.4787499999999998"/>
    <x v="7"/>
    <x v="177"/>
  </r>
  <r>
    <d v="2020-04-07T00:00:00"/>
    <s v="L-M-2.5"/>
    <n v="1"/>
    <x v="617"/>
    <s v="Tulsa"/>
    <x v="0"/>
    <x v="1"/>
    <x v="3"/>
    <x v="0"/>
    <x v="2"/>
    <n v="33.464999999999996"/>
    <n v="1.3385999999999998"/>
    <n v="4.3504499999999995"/>
    <x v="25"/>
    <x v="116"/>
  </r>
  <r>
    <d v="2021-09-30T00:00:00"/>
    <s v="E-D-1"/>
    <n v="6"/>
    <x v="618"/>
    <s v="New York City"/>
    <x v="0"/>
    <x v="0"/>
    <x v="1"/>
    <x v="2"/>
    <x v="0"/>
    <n v="12.15"/>
    <n v="1.2150000000000001"/>
    <n v="1.3365"/>
    <x v="19"/>
    <x v="118"/>
  </r>
  <r>
    <d v="2022-05-01T00:00:00"/>
    <s v="L-D-0.5"/>
    <n v="2"/>
    <x v="619"/>
    <s v="Seminole"/>
    <x v="0"/>
    <x v="0"/>
    <x v="3"/>
    <x v="2"/>
    <x v="1"/>
    <n v="7.77"/>
    <n v="1.5539999999999998"/>
    <n v="1.0101"/>
    <x v="5"/>
    <x v="42"/>
  </r>
  <r>
    <d v="2021-01-21T00:00:00"/>
    <s v="A-M-0.2"/>
    <n v="6"/>
    <x v="620"/>
    <s v="Monasterevin"/>
    <x v="1"/>
    <x v="1"/>
    <x v="2"/>
    <x v="0"/>
    <x v="3"/>
    <n v="3.375"/>
    <n v="1.6875"/>
    <n v="0.30374999999999996"/>
    <x v="17"/>
    <x v="16"/>
  </r>
  <r>
    <d v="2020-06-24T00:00:00"/>
    <s v="A-L-1"/>
    <n v="6"/>
    <x v="621"/>
    <s v="Portland"/>
    <x v="0"/>
    <x v="1"/>
    <x v="2"/>
    <x v="1"/>
    <x v="0"/>
    <n v="12.95"/>
    <n v="1.2949999999999999"/>
    <n v="1.1655"/>
    <x v="22"/>
    <x v="17"/>
  </r>
  <r>
    <d v="2019-03-03T00:00:00"/>
    <s v="L-M-2.5"/>
    <n v="4"/>
    <x v="622"/>
    <s v="Las Vegas"/>
    <x v="0"/>
    <x v="1"/>
    <x v="3"/>
    <x v="0"/>
    <x v="2"/>
    <n v="33.464999999999996"/>
    <n v="1.3385999999999998"/>
    <n v="4.3504499999999995"/>
    <x v="13"/>
    <x v="136"/>
  </r>
  <r>
    <d v="2021-01-28T00:00:00"/>
    <s v="E-D-1"/>
    <n v="1"/>
    <x v="623"/>
    <s v="Merton"/>
    <x v="2"/>
    <x v="1"/>
    <x v="1"/>
    <x v="2"/>
    <x v="0"/>
    <n v="12.15"/>
    <n v="1.2150000000000001"/>
    <n v="1.3365"/>
    <x v="17"/>
    <x v="87"/>
  </r>
  <r>
    <d v="2020-06-28T00:00:00"/>
    <s v="E-M-2.5"/>
    <n v="2"/>
    <x v="624"/>
    <s v="Ballybofey"/>
    <x v="1"/>
    <x v="0"/>
    <x v="1"/>
    <x v="0"/>
    <x v="2"/>
    <n v="31.624999999999996"/>
    <n v="1.2649999999999999"/>
    <n v="3.4787499999999998"/>
    <x v="22"/>
    <x v="40"/>
  </r>
  <r>
    <d v="2020-07-05T00:00:00"/>
    <s v="R-L-0.5"/>
    <n v="5"/>
    <x v="625"/>
    <s v="San Francisco"/>
    <x v="0"/>
    <x v="1"/>
    <x v="0"/>
    <x v="1"/>
    <x v="1"/>
    <n v="7.169999999999999"/>
    <n v="1.4339999999999997"/>
    <n v="0.43019999999999992"/>
    <x v="39"/>
    <x v="66"/>
  </r>
  <r>
    <d v="2019-03-02T00:00:00"/>
    <s v="A-M-2.5"/>
    <n v="3"/>
    <x v="626"/>
    <s v="Pittsburgh"/>
    <x v="0"/>
    <x v="1"/>
    <x v="2"/>
    <x v="0"/>
    <x v="2"/>
    <n v="25.874999999999996"/>
    <n v="1.0349999999999999"/>
    <n v="2.3287499999999994"/>
    <x v="13"/>
    <x v="57"/>
  </r>
  <r>
    <d v="2022-05-01T00:00:00"/>
    <s v="E-M-2.5"/>
    <n v="2"/>
    <x v="627"/>
    <s v="Houston"/>
    <x v="0"/>
    <x v="0"/>
    <x v="1"/>
    <x v="0"/>
    <x v="2"/>
    <n v="31.624999999999996"/>
    <n v="1.2649999999999999"/>
    <n v="3.4787499999999998"/>
    <x v="5"/>
    <x v="40"/>
  </r>
  <r>
    <d v="2022-04-29T00:00:00"/>
    <s v="E-L-0.2"/>
    <n v="6"/>
    <x v="628"/>
    <s v="Castlerea"/>
    <x v="1"/>
    <x v="0"/>
    <x v="1"/>
    <x v="1"/>
    <x v="3"/>
    <n v="4.4550000000000001"/>
    <n v="2.2275"/>
    <n v="0.49004999999999999"/>
    <x v="11"/>
    <x v="149"/>
  </r>
  <r>
    <d v="2022-04-29T00:00:00"/>
    <s v="L-D-0.5"/>
    <n v="4"/>
    <x v="629"/>
    <s v="Fort Lauderdale"/>
    <x v="0"/>
    <x v="1"/>
    <x v="3"/>
    <x v="2"/>
    <x v="1"/>
    <n v="7.77"/>
    <n v="1.5539999999999998"/>
    <n v="1.0101"/>
    <x v="11"/>
    <x v="113"/>
  </r>
  <r>
    <d v="2022-04-29T00:00:00"/>
    <s v="A-D-0.2"/>
    <n v="1"/>
    <x v="630"/>
    <s v="Denton"/>
    <x v="0"/>
    <x v="1"/>
    <x v="2"/>
    <x v="2"/>
    <x v="3"/>
    <n v="2.9849999999999999"/>
    <n v="1.4924999999999999"/>
    <n v="0.26865"/>
    <x v="11"/>
    <x v="55"/>
  </r>
  <r>
    <d v="2022-04-29T00:00:00"/>
    <s v="R-D-2.5"/>
    <n v="5"/>
    <x v="631"/>
    <s v="Bagenalstown"/>
    <x v="1"/>
    <x v="0"/>
    <x v="0"/>
    <x v="2"/>
    <x v="2"/>
    <n v="20.584999999999997"/>
    <n v="0.82339999999999991"/>
    <n v="1.2350999999999999"/>
    <x v="11"/>
    <x v="182"/>
  </r>
  <r>
    <d v="2020-08-06T00:00:00"/>
    <s v="E-L-0.5"/>
    <n v="4"/>
    <x v="632"/>
    <s v="Los Angeles"/>
    <x v="0"/>
    <x v="1"/>
    <x v="1"/>
    <x v="1"/>
    <x v="1"/>
    <n v="8.91"/>
    <n v="1.782"/>
    <n v="0.98009999999999997"/>
    <x v="42"/>
    <x v="70"/>
  </r>
  <r>
    <d v="2019-12-21T00:00:00"/>
    <s v="R-L-1"/>
    <n v="4"/>
    <x v="633"/>
    <s v="Wilkes Barre"/>
    <x v="0"/>
    <x v="1"/>
    <x v="0"/>
    <x v="1"/>
    <x v="0"/>
    <n v="11.95"/>
    <n v="1.1949999999999998"/>
    <n v="0.71699999999999997"/>
    <x v="40"/>
    <x v="62"/>
  </r>
  <r>
    <d v="2020-04-19T00:00:00"/>
    <s v="L-M-1"/>
    <n v="3"/>
    <x v="634"/>
    <s v="Denton"/>
    <x v="0"/>
    <x v="1"/>
    <x v="3"/>
    <x v="0"/>
    <x v="0"/>
    <n v="14.55"/>
    <n v="1.4550000000000001"/>
    <n v="1.8915000000000002"/>
    <x v="25"/>
    <x v="34"/>
  </r>
  <r>
    <d v="2022-01-17T00:00:00"/>
    <s v="E-L-0.5"/>
    <n v="4"/>
    <x v="635"/>
    <s v="Lees Summit"/>
    <x v="0"/>
    <x v="0"/>
    <x v="1"/>
    <x v="1"/>
    <x v="1"/>
    <n v="8.91"/>
    <n v="1.782"/>
    <n v="0.98009999999999997"/>
    <x v="4"/>
    <x v="70"/>
  </r>
  <r>
    <d v="2019-01-22T00:00:00"/>
    <s v="L-L-1"/>
    <n v="6"/>
    <x v="636"/>
    <s v="Little Rock"/>
    <x v="0"/>
    <x v="0"/>
    <x v="3"/>
    <x v="1"/>
    <x v="0"/>
    <n v="15.85"/>
    <n v="1.585"/>
    <n v="2.0605000000000002"/>
    <x v="6"/>
    <x v="179"/>
  </r>
  <r>
    <d v="2020-02-28T00:00:00"/>
    <s v="E-M-2.5"/>
    <n v="1"/>
    <x v="637"/>
    <s v="Ballisodare"/>
    <x v="1"/>
    <x v="0"/>
    <x v="1"/>
    <x v="0"/>
    <x v="2"/>
    <n v="31.624999999999996"/>
    <n v="1.2649999999999999"/>
    <n v="3.4787499999999998"/>
    <x v="35"/>
    <x v="176"/>
  </r>
  <r>
    <d v="2019-08-07T00:00:00"/>
    <s v="A-M-2.5"/>
    <n v="3"/>
    <x v="638"/>
    <s v="Daingean"/>
    <x v="1"/>
    <x v="0"/>
    <x v="2"/>
    <x v="0"/>
    <x v="2"/>
    <n v="25.874999999999996"/>
    <n v="1.0349999999999999"/>
    <n v="2.3287499999999994"/>
    <x v="41"/>
    <x v="57"/>
  </r>
  <r>
    <d v="2021-05-15T00:00:00"/>
    <s v="L-D-0.2"/>
    <n v="1"/>
    <x v="639"/>
    <s v="Erie"/>
    <x v="0"/>
    <x v="0"/>
    <x v="3"/>
    <x v="2"/>
    <x v="3"/>
    <n v="3.8849999999999998"/>
    <n v="1.9424999999999999"/>
    <n v="0.50505"/>
    <x v="43"/>
    <x v="84"/>
  </r>
  <r>
    <d v="2021-12-17T00:00:00"/>
    <s v="R-L-2.5"/>
    <n v="5"/>
    <x v="640"/>
    <s v="Newton"/>
    <x v="2"/>
    <x v="1"/>
    <x v="0"/>
    <x v="1"/>
    <x v="2"/>
    <n v="27.484999999999996"/>
    <n v="1.0993999999999999"/>
    <n v="1.6490999999999998"/>
    <x v="34"/>
    <x v="187"/>
  </r>
  <r>
    <d v="2021-09-09T00:00:00"/>
    <s v="R-L-1"/>
    <n v="3"/>
    <x v="641"/>
    <s v="Pittsburgh"/>
    <x v="0"/>
    <x v="0"/>
    <x v="0"/>
    <x v="1"/>
    <x v="0"/>
    <n v="11.95"/>
    <n v="1.1949999999999998"/>
    <n v="0.71699999999999997"/>
    <x v="19"/>
    <x v="66"/>
  </r>
  <r>
    <d v="2020-02-19T00:00:00"/>
    <s v="E-M-0.2"/>
    <n v="2"/>
    <x v="642"/>
    <s v="Ford"/>
    <x v="2"/>
    <x v="0"/>
    <x v="1"/>
    <x v="0"/>
    <x v="3"/>
    <n v="4.125"/>
    <n v="2.0625"/>
    <n v="0.45374999999999999"/>
    <x v="35"/>
    <x v="112"/>
  </r>
  <r>
    <d v="2020-06-29T00:00:00"/>
    <s v="E-L-2.5"/>
    <n v="3"/>
    <x v="643"/>
    <s v="Dallas"/>
    <x v="0"/>
    <x v="0"/>
    <x v="1"/>
    <x v="1"/>
    <x v="2"/>
    <n v="34.154999999999994"/>
    <n v="1.3661999999999999"/>
    <n v="3.7570499999999996"/>
    <x v="22"/>
    <x v="89"/>
  </r>
  <r>
    <d v="2022-05-13T00:00:00"/>
    <s v="R-D-2.5"/>
    <n v="2"/>
    <x v="644"/>
    <s v="Miami"/>
    <x v="0"/>
    <x v="1"/>
    <x v="0"/>
    <x v="2"/>
    <x v="2"/>
    <n v="20.584999999999997"/>
    <n v="0.82339999999999991"/>
    <n v="1.2350999999999999"/>
    <x v="5"/>
    <x v="13"/>
  </r>
  <r>
    <d v="2020-10-02T00:00:00"/>
    <s v="A-D-2.5"/>
    <n v="3"/>
    <x v="645"/>
    <s v="San Angelo"/>
    <x v="0"/>
    <x v="0"/>
    <x v="2"/>
    <x v="2"/>
    <x v="2"/>
    <n v="22.884999999999998"/>
    <n v="0.91539999999999988"/>
    <n v="2.0596499999999995"/>
    <x v="8"/>
    <x v="96"/>
  </r>
  <r>
    <d v="2021-12-02T00:00:00"/>
    <s v="A-D-1"/>
    <n v="1"/>
    <x v="646"/>
    <s v="Albany"/>
    <x v="0"/>
    <x v="0"/>
    <x v="2"/>
    <x v="2"/>
    <x v="0"/>
    <n v="9.9499999999999993"/>
    <n v="0.99499999999999988"/>
    <n v="0.89549999999999985"/>
    <x v="34"/>
    <x v="138"/>
  </r>
  <r>
    <d v="2021-11-02T00:00:00"/>
    <s v="L-L-0.5"/>
    <n v="3"/>
    <x v="647"/>
    <s v="Thorpe"/>
    <x v="2"/>
    <x v="0"/>
    <x v="3"/>
    <x v="1"/>
    <x v="1"/>
    <n v="9.51"/>
    <n v="1.9019999999999999"/>
    <n v="1.2363"/>
    <x v="26"/>
    <x v="32"/>
  </r>
  <r>
    <d v="2020-02-23T00:00:00"/>
    <s v="R-D-0.2"/>
    <n v="6"/>
    <x v="648"/>
    <s v="Columbus"/>
    <x v="0"/>
    <x v="1"/>
    <x v="0"/>
    <x v="2"/>
    <x v="3"/>
    <n v="2.6849999999999996"/>
    <n v="1.3424999999999998"/>
    <n v="0.16109999999999997"/>
    <x v="35"/>
    <x v="103"/>
  </r>
  <r>
    <d v="2020-07-03T00:00:00"/>
    <s v="L-L-1"/>
    <n v="6"/>
    <x v="649"/>
    <s v="Carlton"/>
    <x v="2"/>
    <x v="1"/>
    <x v="3"/>
    <x v="1"/>
    <x v="0"/>
    <n v="15.85"/>
    <n v="1.585"/>
    <n v="2.0605000000000002"/>
    <x v="39"/>
    <x v="179"/>
  </r>
  <r>
    <d v="2019-02-11T00:00:00"/>
    <s v="R-D-0.5"/>
    <n v="1"/>
    <x v="650"/>
    <s v="Corona"/>
    <x v="0"/>
    <x v="0"/>
    <x v="0"/>
    <x v="2"/>
    <x v="1"/>
    <n v="5.3699999999999992"/>
    <n v="1.0739999999999998"/>
    <n v="0.32219999999999993"/>
    <x v="20"/>
    <x v="147"/>
  </r>
  <r>
    <d v="2020-09-10T00:00:00"/>
    <s v="R-L-1"/>
    <n v="4"/>
    <x v="651"/>
    <s v="Washington"/>
    <x v="0"/>
    <x v="1"/>
    <x v="0"/>
    <x v="1"/>
    <x v="0"/>
    <n v="11.95"/>
    <n v="1.1949999999999998"/>
    <n v="0.71699999999999997"/>
    <x v="31"/>
    <x v="62"/>
  </r>
  <r>
    <d v="2020-03-02T00:00:00"/>
    <s v="L-L-1"/>
    <n v="4"/>
    <x v="652"/>
    <s v="Ballinteer"/>
    <x v="1"/>
    <x v="1"/>
    <x v="3"/>
    <x v="1"/>
    <x v="0"/>
    <n v="15.85"/>
    <n v="1.585"/>
    <n v="2.0605000000000002"/>
    <x v="36"/>
    <x v="165"/>
  </r>
  <r>
    <d v="2021-06-28T00:00:00"/>
    <s v="A-M-2.5"/>
    <n v="4"/>
    <x v="653"/>
    <s v="Toledo"/>
    <x v="0"/>
    <x v="1"/>
    <x v="2"/>
    <x v="0"/>
    <x v="2"/>
    <n v="25.874999999999996"/>
    <n v="1.0349999999999999"/>
    <n v="2.3287499999999994"/>
    <x v="1"/>
    <x v="68"/>
  </r>
  <r>
    <d v="2019-01-11T00:00:00"/>
    <s v="A-D-2.5"/>
    <n v="3"/>
    <x v="654"/>
    <s v="Washington"/>
    <x v="0"/>
    <x v="1"/>
    <x v="2"/>
    <x v="2"/>
    <x v="2"/>
    <n v="22.884999999999998"/>
    <n v="0.91539999999999988"/>
    <n v="2.0596499999999995"/>
    <x v="6"/>
    <x v="96"/>
  </r>
  <r>
    <d v="2019-09-20T00:00:00"/>
    <s v="R-M-2.5"/>
    <n v="2"/>
    <x v="655"/>
    <s v="Cedar Rapids"/>
    <x v="0"/>
    <x v="0"/>
    <x v="0"/>
    <x v="0"/>
    <x v="2"/>
    <n v="22.884999999999998"/>
    <n v="0.91539999999999988"/>
    <n v="1.3730999999999998"/>
    <x v="0"/>
    <x v="135"/>
  </r>
  <r>
    <d v="2021-10-16T00:00:00"/>
    <s v="L-D-1"/>
    <n v="4"/>
    <x v="656"/>
    <s v="Aurora"/>
    <x v="0"/>
    <x v="1"/>
    <x v="3"/>
    <x v="2"/>
    <x v="0"/>
    <n v="12.95"/>
    <n v="1.2949999999999999"/>
    <n v="1.6835"/>
    <x v="29"/>
    <x v="67"/>
  </r>
  <r>
    <d v="2020-01-01T00:00:00"/>
    <s v="A-M-0.5"/>
    <n v="2"/>
    <x v="657"/>
    <s v="Sunnyvale"/>
    <x v="0"/>
    <x v="0"/>
    <x v="2"/>
    <x v="0"/>
    <x v="1"/>
    <n v="6.75"/>
    <n v="1.35"/>
    <n v="0.60749999999999993"/>
    <x v="32"/>
    <x v="72"/>
  </r>
  <r>
    <d v="2022-03-10T00:00:00"/>
    <s v="E-M-0.5"/>
    <n v="3"/>
    <x v="658"/>
    <s v="Manorhamilton"/>
    <x v="1"/>
    <x v="0"/>
    <x v="1"/>
    <x v="0"/>
    <x v="1"/>
    <n v="8.25"/>
    <n v="1.65"/>
    <n v="0.90749999999999997"/>
    <x v="33"/>
    <x v="167"/>
  </r>
  <r>
    <d v="2022-05-12T00:00:00"/>
    <s v="A-D-2.5"/>
    <n v="2"/>
    <x v="659"/>
    <s v="Cluain Meala"/>
    <x v="1"/>
    <x v="0"/>
    <x v="2"/>
    <x v="2"/>
    <x v="2"/>
    <n v="22.884999999999998"/>
    <n v="0.91539999999999988"/>
    <n v="2.0596499999999995"/>
    <x v="5"/>
    <x v="135"/>
  </r>
  <r>
    <d v="2020-09-10T00:00:00"/>
    <s v="E-L-0.5"/>
    <n v="6"/>
    <x v="660"/>
    <s v="Lansing"/>
    <x v="0"/>
    <x v="1"/>
    <x v="1"/>
    <x v="1"/>
    <x v="1"/>
    <n v="8.91"/>
    <n v="1.782"/>
    <n v="0.98009999999999997"/>
    <x v="31"/>
    <x v="119"/>
  </r>
  <r>
    <d v="2021-10-16T00:00:00"/>
    <s v="A-M-0.2"/>
    <n v="6"/>
    <x v="661"/>
    <s v="Houston"/>
    <x v="0"/>
    <x v="0"/>
    <x v="2"/>
    <x v="0"/>
    <x v="3"/>
    <n v="3.375"/>
    <n v="1.6875"/>
    <n v="0.30374999999999996"/>
    <x v="29"/>
    <x v="16"/>
  </r>
  <r>
    <d v="2021-06-17T00:00:00"/>
    <s v="L-D-2.5"/>
    <n v="5"/>
    <x v="662"/>
    <s v="Murfreesboro"/>
    <x v="0"/>
    <x v="1"/>
    <x v="3"/>
    <x v="2"/>
    <x v="2"/>
    <n v="29.784999999999997"/>
    <n v="1.1913999999999998"/>
    <n v="3.8720499999999998"/>
    <x v="1"/>
    <x v="74"/>
  </r>
  <r>
    <d v="2019-03-30T00:00:00"/>
    <s v="A-M-1"/>
    <n v="6"/>
    <x v="663"/>
    <s v="Charleston"/>
    <x v="0"/>
    <x v="1"/>
    <x v="2"/>
    <x v="0"/>
    <x v="0"/>
    <n v="11.25"/>
    <n v="1.125"/>
    <n v="1.0125"/>
    <x v="13"/>
    <x v="173"/>
  </r>
  <r>
    <d v="2021-12-19T00:00:00"/>
    <s v="E-D-1"/>
    <n v="6"/>
    <x v="664"/>
    <s v="Erie"/>
    <x v="0"/>
    <x v="1"/>
    <x v="1"/>
    <x v="2"/>
    <x v="0"/>
    <n v="12.15"/>
    <n v="1.2150000000000001"/>
    <n v="1.3365"/>
    <x v="34"/>
    <x v="118"/>
  </r>
  <r>
    <d v="2021-12-19T00:00:00"/>
    <s v="L-D-0.2"/>
    <n v="2"/>
    <x v="665"/>
    <s v="Jackson"/>
    <x v="0"/>
    <x v="0"/>
    <x v="3"/>
    <x v="2"/>
    <x v="3"/>
    <n v="3.8849999999999998"/>
    <n v="1.9424999999999999"/>
    <n v="0.50505"/>
    <x v="34"/>
    <x v="41"/>
  </r>
  <r>
    <d v="2020-06-05T00:00:00"/>
    <s v="A-D-2.5"/>
    <n v="4"/>
    <x v="666"/>
    <s v="Lubbock"/>
    <x v="0"/>
    <x v="1"/>
    <x v="2"/>
    <x v="2"/>
    <x v="2"/>
    <n v="22.884999999999998"/>
    <n v="0.91539999999999988"/>
    <n v="2.0596499999999995"/>
    <x v="22"/>
    <x v="21"/>
  </r>
  <r>
    <d v="2021-09-12T00:00:00"/>
    <s v="A-D-1"/>
    <n v="6"/>
    <x v="667"/>
    <s v="Gorey"/>
    <x v="1"/>
    <x v="1"/>
    <x v="2"/>
    <x v="2"/>
    <x v="0"/>
    <n v="9.9499999999999993"/>
    <n v="0.99499999999999988"/>
    <n v="0.89549999999999985"/>
    <x v="19"/>
    <x v="33"/>
  </r>
  <r>
    <d v="2022-03-16T00:00:00"/>
    <s v="R-L-2.5"/>
    <n v="5"/>
    <x v="668"/>
    <s v="Durham"/>
    <x v="0"/>
    <x v="0"/>
    <x v="0"/>
    <x v="1"/>
    <x v="2"/>
    <n v="27.484999999999996"/>
    <n v="1.0993999999999999"/>
    <n v="1.6490999999999998"/>
    <x v="33"/>
    <x v="187"/>
  </r>
  <r>
    <d v="2021-12-21T00:00:00"/>
    <s v="L-M-2.5"/>
    <n v="2"/>
    <x v="669"/>
    <s v="Florence"/>
    <x v="0"/>
    <x v="1"/>
    <x v="3"/>
    <x v="0"/>
    <x v="2"/>
    <n v="33.464999999999996"/>
    <n v="1.3385999999999998"/>
    <n v="4.3504499999999995"/>
    <x v="34"/>
    <x v="174"/>
  </r>
  <r>
    <d v="2019-05-21T00:00:00"/>
    <s v="L-M-0.2"/>
    <n v="3"/>
    <x v="670"/>
    <s v="Syracuse"/>
    <x v="0"/>
    <x v="0"/>
    <x v="3"/>
    <x v="0"/>
    <x v="3"/>
    <n v="4.3650000000000002"/>
    <n v="2.1825000000000001"/>
    <n v="0.56745000000000001"/>
    <x v="28"/>
    <x v="73"/>
  </r>
  <r>
    <d v="2021-10-26T00:00:00"/>
    <s v="R-L-1"/>
    <n v="5"/>
    <x v="671"/>
    <s v="Lawrenceville"/>
    <x v="0"/>
    <x v="1"/>
    <x v="0"/>
    <x v="1"/>
    <x v="0"/>
    <n v="11.95"/>
    <n v="1.1949999999999998"/>
    <n v="0.71699999999999997"/>
    <x v="29"/>
    <x v="143"/>
  </r>
  <r>
    <d v="2020-03-26T00:00:00"/>
    <s v="L-M-0.5"/>
    <n v="5"/>
    <x v="672"/>
    <s v="Houston"/>
    <x v="0"/>
    <x v="0"/>
    <x v="3"/>
    <x v="0"/>
    <x v="1"/>
    <n v="8.73"/>
    <n v="1.746"/>
    <n v="1.1349"/>
    <x v="36"/>
    <x v="34"/>
  </r>
  <r>
    <d v="2020-10-14T00:00:00"/>
    <s v="E-M-1"/>
    <n v="6"/>
    <x v="673"/>
    <s v="Kansas City"/>
    <x v="0"/>
    <x v="0"/>
    <x v="1"/>
    <x v="0"/>
    <x v="0"/>
    <n v="13.75"/>
    <n v="1.375"/>
    <n v="1.5125"/>
    <x v="8"/>
    <x v="121"/>
  </r>
  <r>
    <d v="2021-12-13T00:00:00"/>
    <s v="A-L-2.5"/>
    <n v="6"/>
    <x v="674"/>
    <s v="Bradenton"/>
    <x v="0"/>
    <x v="0"/>
    <x v="2"/>
    <x v="1"/>
    <x v="2"/>
    <n v="29.784999999999997"/>
    <n v="1.1913999999999998"/>
    <n v="2.6806499999999995"/>
    <x v="34"/>
    <x v="39"/>
  </r>
  <r>
    <d v="2021-03-08T00:00:00"/>
    <s v="L-D-2.5"/>
    <n v="4"/>
    <x v="675"/>
    <s v="Allentown"/>
    <x v="0"/>
    <x v="0"/>
    <x v="3"/>
    <x v="2"/>
    <x v="2"/>
    <n v="29.784999999999997"/>
    <n v="1.1913999999999998"/>
    <n v="3.8720499999999998"/>
    <x v="7"/>
    <x v="129"/>
  </r>
  <r>
    <d v="2021-01-21T00:00:00"/>
    <s v="L-L-0.5"/>
    <n v="5"/>
    <x v="676"/>
    <s v="Hampton"/>
    <x v="0"/>
    <x v="1"/>
    <x v="3"/>
    <x v="1"/>
    <x v="1"/>
    <n v="9.51"/>
    <n v="1.9019999999999999"/>
    <n v="1.2363"/>
    <x v="17"/>
    <x v="46"/>
  </r>
  <r>
    <d v="2021-01-10T00:00:00"/>
    <s v="L-M-0.5"/>
    <n v="5"/>
    <x v="677"/>
    <s v="Whitegate"/>
    <x v="1"/>
    <x v="1"/>
    <x v="3"/>
    <x v="0"/>
    <x v="1"/>
    <n v="8.73"/>
    <n v="1.746"/>
    <n v="1.1349"/>
    <x v="17"/>
    <x v="34"/>
  </r>
  <r>
    <d v="2021-03-26T00:00:00"/>
    <s v="A-L-2.5"/>
    <n v="6"/>
    <x v="678"/>
    <s v="Wichita"/>
    <x v="0"/>
    <x v="0"/>
    <x v="2"/>
    <x v="1"/>
    <x v="2"/>
    <n v="29.784999999999997"/>
    <n v="1.1913999999999998"/>
    <n v="2.6806499999999995"/>
    <x v="7"/>
    <x v="39"/>
  </r>
  <r>
    <d v="2022-03-25T00:00:00"/>
    <s v="R-L-2.5"/>
    <n v="1"/>
    <x v="679"/>
    <s v="Thorpe"/>
    <x v="2"/>
    <x v="1"/>
    <x v="0"/>
    <x v="1"/>
    <x v="2"/>
    <n v="27.484999999999996"/>
    <n v="1.0993999999999999"/>
    <n v="1.6490999999999998"/>
    <x v="33"/>
    <x v="142"/>
  </r>
  <r>
    <d v="2021-07-22T00:00:00"/>
    <s v="A-M-1"/>
    <n v="5"/>
    <x v="680"/>
    <s v="Danbury"/>
    <x v="0"/>
    <x v="1"/>
    <x v="2"/>
    <x v="0"/>
    <x v="0"/>
    <n v="11.25"/>
    <n v="1.125"/>
    <n v="1.0125"/>
    <x v="2"/>
    <x v="126"/>
  </r>
  <r>
    <d v="2020-09-06T00:00:00"/>
    <s v="L-L-0.2"/>
    <n v="2"/>
    <x v="681"/>
    <s v="Kinloch"/>
    <x v="2"/>
    <x v="0"/>
    <x v="3"/>
    <x v="1"/>
    <x v="3"/>
    <n v="4.7549999999999999"/>
    <n v="2.3774999999999999"/>
    <n v="0.61814999999999998"/>
    <x v="31"/>
    <x v="54"/>
  </r>
  <r>
    <d v="2019-12-28T00:00:00"/>
    <s v="E-M-0.2"/>
    <n v="2"/>
    <x v="682"/>
    <s v="Jacksonville"/>
    <x v="0"/>
    <x v="0"/>
    <x v="1"/>
    <x v="0"/>
    <x v="3"/>
    <n v="4.125"/>
    <n v="2.0625"/>
    <n v="0.45374999999999999"/>
    <x v="40"/>
    <x v="112"/>
  </r>
  <r>
    <d v="2020-04-20T00:00:00"/>
    <s v="L-D-0.5"/>
    <n v="6"/>
    <x v="683"/>
    <s v="Houston"/>
    <x v="0"/>
    <x v="1"/>
    <x v="3"/>
    <x v="2"/>
    <x v="1"/>
    <n v="7.77"/>
    <n v="1.5539999999999998"/>
    <n v="1.0101"/>
    <x v="25"/>
    <x v="162"/>
  </r>
  <r>
    <d v="2019-02-21T00:00:00"/>
    <s v="R-L-1"/>
    <n v="6"/>
    <x v="684"/>
    <s v="Portland"/>
    <x v="0"/>
    <x v="1"/>
    <x v="0"/>
    <x v="1"/>
    <x v="0"/>
    <n v="11.95"/>
    <n v="1.1949999999999998"/>
    <n v="0.71699999999999997"/>
    <x v="20"/>
    <x v="144"/>
  </r>
  <r>
    <d v="2022-03-17T00:00:00"/>
    <s v="L-L-2.5"/>
    <n v="2"/>
    <x v="685"/>
    <s v="Pasadena"/>
    <x v="0"/>
    <x v="0"/>
    <x v="3"/>
    <x v="1"/>
    <x v="2"/>
    <n v="36.454999999999998"/>
    <n v="1.4581999999999999"/>
    <n v="4.7391499999999995"/>
    <x v="33"/>
    <x v="37"/>
  </r>
  <r>
    <d v="2021-05-14T00:00:00"/>
    <s v="R-D-0.2"/>
    <n v="3"/>
    <x v="686"/>
    <s v="Santa Ana"/>
    <x v="0"/>
    <x v="0"/>
    <x v="0"/>
    <x v="2"/>
    <x v="3"/>
    <n v="2.6849999999999996"/>
    <n v="1.3424999999999998"/>
    <n v="0.16109999999999997"/>
    <x v="43"/>
    <x v="36"/>
  </r>
  <r>
    <d v="2019-01-06T00:00:00"/>
    <s v="E-M-0.5"/>
    <n v="2"/>
    <x v="687"/>
    <s v="San Jose"/>
    <x v="0"/>
    <x v="1"/>
    <x v="1"/>
    <x v="0"/>
    <x v="1"/>
    <n v="8.25"/>
    <n v="1.65"/>
    <n v="0.90749999999999997"/>
    <x v="6"/>
    <x v="38"/>
  </r>
  <r>
    <d v="2019-04-24T00:00:00"/>
    <s v="A-L-1"/>
    <n v="5"/>
    <x v="688"/>
    <s v="Tallaght"/>
    <x v="1"/>
    <x v="1"/>
    <x v="2"/>
    <x v="1"/>
    <x v="0"/>
    <n v="12.95"/>
    <n v="1.2949999999999999"/>
    <n v="1.1655"/>
    <x v="24"/>
    <x v="188"/>
  </r>
  <r>
    <d v="2021-05-30T00:00:00"/>
    <s v="A-M-0.5"/>
    <n v="5"/>
    <x v="689"/>
    <s v="Colorado Springs"/>
    <x v="0"/>
    <x v="1"/>
    <x v="2"/>
    <x v="0"/>
    <x v="1"/>
    <n v="6.75"/>
    <n v="1.35"/>
    <n v="0.60749999999999993"/>
    <x v="43"/>
    <x v="65"/>
  </r>
  <r>
    <d v="2022-07-12T00:00:00"/>
    <s v="L-D-2.5"/>
    <n v="6"/>
    <x v="690"/>
    <s v="Toledo"/>
    <x v="0"/>
    <x v="1"/>
    <x v="3"/>
    <x v="2"/>
    <x v="2"/>
    <n v="29.784999999999997"/>
    <n v="1.1913999999999998"/>
    <n v="3.8720499999999998"/>
    <x v="9"/>
    <x v="39"/>
  </r>
  <r>
    <d v="2021-01-31T00:00:00"/>
    <s v="A-M-1"/>
    <n v="2"/>
    <x v="691"/>
    <s v="Boynton Beach"/>
    <x v="0"/>
    <x v="0"/>
    <x v="2"/>
    <x v="0"/>
    <x v="0"/>
    <n v="11.25"/>
    <n v="1.125"/>
    <n v="1.0125"/>
    <x v="17"/>
    <x v="122"/>
  </r>
  <r>
    <d v="2019-09-12T00:00:00"/>
    <s v="L-D-1"/>
    <n v="1"/>
    <x v="692"/>
    <s v="Cincinnati"/>
    <x v="0"/>
    <x v="1"/>
    <x v="3"/>
    <x v="2"/>
    <x v="0"/>
    <n v="12.95"/>
    <n v="1.2949999999999999"/>
    <n v="1.6835"/>
    <x v="0"/>
    <x v="2"/>
  </r>
  <r>
    <d v="2020-06-30T00:00:00"/>
    <s v="A-M-2.5"/>
    <n v="2"/>
    <x v="693"/>
    <s v="Saint Louis"/>
    <x v="0"/>
    <x v="0"/>
    <x v="2"/>
    <x v="0"/>
    <x v="2"/>
    <n v="25.874999999999996"/>
    <n v="1.0349999999999999"/>
    <n v="2.3287499999999994"/>
    <x v="22"/>
    <x v="95"/>
  </r>
  <r>
    <d v="2020-03-25T00:00:00"/>
    <s v="E-D-0.5"/>
    <n v="5"/>
    <x v="694"/>
    <s v="Yonkers"/>
    <x v="0"/>
    <x v="1"/>
    <x v="1"/>
    <x v="2"/>
    <x v="1"/>
    <n v="7.29"/>
    <n v="1.458"/>
    <n v="0.80190000000000006"/>
    <x v="36"/>
    <x v="114"/>
  </r>
  <r>
    <d v="2021-04-14T00:00:00"/>
    <s v="L-L-2.5"/>
    <n v="5"/>
    <x v="695"/>
    <s v="Baltimore"/>
    <x v="0"/>
    <x v="0"/>
    <x v="3"/>
    <x v="1"/>
    <x v="2"/>
    <n v="36.454999999999998"/>
    <n v="1.4581999999999999"/>
    <n v="4.7391499999999995"/>
    <x v="27"/>
    <x v="134"/>
  </r>
  <r>
    <d v="2019-08-16T00:00:00"/>
    <s v="L-D-0.5"/>
    <n v="4"/>
    <x v="696"/>
    <s v="Jacksonville"/>
    <x v="0"/>
    <x v="1"/>
    <x v="3"/>
    <x v="2"/>
    <x v="1"/>
    <n v="7.77"/>
    <n v="1.5539999999999998"/>
    <n v="1.0101"/>
    <x v="41"/>
    <x v="113"/>
  </r>
  <r>
    <d v="2021-12-17T00:00:00"/>
    <s v="A-M-0.5"/>
    <n v="3"/>
    <x v="697"/>
    <s v="Bayside"/>
    <x v="1"/>
    <x v="1"/>
    <x v="2"/>
    <x v="0"/>
    <x v="1"/>
    <n v="6.75"/>
    <n v="1.35"/>
    <n v="0.60749999999999993"/>
    <x v="34"/>
    <x v="16"/>
  </r>
  <r>
    <d v="2019-12-31T00:00:00"/>
    <s v="L-D-1"/>
    <n v="2"/>
    <x v="698"/>
    <s v="Beaumont"/>
    <x v="1"/>
    <x v="1"/>
    <x v="3"/>
    <x v="2"/>
    <x v="0"/>
    <n v="12.95"/>
    <n v="1.2949999999999999"/>
    <n v="1.6835"/>
    <x v="40"/>
    <x v="109"/>
  </r>
  <r>
    <d v="2021-04-12T00:00:00"/>
    <s v="A-D-0.5"/>
    <n v="4"/>
    <x v="699"/>
    <s v="Miami"/>
    <x v="0"/>
    <x v="0"/>
    <x v="2"/>
    <x v="2"/>
    <x v="1"/>
    <n v="5.97"/>
    <n v="1.194"/>
    <n v="0.5373"/>
    <x v="27"/>
    <x v="86"/>
  </r>
  <r>
    <d v="2019-09-28T00:00:00"/>
    <s v="L-L-0.5"/>
    <n v="2"/>
    <x v="700"/>
    <s v="San Francisco"/>
    <x v="0"/>
    <x v="1"/>
    <x v="3"/>
    <x v="1"/>
    <x v="1"/>
    <n v="9.51"/>
    <n v="1.9019999999999999"/>
    <n v="1.2363"/>
    <x v="0"/>
    <x v="81"/>
  </r>
  <r>
    <d v="2022-06-15T00:00:00"/>
    <s v="A-D-0.5"/>
    <n v="5"/>
    <x v="701"/>
    <s v="Sandyford"/>
    <x v="1"/>
    <x v="0"/>
    <x v="2"/>
    <x v="2"/>
    <x v="1"/>
    <n v="5.97"/>
    <n v="1.194"/>
    <n v="0.5373"/>
    <x v="12"/>
    <x v="44"/>
  </r>
  <r>
    <d v="2019-07-15T00:00:00"/>
    <s v="A-L-0.5"/>
    <n v="1"/>
    <x v="702"/>
    <s v="Punta Gorda"/>
    <x v="0"/>
    <x v="0"/>
    <x v="2"/>
    <x v="1"/>
    <x v="1"/>
    <n v="7.77"/>
    <n v="1.5539999999999998"/>
    <n v="0.69929999999999992"/>
    <x v="37"/>
    <x v="41"/>
  </r>
  <r>
    <d v="2019-02-10T00:00:00"/>
    <s v="L-D-2.5"/>
    <n v="4"/>
    <x v="703"/>
    <s v="Ballivor"/>
    <x v="1"/>
    <x v="0"/>
    <x v="3"/>
    <x v="2"/>
    <x v="2"/>
    <n v="29.784999999999997"/>
    <n v="1.1913999999999998"/>
    <n v="3.8720499999999998"/>
    <x v="20"/>
    <x v="129"/>
  </r>
  <r>
    <d v="2022-06-04T00:00:00"/>
    <s v="E-D-0.2"/>
    <n v="6"/>
    <x v="704"/>
    <s v="New York City"/>
    <x v="0"/>
    <x v="0"/>
    <x v="1"/>
    <x v="2"/>
    <x v="3"/>
    <n v="3.645"/>
    <n v="1.8225"/>
    <n v="0.40095000000000003"/>
    <x v="12"/>
    <x v="6"/>
  </r>
  <r>
    <d v="2020-10-10T00:00:00"/>
    <s v="E-L-0.5"/>
    <n v="2"/>
    <x v="705"/>
    <s v="Spartanburg"/>
    <x v="0"/>
    <x v="1"/>
    <x v="1"/>
    <x v="1"/>
    <x v="1"/>
    <n v="8.91"/>
    <n v="1.782"/>
    <n v="0.98009999999999997"/>
    <x v="8"/>
    <x v="58"/>
  </r>
  <r>
    <d v="2021-06-06T00:00:00"/>
    <s v="E-M-0.2"/>
    <n v="3"/>
    <x v="706"/>
    <s v="Bakersfield"/>
    <x v="0"/>
    <x v="1"/>
    <x v="1"/>
    <x v="0"/>
    <x v="3"/>
    <n v="4.125"/>
    <n v="2.0625"/>
    <n v="0.45374999999999999"/>
    <x v="1"/>
    <x v="24"/>
  </r>
  <r>
    <d v="2019-03-16T00:00:00"/>
    <s v="L-D-1"/>
    <n v="2"/>
    <x v="707"/>
    <s v="Dungarvan"/>
    <x v="1"/>
    <x v="1"/>
    <x v="3"/>
    <x v="2"/>
    <x v="0"/>
    <n v="12.95"/>
    <n v="1.2949999999999999"/>
    <n v="1.6835"/>
    <x v="13"/>
    <x v="109"/>
  </r>
  <r>
    <d v="2019-12-05T00:00:00"/>
    <s v="A-M-0.5"/>
    <n v="2"/>
    <x v="708"/>
    <s v="Saint Louis"/>
    <x v="0"/>
    <x v="0"/>
    <x v="2"/>
    <x v="0"/>
    <x v="1"/>
    <n v="6.75"/>
    <n v="1.35"/>
    <n v="0.60749999999999993"/>
    <x v="40"/>
    <x v="72"/>
  </r>
  <r>
    <d v="2019-01-20T00:00:00"/>
    <s v="E-L-0.5"/>
    <n v="2"/>
    <x v="709"/>
    <s v="Fort Wayne"/>
    <x v="0"/>
    <x v="0"/>
    <x v="1"/>
    <x v="1"/>
    <x v="1"/>
    <n v="8.91"/>
    <n v="1.782"/>
    <n v="0.98009999999999997"/>
    <x v="6"/>
    <x v="58"/>
  </r>
  <r>
    <d v="2022-04-04T00:00:00"/>
    <s v="E-M-0.5"/>
    <n v="3"/>
    <x v="710"/>
    <s v="Young America"/>
    <x v="0"/>
    <x v="1"/>
    <x v="1"/>
    <x v="0"/>
    <x v="1"/>
    <n v="8.25"/>
    <n v="1.65"/>
    <n v="0.90749999999999997"/>
    <x v="11"/>
    <x v="167"/>
  </r>
  <r>
    <d v="2022-02-08T00:00:00"/>
    <s v="R-M-0.2"/>
    <n v="6"/>
    <x v="711"/>
    <s v="Fort Smith"/>
    <x v="0"/>
    <x v="1"/>
    <x v="0"/>
    <x v="0"/>
    <x v="3"/>
    <n v="2.9849999999999999"/>
    <n v="1.4924999999999999"/>
    <n v="0.17909999999999998"/>
    <x v="18"/>
    <x v="8"/>
  </r>
  <r>
    <d v="2019-06-30T00:00:00"/>
    <s v="E-M-0.5"/>
    <n v="2"/>
    <x v="712"/>
    <s v="Charlton"/>
    <x v="2"/>
    <x v="1"/>
    <x v="1"/>
    <x v="0"/>
    <x v="1"/>
    <n v="8.25"/>
    <n v="1.65"/>
    <n v="0.90749999999999997"/>
    <x v="15"/>
    <x v="38"/>
  </r>
  <r>
    <d v="2020-05-09T00:00:00"/>
    <s v="R-M-0.2"/>
    <n v="1"/>
    <x v="713"/>
    <s v="Stockton"/>
    <x v="0"/>
    <x v="1"/>
    <x v="0"/>
    <x v="0"/>
    <x v="3"/>
    <n v="2.9849999999999999"/>
    <n v="1.4924999999999999"/>
    <n v="0.17909999999999998"/>
    <x v="10"/>
    <x v="55"/>
  </r>
  <r>
    <d v="2021-06-11T00:00:00"/>
    <s v="E-D-0.2"/>
    <n v="4"/>
    <x v="714"/>
    <s v="Navan"/>
    <x v="1"/>
    <x v="0"/>
    <x v="1"/>
    <x v="2"/>
    <x v="3"/>
    <n v="3.645"/>
    <n v="1.8225"/>
    <n v="0.40095000000000003"/>
    <x v="1"/>
    <x v="20"/>
  </r>
  <r>
    <d v="2021-11-04T00:00:00"/>
    <s v="E-L-1"/>
    <n v="6"/>
    <x v="715"/>
    <s v="Tampa"/>
    <x v="0"/>
    <x v="1"/>
    <x v="1"/>
    <x v="1"/>
    <x v="0"/>
    <n v="14.85"/>
    <n v="1.4849999999999999"/>
    <n v="1.6335"/>
    <x v="26"/>
    <x v="146"/>
  </r>
  <r>
    <d v="2022-02-20T00:00:00"/>
    <s v="R-L-1"/>
    <n v="3"/>
    <x v="716"/>
    <s v="Castlebellingham"/>
    <x v="1"/>
    <x v="1"/>
    <x v="0"/>
    <x v="1"/>
    <x v="0"/>
    <n v="11.95"/>
    <n v="1.1949999999999998"/>
    <n v="0.71699999999999997"/>
    <x v="18"/>
    <x v="66"/>
  </r>
  <r>
    <d v="2019-07-03T00:00:00"/>
    <s v="A-D-2.5"/>
    <n v="3"/>
    <x v="717"/>
    <s v="Philadelphia"/>
    <x v="0"/>
    <x v="1"/>
    <x v="2"/>
    <x v="2"/>
    <x v="2"/>
    <n v="22.884999999999998"/>
    <n v="0.91539999999999988"/>
    <n v="2.0596499999999995"/>
    <x v="37"/>
    <x v="96"/>
  </r>
  <r>
    <d v="2021-06-01T00:00:00"/>
    <s v="L-D-1"/>
    <n v="3"/>
    <x v="718"/>
    <s v="San Angelo"/>
    <x v="0"/>
    <x v="1"/>
    <x v="3"/>
    <x v="2"/>
    <x v="0"/>
    <n v="12.95"/>
    <n v="1.2949999999999999"/>
    <n v="1.6835"/>
    <x v="1"/>
    <x v="5"/>
  </r>
  <r>
    <d v="2020-11-15T00:00:00"/>
    <s v="L-L-1"/>
    <n v="5"/>
    <x v="719"/>
    <s v="Los Angeles"/>
    <x v="0"/>
    <x v="0"/>
    <x v="3"/>
    <x v="1"/>
    <x v="0"/>
    <n v="15.85"/>
    <n v="1.585"/>
    <n v="2.0605000000000002"/>
    <x v="38"/>
    <x v="180"/>
  </r>
  <r>
    <d v="2021-01-19T00:00:00"/>
    <s v="E-D-0.5"/>
    <n v="5"/>
    <x v="720"/>
    <s v="Lansing"/>
    <x v="0"/>
    <x v="0"/>
    <x v="1"/>
    <x v="2"/>
    <x v="1"/>
    <n v="7.29"/>
    <n v="1.458"/>
    <n v="0.80190000000000006"/>
    <x v="17"/>
    <x v="114"/>
  </r>
  <r>
    <d v="2021-10-10T00:00:00"/>
    <s v="R-M-0.2"/>
    <n v="3"/>
    <x v="721"/>
    <s v="Clearwater"/>
    <x v="0"/>
    <x v="0"/>
    <x v="0"/>
    <x v="0"/>
    <x v="3"/>
    <n v="2.9849999999999999"/>
    <n v="1.4924999999999999"/>
    <n v="0.17909999999999998"/>
    <x v="29"/>
    <x v="169"/>
  </r>
  <r>
    <d v="2022-02-28T00:00:00"/>
    <s v="E-D-1"/>
    <n v="2"/>
    <x v="722"/>
    <s v="Whittier"/>
    <x v="0"/>
    <x v="1"/>
    <x v="1"/>
    <x v="2"/>
    <x v="0"/>
    <n v="12.15"/>
    <n v="1.2150000000000001"/>
    <n v="1.3365"/>
    <x v="18"/>
    <x v="76"/>
  </r>
  <r>
    <d v="2021-10-01T00:00:00"/>
    <s v="E-M-2.5"/>
    <n v="2"/>
    <x v="723"/>
    <s v="Fresno"/>
    <x v="0"/>
    <x v="1"/>
    <x v="1"/>
    <x v="0"/>
    <x v="2"/>
    <n v="31.624999999999996"/>
    <n v="1.2649999999999999"/>
    <n v="3.4787499999999998"/>
    <x v="29"/>
    <x v="40"/>
  </r>
  <r>
    <d v="2020-09-02T00:00:00"/>
    <s v="A-M-0.2"/>
    <n v="2"/>
    <x v="724"/>
    <s v="New York City"/>
    <x v="0"/>
    <x v="0"/>
    <x v="2"/>
    <x v="0"/>
    <x v="3"/>
    <n v="3.375"/>
    <n v="1.6875"/>
    <n v="0.30374999999999996"/>
    <x v="31"/>
    <x v="52"/>
  </r>
  <r>
    <d v="2020-07-31T00:00:00"/>
    <s v="A-L-0.2"/>
    <n v="6"/>
    <x v="725"/>
    <s v="Colorado Springs"/>
    <x v="0"/>
    <x v="1"/>
    <x v="2"/>
    <x v="1"/>
    <x v="3"/>
    <n v="3.8849999999999998"/>
    <n v="1.9424999999999999"/>
    <n v="0.34964999999999996"/>
    <x v="39"/>
    <x v="102"/>
  </r>
  <r>
    <d v="2022-01-10T00:00:00"/>
    <s v="L-L-2.5"/>
    <n v="4"/>
    <x v="726"/>
    <s v="Long Beach"/>
    <x v="0"/>
    <x v="1"/>
    <x v="3"/>
    <x v="1"/>
    <x v="2"/>
    <n v="36.454999999999998"/>
    <n v="1.4581999999999999"/>
    <n v="4.7391499999999995"/>
    <x v="4"/>
    <x v="43"/>
  </r>
  <r>
    <d v="2021-03-09T00:00:00"/>
    <s v="R-M-0.5"/>
    <n v="5"/>
    <x v="727"/>
    <s v="Lusk"/>
    <x v="1"/>
    <x v="0"/>
    <x v="0"/>
    <x v="0"/>
    <x v="1"/>
    <n v="5.97"/>
    <n v="1.194"/>
    <n v="0.35819999999999996"/>
    <x v="7"/>
    <x v="44"/>
  </r>
  <r>
    <d v="2020-11-20T00:00:00"/>
    <s v="E-D-0.5"/>
    <n v="3"/>
    <x v="728"/>
    <s v="Reno"/>
    <x v="0"/>
    <x v="0"/>
    <x v="1"/>
    <x v="2"/>
    <x v="1"/>
    <n v="7.29"/>
    <n v="1.458"/>
    <n v="0.80190000000000006"/>
    <x v="38"/>
    <x v="6"/>
  </r>
  <r>
    <d v="2022-03-14T00:00:00"/>
    <s v="L-M-0.2"/>
    <n v="1"/>
    <x v="729"/>
    <s v="Upton"/>
    <x v="2"/>
    <x v="1"/>
    <x v="3"/>
    <x v="0"/>
    <x v="3"/>
    <n v="4.3650000000000002"/>
    <n v="2.1825000000000001"/>
    <n v="0.56745000000000001"/>
    <x v="33"/>
    <x v="189"/>
  </r>
  <r>
    <d v="2019-01-10T00:00:00"/>
    <s v="L-L-2.5"/>
    <n v="1"/>
    <x v="730"/>
    <s v="Las Vegas"/>
    <x v="0"/>
    <x v="1"/>
    <x v="3"/>
    <x v="1"/>
    <x v="2"/>
    <n v="36.454999999999998"/>
    <n v="1.4581999999999999"/>
    <n v="4.7391499999999995"/>
    <x v="6"/>
    <x v="133"/>
  </r>
  <r>
    <d v="2021-01-26T00:00:00"/>
    <s v="L-D-0.2"/>
    <n v="4"/>
    <x v="731"/>
    <s v="Wilmington"/>
    <x v="0"/>
    <x v="0"/>
    <x v="3"/>
    <x v="2"/>
    <x v="3"/>
    <n v="3.8849999999999998"/>
    <n v="1.9424999999999999"/>
    <n v="0.50505"/>
    <x v="17"/>
    <x v="42"/>
  </r>
  <r>
    <d v="2021-04-26T00:00:00"/>
    <s v="E-L-0.2"/>
    <n v="2"/>
    <x v="732"/>
    <s v="Reno"/>
    <x v="0"/>
    <x v="1"/>
    <x v="1"/>
    <x v="1"/>
    <x v="3"/>
    <n v="4.4550000000000001"/>
    <n v="2.2275"/>
    <n v="0.49004999999999999"/>
    <x v="27"/>
    <x v="161"/>
  </r>
  <r>
    <d v="2022-01-04T00:00:00"/>
    <s v="L-M-2.5"/>
    <n v="3"/>
    <x v="733"/>
    <s v="Tuscaloosa"/>
    <x v="0"/>
    <x v="0"/>
    <x v="3"/>
    <x v="0"/>
    <x v="2"/>
    <n v="33.464999999999996"/>
    <n v="1.3385999999999998"/>
    <n v="4.3504499999999995"/>
    <x v="4"/>
    <x v="64"/>
  </r>
  <r>
    <d v="2019-08-20T00:00:00"/>
    <s v="R-D-0.2"/>
    <n v="5"/>
    <x v="734"/>
    <s v="Garden Grove"/>
    <x v="0"/>
    <x v="1"/>
    <x v="0"/>
    <x v="2"/>
    <x v="3"/>
    <n v="2.6849999999999996"/>
    <n v="1.3424999999999998"/>
    <n v="0.16109999999999997"/>
    <x v="41"/>
    <x v="148"/>
  </r>
  <r>
    <d v="2022-07-15T00:00:00"/>
    <s v="E-D-0.2"/>
    <n v="6"/>
    <x v="735"/>
    <s v="Shawnee Mission"/>
    <x v="0"/>
    <x v="1"/>
    <x v="1"/>
    <x v="2"/>
    <x v="3"/>
    <n v="3.645"/>
    <n v="1.8225"/>
    <n v="0.40095000000000003"/>
    <x v="9"/>
    <x v="6"/>
  </r>
  <r>
    <d v="2019-02-12T00:00:00"/>
    <s v="L-D-1"/>
    <n v="2"/>
    <x v="736"/>
    <s v="Ballivor"/>
    <x v="1"/>
    <x v="0"/>
    <x v="3"/>
    <x v="2"/>
    <x v="0"/>
    <n v="12.95"/>
    <n v="1.2949999999999999"/>
    <n v="1.6835"/>
    <x v="20"/>
    <x v="109"/>
  </r>
  <r>
    <d v="2021-09-08T00:00:00"/>
    <s v="A-M-1"/>
    <n v="5"/>
    <x v="737"/>
    <s v="Cincinnati"/>
    <x v="0"/>
    <x v="1"/>
    <x v="2"/>
    <x v="0"/>
    <x v="0"/>
    <n v="11.25"/>
    <n v="1.125"/>
    <n v="1.0125"/>
    <x v="19"/>
    <x v="126"/>
  </r>
  <r>
    <d v="2019-12-13T00:00:00"/>
    <s v="R-L-0.2"/>
    <n v="3"/>
    <x v="738"/>
    <s v="Whitwell"/>
    <x v="2"/>
    <x v="1"/>
    <x v="0"/>
    <x v="1"/>
    <x v="3"/>
    <n v="3.5849999999999995"/>
    <n v="1.7924999999999998"/>
    <n v="0.21509999999999996"/>
    <x v="40"/>
    <x v="127"/>
  </r>
  <r>
    <d v="2021-08-25T00:00:00"/>
    <s v="E-D-0.2"/>
    <n v="5"/>
    <x v="739"/>
    <s v="Portland"/>
    <x v="0"/>
    <x v="0"/>
    <x v="1"/>
    <x v="2"/>
    <x v="3"/>
    <n v="3.645"/>
    <n v="1.8225"/>
    <n v="0.40095000000000003"/>
    <x v="3"/>
    <x v="94"/>
  </r>
  <r>
    <d v="2022-03-23T00:00:00"/>
    <s v="R-L-0.5"/>
    <n v="4"/>
    <x v="740"/>
    <s v="Dungarvan"/>
    <x v="1"/>
    <x v="1"/>
    <x v="0"/>
    <x v="1"/>
    <x v="1"/>
    <n v="7.169999999999999"/>
    <n v="1.4339999999999997"/>
    <n v="0.43019999999999992"/>
    <x v="33"/>
    <x v="139"/>
  </r>
  <r>
    <d v="2019-04-11T00:00:00"/>
    <s v="L-M-0.2"/>
    <n v="2"/>
    <x v="741"/>
    <s v="Sunnyvale"/>
    <x v="0"/>
    <x v="1"/>
    <x v="3"/>
    <x v="0"/>
    <x v="3"/>
    <n v="4.3650000000000002"/>
    <n v="2.1825000000000001"/>
    <n v="0.56745000000000001"/>
    <x v="24"/>
    <x v="31"/>
  </r>
  <r>
    <d v="2020-10-29T00:00:00"/>
    <s v="L-M-1"/>
    <n v="4"/>
    <x v="742"/>
    <s v="Memphis"/>
    <x v="0"/>
    <x v="1"/>
    <x v="3"/>
    <x v="0"/>
    <x v="0"/>
    <n v="14.55"/>
    <n v="1.4550000000000001"/>
    <n v="1.8915000000000002"/>
    <x v="8"/>
    <x v="125"/>
  </r>
  <r>
    <d v="2020-07-30T00:00:00"/>
    <s v="A-D-0.5"/>
    <n v="3"/>
    <x v="743"/>
    <s v="Orlando"/>
    <x v="0"/>
    <x v="1"/>
    <x v="2"/>
    <x v="2"/>
    <x v="1"/>
    <n v="5.97"/>
    <n v="1.194"/>
    <n v="0.5373"/>
    <x v="39"/>
    <x v="8"/>
  </r>
  <r>
    <d v="2019-03-15T00:00:00"/>
    <s v="R-M-0.2"/>
    <n v="6"/>
    <x v="744"/>
    <s v="Detroit"/>
    <x v="0"/>
    <x v="0"/>
    <x v="0"/>
    <x v="0"/>
    <x v="3"/>
    <n v="2.9849999999999999"/>
    <n v="1.4924999999999999"/>
    <n v="0.17909999999999998"/>
    <x v="13"/>
    <x v="8"/>
  </r>
  <r>
    <d v="2021-12-27T00:00:00"/>
    <s v="E-D-0.5"/>
    <n v="2"/>
    <x v="745"/>
    <s v="Clones"/>
    <x v="1"/>
    <x v="1"/>
    <x v="1"/>
    <x v="2"/>
    <x v="1"/>
    <n v="7.29"/>
    <n v="1.458"/>
    <n v="0.80190000000000006"/>
    <x v="34"/>
    <x v="20"/>
  </r>
  <r>
    <d v="2019-10-03T00:00:00"/>
    <s v="A-M-1"/>
    <n v="3"/>
    <x v="746"/>
    <s v="Stradbally"/>
    <x v="1"/>
    <x v="1"/>
    <x v="2"/>
    <x v="0"/>
    <x v="0"/>
    <n v="11.25"/>
    <n v="1.125"/>
    <n v="1.0125"/>
    <x v="14"/>
    <x v="65"/>
  </r>
  <r>
    <d v="2019-02-05T00:00:00"/>
    <s v="L-M-0.5"/>
    <n v="4"/>
    <x v="747"/>
    <s v="Ballina"/>
    <x v="1"/>
    <x v="0"/>
    <x v="3"/>
    <x v="0"/>
    <x v="1"/>
    <n v="8.73"/>
    <n v="1.746"/>
    <n v="1.1349"/>
    <x v="20"/>
    <x v="190"/>
  </r>
  <r>
    <d v="2020-08-31T00:00:00"/>
    <s v="E-D-0.5"/>
    <n v="2"/>
    <x v="748"/>
    <s v="Richmond"/>
    <x v="0"/>
    <x v="1"/>
    <x v="1"/>
    <x v="2"/>
    <x v="1"/>
    <n v="7.29"/>
    <n v="1.458"/>
    <n v="0.80190000000000006"/>
    <x v="42"/>
    <x v="20"/>
  </r>
  <r>
    <d v="2021-01-13T00:00:00"/>
    <s v="R-D-0.2"/>
    <n v="2"/>
    <x v="749"/>
    <s v="Glasnevin"/>
    <x v="1"/>
    <x v="0"/>
    <x v="0"/>
    <x v="2"/>
    <x v="3"/>
    <n v="2.6849999999999996"/>
    <n v="1.3424999999999998"/>
    <n v="0.16109999999999997"/>
    <x v="17"/>
    <x v="147"/>
  </r>
  <r>
    <d v="2021-03-22T00:00:00"/>
    <s v="R-M-0.5"/>
    <n v="1"/>
    <x v="750"/>
    <s v="Fort Worth"/>
    <x v="0"/>
    <x v="0"/>
    <x v="0"/>
    <x v="0"/>
    <x v="1"/>
    <n v="5.97"/>
    <n v="1.194"/>
    <n v="0.35819999999999996"/>
    <x v="7"/>
    <x v="9"/>
  </r>
  <r>
    <d v="2020-01-17T00:00:00"/>
    <s v="L-L-0.5"/>
    <n v="2"/>
    <x v="751"/>
    <s v="Brooklyn"/>
    <x v="0"/>
    <x v="1"/>
    <x v="3"/>
    <x v="1"/>
    <x v="1"/>
    <n v="9.51"/>
    <n v="1.9019999999999999"/>
    <n v="1.2363"/>
    <x v="32"/>
    <x v="81"/>
  </r>
  <r>
    <d v="2019-07-02T00:00:00"/>
    <s v="E-M-1"/>
    <n v="2"/>
    <x v="752"/>
    <s v="Fort Worth"/>
    <x v="0"/>
    <x v="0"/>
    <x v="1"/>
    <x v="0"/>
    <x v="0"/>
    <n v="13.75"/>
    <n v="1.375"/>
    <n v="1.5125"/>
    <x v="37"/>
    <x v="3"/>
  </r>
  <r>
    <d v="2022-05-23T00:00:00"/>
    <s v="A-D-0.5"/>
    <n v="5"/>
    <x v="753"/>
    <s v="Phoenix"/>
    <x v="0"/>
    <x v="1"/>
    <x v="2"/>
    <x v="2"/>
    <x v="1"/>
    <n v="5.97"/>
    <n v="1.194"/>
    <n v="0.5373"/>
    <x v="5"/>
    <x v="44"/>
  </r>
  <r>
    <d v="2022-06-14T00:00:00"/>
    <s v="A-D-0.2"/>
    <n v="6"/>
    <x v="754"/>
    <s v="Washington"/>
    <x v="0"/>
    <x v="1"/>
    <x v="2"/>
    <x v="2"/>
    <x v="3"/>
    <n v="2.9849999999999999"/>
    <n v="1.4924999999999999"/>
    <n v="0.26865"/>
    <x v="12"/>
    <x v="8"/>
  </r>
  <r>
    <d v="2021-07-20T00:00:00"/>
    <s v="L-L-0.2"/>
    <n v="6"/>
    <x v="755"/>
    <s v="Dallas"/>
    <x v="0"/>
    <x v="1"/>
    <x v="3"/>
    <x v="1"/>
    <x v="3"/>
    <n v="4.7549999999999999"/>
    <n v="2.3774999999999999"/>
    <n v="0.61814999999999998"/>
    <x v="2"/>
    <x v="32"/>
  </r>
  <r>
    <d v="2022-06-03T00:00:00"/>
    <s v="R-D-1"/>
    <n v="4"/>
    <x v="756"/>
    <s v="Asheville"/>
    <x v="0"/>
    <x v="0"/>
    <x v="0"/>
    <x v="2"/>
    <x v="0"/>
    <n v="8.9499999999999993"/>
    <n v="0.89499999999999991"/>
    <n v="0.53699999999999992"/>
    <x v="12"/>
    <x v="191"/>
  </r>
  <r>
    <d v="2020-05-26T00:00:00"/>
    <s v="A-D-0.5"/>
    <n v="3"/>
    <x v="757"/>
    <s v="Billings"/>
    <x v="0"/>
    <x v="0"/>
    <x v="2"/>
    <x v="2"/>
    <x v="1"/>
    <n v="5.97"/>
    <n v="1.194"/>
    <n v="0.5373"/>
    <x v="10"/>
    <x v="8"/>
  </r>
  <r>
    <d v="2019-07-26T00:00:00"/>
    <s v="R-D-1"/>
    <n v="1"/>
    <x v="758"/>
    <s v="Saint Louis"/>
    <x v="0"/>
    <x v="1"/>
    <x v="0"/>
    <x v="2"/>
    <x v="0"/>
    <n v="8.9499999999999993"/>
    <n v="0.89499999999999991"/>
    <n v="0.53699999999999992"/>
    <x v="37"/>
    <x v="192"/>
  </r>
  <r>
    <d v="2020-10-22T00:00:00"/>
    <s v="L-D-2.5"/>
    <n v="1"/>
    <x v="759"/>
    <s v="Independence"/>
    <x v="0"/>
    <x v="0"/>
    <x v="3"/>
    <x v="2"/>
    <x v="2"/>
    <n v="29.784999999999997"/>
    <n v="1.1913999999999998"/>
    <n v="3.8720499999999998"/>
    <x v="8"/>
    <x v="91"/>
  </r>
  <r>
    <d v="2020-12-24T00:00:00"/>
    <s v="E-L-0.5"/>
    <n v="5"/>
    <x v="760"/>
    <s v="Greensboro"/>
    <x v="0"/>
    <x v="1"/>
    <x v="1"/>
    <x v="1"/>
    <x v="1"/>
    <n v="8.91"/>
    <n v="1.782"/>
    <n v="0.98009999999999997"/>
    <x v="16"/>
    <x v="69"/>
  </r>
  <r>
    <d v="2019-09-06T00:00:00"/>
    <s v="E-L-1"/>
    <n v="6"/>
    <x v="761"/>
    <s v="Monroe"/>
    <x v="0"/>
    <x v="0"/>
    <x v="1"/>
    <x v="1"/>
    <x v="0"/>
    <n v="14.85"/>
    <n v="1.4849999999999999"/>
    <n v="1.6335"/>
    <x v="0"/>
    <x v="146"/>
  </r>
  <r>
    <d v="2019-04-08T00:00:00"/>
    <s v="L-M-0.5"/>
    <n v="5"/>
    <x v="762"/>
    <s v="Halton"/>
    <x v="2"/>
    <x v="1"/>
    <x v="3"/>
    <x v="0"/>
    <x v="1"/>
    <n v="8.73"/>
    <n v="1.746"/>
    <n v="1.1349"/>
    <x v="24"/>
    <x v="34"/>
  </r>
  <r>
    <d v="2022-01-26T00:00:00"/>
    <s v="A-L-0.5"/>
    <n v="3"/>
    <x v="763"/>
    <s v="Fort Worth"/>
    <x v="0"/>
    <x v="1"/>
    <x v="2"/>
    <x v="1"/>
    <x v="1"/>
    <n v="7.77"/>
    <n v="1.5539999999999998"/>
    <n v="0.69929999999999992"/>
    <x v="4"/>
    <x v="102"/>
  </r>
  <r>
    <d v="2019-11-28T00:00:00"/>
    <s v="A-L-2.5"/>
    <n v="6"/>
    <x v="764"/>
    <s v="Fargo"/>
    <x v="0"/>
    <x v="0"/>
    <x v="2"/>
    <x v="1"/>
    <x v="2"/>
    <n v="29.784999999999997"/>
    <n v="1.1913999999999998"/>
    <n v="2.6806499999999995"/>
    <x v="30"/>
    <x v="39"/>
  </r>
  <r>
    <d v="2019-07-21T00:00:00"/>
    <s v="R-M-1"/>
    <n v="6"/>
    <x v="765"/>
    <s v="Garland"/>
    <x v="0"/>
    <x v="0"/>
    <x v="0"/>
    <x v="0"/>
    <x v="0"/>
    <n v="9.9499999999999993"/>
    <n v="0.99499999999999988"/>
    <n v="0.59699999999999998"/>
    <x v="37"/>
    <x v="33"/>
  </r>
  <r>
    <d v="2019-07-21T00:00:00"/>
    <s v="A-L-0.5"/>
    <n v="2"/>
    <x v="766"/>
    <s v="Columbus"/>
    <x v="0"/>
    <x v="1"/>
    <x v="2"/>
    <x v="1"/>
    <x v="1"/>
    <n v="7.77"/>
    <n v="1.5539999999999998"/>
    <n v="0.69929999999999992"/>
    <x v="37"/>
    <x v="42"/>
  </r>
  <r>
    <d v="2021-03-12T00:00:00"/>
    <s v="A-L-2.5"/>
    <n v="3"/>
    <x v="767"/>
    <s v="Austin"/>
    <x v="0"/>
    <x v="1"/>
    <x v="2"/>
    <x v="1"/>
    <x v="2"/>
    <n v="29.784999999999997"/>
    <n v="1.1913999999999998"/>
    <n v="2.6806499999999995"/>
    <x v="7"/>
    <x v="49"/>
  </r>
  <r>
    <d v="2022-01-01T00:00:00"/>
    <s v="R-L-1"/>
    <n v="2"/>
    <x v="768"/>
    <s v="Montgomery"/>
    <x v="0"/>
    <x v="0"/>
    <x v="0"/>
    <x v="1"/>
    <x v="0"/>
    <n v="11.95"/>
    <n v="1.1949999999999998"/>
    <n v="0.71699999999999997"/>
    <x v="4"/>
    <x v="178"/>
  </r>
  <r>
    <d v="2020-03-22T00:00:00"/>
    <s v="R-M-2.5"/>
    <n v="6"/>
    <x v="769"/>
    <s v="Birmingham"/>
    <x v="2"/>
    <x v="1"/>
    <x v="0"/>
    <x v="0"/>
    <x v="2"/>
    <n v="22.884999999999998"/>
    <n v="0.91539999999999988"/>
    <n v="1.3730999999999998"/>
    <x v="36"/>
    <x v="170"/>
  </r>
  <r>
    <d v="2020-09-18T00:00:00"/>
    <s v="A-D-1"/>
    <n v="1"/>
    <x v="770"/>
    <s v="Springfield"/>
    <x v="0"/>
    <x v="1"/>
    <x v="2"/>
    <x v="2"/>
    <x v="0"/>
    <n v="9.9499999999999993"/>
    <n v="0.99499999999999988"/>
    <n v="0.89549999999999985"/>
    <x v="31"/>
    <x v="138"/>
  </r>
  <r>
    <d v="2019-01-03T00:00:00"/>
    <s v="R-L-0.5"/>
    <n v="3"/>
    <x v="771"/>
    <s v="Littleton"/>
    <x v="0"/>
    <x v="1"/>
    <x v="0"/>
    <x v="1"/>
    <x v="1"/>
    <n v="7.169999999999999"/>
    <n v="1.4339999999999997"/>
    <n v="0.43019999999999992"/>
    <x v="6"/>
    <x v="137"/>
  </r>
  <r>
    <d v="2021-09-29T00:00:00"/>
    <s v="E-M-1"/>
    <n v="6"/>
    <x v="772"/>
    <s v="Baltimore"/>
    <x v="0"/>
    <x v="1"/>
    <x v="1"/>
    <x v="0"/>
    <x v="0"/>
    <n v="13.75"/>
    <n v="1.375"/>
    <n v="1.5125"/>
    <x v="19"/>
    <x v="121"/>
  </r>
  <r>
    <d v="2021-10-19T00:00:00"/>
    <s v="L-M-0.2"/>
    <n v="2"/>
    <x v="773"/>
    <s v="Moycullen"/>
    <x v="1"/>
    <x v="1"/>
    <x v="3"/>
    <x v="0"/>
    <x v="3"/>
    <n v="4.3650000000000002"/>
    <n v="2.1825000000000001"/>
    <n v="0.56745000000000001"/>
    <x v="29"/>
    <x v="31"/>
  </r>
  <r>
    <d v="2022-07-14T00:00:00"/>
    <s v="R-M-1"/>
    <n v="2"/>
    <x v="774"/>
    <s v="Fort Lauderdale"/>
    <x v="0"/>
    <x v="0"/>
    <x v="0"/>
    <x v="0"/>
    <x v="0"/>
    <n v="9.9499999999999993"/>
    <n v="0.99499999999999988"/>
    <n v="0.59699999999999998"/>
    <x v="9"/>
    <x v="0"/>
  </r>
  <r>
    <d v="2021-07-19T00:00:00"/>
    <s v="E-L-0.5"/>
    <n v="2"/>
    <x v="775"/>
    <s v="San Diego"/>
    <x v="0"/>
    <x v="0"/>
    <x v="1"/>
    <x v="1"/>
    <x v="1"/>
    <n v="8.91"/>
    <n v="1.782"/>
    <n v="0.98009999999999997"/>
    <x v="2"/>
    <x v="58"/>
  </r>
  <r>
    <d v="2021-12-10T00:00:00"/>
    <s v="A-M-0.5"/>
    <n v="3"/>
    <x v="776"/>
    <s v="Dallas"/>
    <x v="0"/>
    <x v="1"/>
    <x v="2"/>
    <x v="0"/>
    <x v="1"/>
    <n v="6.75"/>
    <n v="1.35"/>
    <n v="0.60749999999999993"/>
    <x v="34"/>
    <x v="16"/>
  </r>
  <r>
    <d v="2019-03-17T00:00:00"/>
    <s v="A-L-2.5"/>
    <n v="2"/>
    <x v="777"/>
    <s v="Joliet"/>
    <x v="0"/>
    <x v="1"/>
    <x v="2"/>
    <x v="1"/>
    <x v="2"/>
    <n v="29.784999999999997"/>
    <n v="1.1913999999999998"/>
    <n v="2.6806499999999995"/>
    <x v="13"/>
    <x v="120"/>
  </r>
  <r>
    <d v="2020-02-28T00:00:00"/>
    <s v="L-L-0.5"/>
    <n v="2"/>
    <x v="778"/>
    <s v="Grand Rapids"/>
    <x v="0"/>
    <x v="0"/>
    <x v="3"/>
    <x v="1"/>
    <x v="1"/>
    <n v="9.51"/>
    <n v="1.9019999999999999"/>
    <n v="1.2363"/>
    <x v="35"/>
    <x v="81"/>
  </r>
  <r>
    <d v="2020-06-03T00:00:00"/>
    <s v="L-D-1"/>
    <n v="6"/>
    <x v="779"/>
    <s v="Clearwater"/>
    <x v="0"/>
    <x v="0"/>
    <x v="3"/>
    <x v="2"/>
    <x v="0"/>
    <n v="12.95"/>
    <n v="1.2949999999999999"/>
    <n v="1.6835"/>
    <x v="22"/>
    <x v="17"/>
  </r>
  <r>
    <d v="2020-02-22T00:00:00"/>
    <s v="E-M-1"/>
    <n v="3"/>
    <x v="780"/>
    <s v="Minneapolis"/>
    <x v="0"/>
    <x v="1"/>
    <x v="1"/>
    <x v="0"/>
    <x v="0"/>
    <n v="13.75"/>
    <n v="1.375"/>
    <n v="1.5125"/>
    <x v="35"/>
    <x v="1"/>
  </r>
  <r>
    <d v="2019-11-09T00:00:00"/>
    <s v="L-L-2.5"/>
    <n v="4"/>
    <x v="781"/>
    <s v="Lawrenceville"/>
    <x v="0"/>
    <x v="1"/>
    <x v="3"/>
    <x v="1"/>
    <x v="2"/>
    <n v="36.454999999999998"/>
    <n v="1.4581999999999999"/>
    <n v="4.7391499999999995"/>
    <x v="30"/>
    <x v="43"/>
  </r>
  <r>
    <d v="2020-03-07T00:00:00"/>
    <s v="E-L-0.2"/>
    <n v="6"/>
    <x v="782"/>
    <s v="Malahide"/>
    <x v="1"/>
    <x v="1"/>
    <x v="1"/>
    <x v="1"/>
    <x v="3"/>
    <n v="4.4550000000000001"/>
    <n v="2.2275"/>
    <n v="0.49004999999999999"/>
    <x v="36"/>
    <x v="149"/>
  </r>
  <r>
    <d v="2021-04-26T00:00:00"/>
    <s v="L-M-0.5"/>
    <n v="5"/>
    <x v="783"/>
    <s v="Tampa"/>
    <x v="0"/>
    <x v="0"/>
    <x v="3"/>
    <x v="0"/>
    <x v="1"/>
    <n v="8.73"/>
    <n v="1.746"/>
    <n v="1.1349"/>
    <x v="27"/>
    <x v="34"/>
  </r>
  <r>
    <d v="2021-11-11T00:00:00"/>
    <s v="L-L-1"/>
    <n v="2"/>
    <x v="784"/>
    <s v="Nashville"/>
    <x v="0"/>
    <x v="1"/>
    <x v="3"/>
    <x v="1"/>
    <x v="0"/>
    <n v="15.85"/>
    <n v="1.585"/>
    <n v="2.0605000000000002"/>
    <x v="26"/>
    <x v="124"/>
  </r>
  <r>
    <d v="2021-06-15T00:00:00"/>
    <s v="A-D-2.5"/>
    <n v="1"/>
    <x v="785"/>
    <s v="Miami"/>
    <x v="0"/>
    <x v="1"/>
    <x v="2"/>
    <x v="2"/>
    <x v="2"/>
    <n v="22.884999999999998"/>
    <n v="0.91539999999999988"/>
    <n v="2.0596499999999995"/>
    <x v="1"/>
    <x v="156"/>
  </r>
  <r>
    <d v="2020-02-27T00:00:00"/>
    <s v="E-D-2.5"/>
    <n v="1"/>
    <x v="786"/>
    <s v="Dayton"/>
    <x v="0"/>
    <x v="0"/>
    <x v="1"/>
    <x v="2"/>
    <x v="2"/>
    <n v="27.945"/>
    <n v="1.1177999999999999"/>
    <n v="3.07395"/>
    <x v="35"/>
    <x v="140"/>
  </r>
  <r>
    <d v="2021-04-19T00:00:00"/>
    <s v="E-M-1"/>
    <n v="6"/>
    <x v="787"/>
    <s v="Chicago"/>
    <x v="0"/>
    <x v="0"/>
    <x v="1"/>
    <x v="0"/>
    <x v="0"/>
    <n v="13.75"/>
    <n v="1.375"/>
    <n v="1.5125"/>
    <x v="27"/>
    <x v="121"/>
  </r>
  <r>
    <d v="2022-07-29T00:00:00"/>
    <s v="R-M-2.5"/>
    <n v="2"/>
    <x v="788"/>
    <s v="Arklow"/>
    <x v="1"/>
    <x v="0"/>
    <x v="0"/>
    <x v="0"/>
    <x v="2"/>
    <n v="22.884999999999998"/>
    <n v="0.91539999999999988"/>
    <n v="1.3730999999999998"/>
    <x v="9"/>
    <x v="135"/>
  </r>
  <r>
    <d v="2019-01-20T00:00:00"/>
    <s v="A-L-1"/>
    <n v="6"/>
    <x v="789"/>
    <s v="Richmond"/>
    <x v="0"/>
    <x v="1"/>
    <x v="2"/>
    <x v="1"/>
    <x v="0"/>
    <n v="12.95"/>
    <n v="1.2949999999999999"/>
    <n v="1.1655"/>
    <x v="6"/>
    <x v="17"/>
  </r>
  <r>
    <d v="2022-02-21T00:00:00"/>
    <s v="A-L-0.5"/>
    <n v="3"/>
    <x v="790"/>
    <s v="Olympia"/>
    <x v="0"/>
    <x v="1"/>
    <x v="2"/>
    <x v="1"/>
    <x v="1"/>
    <n v="7.77"/>
    <n v="1.5539999999999998"/>
    <n v="0.69929999999999992"/>
    <x v="18"/>
    <x v="102"/>
  </r>
  <r>
    <d v="2020-05-03T00:00:00"/>
    <s v="L-L-0.2"/>
    <n v="5"/>
    <x v="791"/>
    <s v="Arlington"/>
    <x v="0"/>
    <x v="0"/>
    <x v="3"/>
    <x v="1"/>
    <x v="3"/>
    <n v="4.7549999999999999"/>
    <n v="2.3774999999999999"/>
    <n v="0.61814999999999998"/>
    <x v="10"/>
    <x v="29"/>
  </r>
  <r>
    <d v="2019-03-21T00:00:00"/>
    <s v="L-M-0.5"/>
    <n v="6"/>
    <x v="792"/>
    <s v="Twyford"/>
    <x v="2"/>
    <x v="0"/>
    <x v="3"/>
    <x v="0"/>
    <x v="1"/>
    <n v="8.73"/>
    <n v="1.746"/>
    <n v="1.1349"/>
    <x v="13"/>
    <x v="28"/>
  </r>
  <r>
    <d v="2019-06-13T00:00:00"/>
    <s v="R-L-0.2"/>
    <n v="5"/>
    <x v="793"/>
    <s v="Roanoke"/>
    <x v="0"/>
    <x v="1"/>
    <x v="0"/>
    <x v="1"/>
    <x v="3"/>
    <n v="3.5849999999999995"/>
    <n v="1.7924999999999998"/>
    <n v="0.21509999999999996"/>
    <x v="15"/>
    <x v="131"/>
  </r>
  <r>
    <d v="2020-06-05T00:00:00"/>
    <s v="A-L-2.5"/>
    <n v="5"/>
    <x v="794"/>
    <s v="New Hyde Park"/>
    <x v="0"/>
    <x v="1"/>
    <x v="2"/>
    <x v="1"/>
    <x v="2"/>
    <n v="29.784999999999997"/>
    <n v="1.1913999999999998"/>
    <n v="2.6806499999999995"/>
    <x v="22"/>
    <x v="74"/>
  </r>
  <r>
    <d v="2019-03-16T00:00:00"/>
    <s v="R-L-0.5"/>
    <n v="4"/>
    <x v="795"/>
    <s v="Anaheim"/>
    <x v="0"/>
    <x v="1"/>
    <x v="0"/>
    <x v="1"/>
    <x v="1"/>
    <n v="7.169999999999999"/>
    <n v="1.4339999999999997"/>
    <n v="0.43019999999999992"/>
    <x v="13"/>
    <x v="139"/>
  </r>
  <r>
    <d v="2021-12-03T00:00:00"/>
    <s v="L-L-0.5"/>
    <n v="1"/>
    <x v="796"/>
    <s v="Lexington"/>
    <x v="0"/>
    <x v="1"/>
    <x v="3"/>
    <x v="1"/>
    <x v="1"/>
    <n v="9.51"/>
    <n v="1.9019999999999999"/>
    <n v="1.2363"/>
    <x v="34"/>
    <x v="54"/>
  </r>
  <r>
    <d v="2022-07-09T00:00:00"/>
    <s v="A-L-0.5"/>
    <n v="4"/>
    <x v="797"/>
    <s v="Tampa"/>
    <x v="0"/>
    <x v="1"/>
    <x v="2"/>
    <x v="1"/>
    <x v="1"/>
    <n v="7.77"/>
    <n v="1.5539999999999998"/>
    <n v="0.69929999999999992"/>
    <x v="9"/>
    <x v="113"/>
  </r>
  <r>
    <d v="2020-04-29T00:00:00"/>
    <s v="R-D-0.2"/>
    <n v="3"/>
    <x v="798"/>
    <s v="San Jose"/>
    <x v="0"/>
    <x v="0"/>
    <x v="0"/>
    <x v="2"/>
    <x v="3"/>
    <n v="2.6849999999999996"/>
    <n v="1.3424999999999998"/>
    <n v="0.16109999999999997"/>
    <x v="25"/>
    <x v="36"/>
  </r>
  <r>
    <d v="2022-01-27T00:00:00"/>
    <s v="E-D-1"/>
    <n v="3"/>
    <x v="799"/>
    <s v="Washington"/>
    <x v="0"/>
    <x v="0"/>
    <x v="1"/>
    <x v="2"/>
    <x v="0"/>
    <n v="12.15"/>
    <n v="1.2150000000000001"/>
    <n v="1.3365"/>
    <x v="4"/>
    <x v="114"/>
  </r>
  <r>
    <d v="2021-02-13T00:00:00"/>
    <s v="R-D-0.2"/>
    <n v="6"/>
    <x v="800"/>
    <s v="Daingean"/>
    <x v="1"/>
    <x v="1"/>
    <x v="0"/>
    <x v="2"/>
    <x v="3"/>
    <n v="2.6849999999999996"/>
    <n v="1.3424999999999998"/>
    <n v="0.16109999999999997"/>
    <x v="23"/>
    <x v="103"/>
  </r>
  <r>
    <d v="2020-07-13T00:00:00"/>
    <s v="R-D-2.5"/>
    <n v="2"/>
    <x v="801"/>
    <s v="Olympia"/>
    <x v="0"/>
    <x v="0"/>
    <x v="0"/>
    <x v="2"/>
    <x v="2"/>
    <n v="20.584999999999997"/>
    <n v="0.82339999999999991"/>
    <n v="1.2350999999999999"/>
    <x v="39"/>
    <x v="13"/>
  </r>
  <r>
    <d v="2020-03-12T00:00:00"/>
    <s v="R-D-0.2"/>
    <n v="4"/>
    <x v="802"/>
    <s v="Mesquite"/>
    <x v="0"/>
    <x v="1"/>
    <x v="0"/>
    <x v="2"/>
    <x v="3"/>
    <n v="2.6849999999999996"/>
    <n v="1.3424999999999998"/>
    <n v="0.16109999999999997"/>
    <x v="36"/>
    <x v="175"/>
  </r>
  <r>
    <d v="2020-05-04T00:00:00"/>
    <s v="E-M-2.5"/>
    <n v="4"/>
    <x v="803"/>
    <s v="Sacramento"/>
    <x v="0"/>
    <x v="1"/>
    <x v="1"/>
    <x v="0"/>
    <x v="2"/>
    <n v="31.624999999999996"/>
    <n v="1.2649999999999999"/>
    <n v="3.4787499999999998"/>
    <x v="10"/>
    <x v="177"/>
  </r>
  <r>
    <d v="2021-04-03T00:00:00"/>
    <s v="R-L-1"/>
    <n v="2"/>
    <x v="804"/>
    <s v="Newton"/>
    <x v="2"/>
    <x v="1"/>
    <x v="0"/>
    <x v="1"/>
    <x v="0"/>
    <n v="11.95"/>
    <n v="1.1949999999999998"/>
    <n v="0.71699999999999997"/>
    <x v="27"/>
    <x v="178"/>
  </r>
  <r>
    <d v="2022-06-01T00:00:00"/>
    <s v="R-M-0.5"/>
    <n v="1"/>
    <x v="805"/>
    <s v="Monticello"/>
    <x v="0"/>
    <x v="1"/>
    <x v="0"/>
    <x v="0"/>
    <x v="1"/>
    <n v="5.97"/>
    <n v="1.194"/>
    <n v="0.35819999999999996"/>
    <x v="12"/>
    <x v="9"/>
  </r>
  <r>
    <d v="2021-02-14T00:00:00"/>
    <s v="L-D-0.2"/>
    <n v="2"/>
    <x v="806"/>
    <s v="Kinloch"/>
    <x v="2"/>
    <x v="0"/>
    <x v="3"/>
    <x v="2"/>
    <x v="3"/>
    <n v="3.8849999999999998"/>
    <n v="1.9424999999999999"/>
    <n v="0.50505"/>
    <x v="23"/>
    <x v="41"/>
  </r>
  <r>
    <d v="2021-12-13T00:00:00"/>
    <s v="L-D-0.5"/>
    <n v="3"/>
    <x v="807"/>
    <s v="Balrothery"/>
    <x v="1"/>
    <x v="1"/>
    <x v="3"/>
    <x v="2"/>
    <x v="1"/>
    <n v="7.77"/>
    <n v="1.5539999999999998"/>
    <n v="1.0101"/>
    <x v="34"/>
    <x v="102"/>
  </r>
  <r>
    <d v="2020-02-07T00:00:00"/>
    <s v="R-L-2.5"/>
    <n v="5"/>
    <x v="808"/>
    <s v="Jamaica"/>
    <x v="0"/>
    <x v="0"/>
    <x v="0"/>
    <x v="1"/>
    <x v="2"/>
    <n v="27.484999999999996"/>
    <n v="1.0993999999999999"/>
    <n v="1.6490999999999998"/>
    <x v="35"/>
    <x v="187"/>
  </r>
  <r>
    <d v="2021-02-08T00:00:00"/>
    <s v="R-D-0.2"/>
    <n v="3"/>
    <x v="809"/>
    <s v="El Paso"/>
    <x v="0"/>
    <x v="0"/>
    <x v="0"/>
    <x v="2"/>
    <x v="3"/>
    <n v="2.6849999999999996"/>
    <n v="1.3424999999999998"/>
    <n v="0.16109999999999997"/>
    <x v="23"/>
    <x v="36"/>
  </r>
  <r>
    <d v="2020-08-11T00:00:00"/>
    <s v="L-L-0.5"/>
    <n v="3"/>
    <x v="810"/>
    <s v="Largo"/>
    <x v="0"/>
    <x v="1"/>
    <x v="3"/>
    <x v="1"/>
    <x v="1"/>
    <n v="9.51"/>
    <n v="1.9019999999999999"/>
    <n v="1.2363"/>
    <x v="42"/>
    <x v="32"/>
  </r>
  <r>
    <d v="2020-10-10T00:00:00"/>
    <s v="A-M-1"/>
    <n v="6"/>
    <x v="811"/>
    <s v="Foxrock"/>
    <x v="1"/>
    <x v="0"/>
    <x v="2"/>
    <x v="0"/>
    <x v="0"/>
    <n v="11.25"/>
    <n v="1.125"/>
    <n v="1.0125"/>
    <x v="8"/>
    <x v="173"/>
  </r>
  <r>
    <d v="2020-10-10T00:00:00"/>
    <s v="L-D-2.5"/>
    <n v="6"/>
    <x v="812"/>
    <s v="Burnside"/>
    <x v="2"/>
    <x v="0"/>
    <x v="3"/>
    <x v="2"/>
    <x v="2"/>
    <n v="29.784999999999997"/>
    <n v="1.1913999999999998"/>
    <n v="3.8720499999999998"/>
    <x v="8"/>
    <x v="39"/>
  </r>
  <r>
    <d v="2020-12-08T00:00:00"/>
    <s v="E-M-2.5"/>
    <n v="1"/>
    <x v="813"/>
    <s v="Oklahoma City"/>
    <x v="0"/>
    <x v="0"/>
    <x v="1"/>
    <x v="0"/>
    <x v="2"/>
    <n v="31.624999999999996"/>
    <n v="1.2649999999999999"/>
    <n v="3.4787499999999998"/>
    <x v="16"/>
    <x v="176"/>
  </r>
  <r>
    <d v="2019-04-18T00:00:00"/>
    <s v="E-L-0.2"/>
    <n v="2"/>
    <x v="814"/>
    <s v="Washington"/>
    <x v="0"/>
    <x v="1"/>
    <x v="1"/>
    <x v="1"/>
    <x v="3"/>
    <n v="4.4550000000000001"/>
    <n v="2.2275"/>
    <n v="0.49004999999999999"/>
    <x v="24"/>
    <x v="161"/>
  </r>
  <r>
    <d v="2021-01-04T00:00:00"/>
    <s v="R-M-0.5"/>
    <n v="6"/>
    <x v="815"/>
    <s v="Atlanta"/>
    <x v="0"/>
    <x v="1"/>
    <x v="0"/>
    <x v="0"/>
    <x v="1"/>
    <n v="5.97"/>
    <n v="1.194"/>
    <n v="0.35819999999999996"/>
    <x v="17"/>
    <x v="27"/>
  </r>
  <r>
    <d v="2019-03-10T00:00:00"/>
    <s v="L-L-0.5"/>
    <n v="4"/>
    <x v="816"/>
    <s v="Castlebridge"/>
    <x v="1"/>
    <x v="1"/>
    <x v="3"/>
    <x v="1"/>
    <x v="1"/>
    <n v="9.51"/>
    <n v="1.9019999999999999"/>
    <n v="1.2363"/>
    <x v="13"/>
    <x v="82"/>
  </r>
  <r>
    <d v="2019-11-29T00:00:00"/>
    <s v="L-D-0.5"/>
    <n v="2"/>
    <x v="817"/>
    <s v="Buffalo"/>
    <x v="0"/>
    <x v="1"/>
    <x v="3"/>
    <x v="2"/>
    <x v="1"/>
    <n v="7.77"/>
    <n v="1.5539999999999998"/>
    <n v="1.0101"/>
    <x v="30"/>
    <x v="42"/>
  </r>
  <r>
    <d v="2022-07-19T00:00:00"/>
    <s v="L-L-1"/>
    <n v="5"/>
    <x v="818"/>
    <s v="Houston"/>
    <x v="0"/>
    <x v="1"/>
    <x v="3"/>
    <x v="1"/>
    <x v="0"/>
    <n v="15.85"/>
    <n v="1.585"/>
    <n v="2.0605000000000002"/>
    <x v="9"/>
    <x v="180"/>
  </r>
  <r>
    <d v="2020-06-26T00:00:00"/>
    <s v="L-L-0.2"/>
    <n v="1"/>
    <x v="819"/>
    <s v="Washington"/>
    <x v="0"/>
    <x v="0"/>
    <x v="3"/>
    <x v="1"/>
    <x v="3"/>
    <n v="4.7549999999999999"/>
    <n v="2.3774999999999999"/>
    <n v="0.61814999999999998"/>
    <x v="22"/>
    <x v="7"/>
  </r>
  <r>
    <d v="2019-02-14T00:00:00"/>
    <s v="E-M-1"/>
    <n v="4"/>
    <x v="820"/>
    <s v="Austin"/>
    <x v="0"/>
    <x v="0"/>
    <x v="1"/>
    <x v="0"/>
    <x v="0"/>
    <n v="13.75"/>
    <n v="1.375"/>
    <n v="1.5125"/>
    <x v="20"/>
    <x v="193"/>
  </r>
  <r>
    <d v="2020-11-09T00:00:00"/>
    <s v="R-D-0.5"/>
    <n v="5"/>
    <x v="821"/>
    <s v="Mesa"/>
    <x v="0"/>
    <x v="1"/>
    <x v="0"/>
    <x v="2"/>
    <x v="1"/>
    <n v="5.3699999999999992"/>
    <n v="1.0739999999999998"/>
    <n v="0.32219999999999993"/>
    <x v="38"/>
    <x v="51"/>
  </r>
  <r>
    <d v="2019-04-30T00:00:00"/>
    <s v="E-L-2.5"/>
    <n v="4"/>
    <x v="822"/>
    <s v="Savannah"/>
    <x v="0"/>
    <x v="1"/>
    <x v="1"/>
    <x v="1"/>
    <x v="2"/>
    <n v="34.154999999999994"/>
    <n v="1.3661999999999999"/>
    <n v="3.7570499999999996"/>
    <x v="24"/>
    <x v="56"/>
  </r>
  <r>
    <d v="2020-10-30T00:00:00"/>
    <s v="L-L-1"/>
    <n v="3"/>
    <x v="823"/>
    <s v="Albuquerque"/>
    <x v="0"/>
    <x v="0"/>
    <x v="3"/>
    <x v="1"/>
    <x v="0"/>
    <n v="15.85"/>
    <n v="1.585"/>
    <n v="2.0605000000000002"/>
    <x v="8"/>
    <x v="46"/>
  </r>
  <r>
    <d v="2019-11-12T00:00:00"/>
    <s v="A-M-0.2"/>
    <n v="5"/>
    <x v="824"/>
    <s v="Charlotte"/>
    <x v="0"/>
    <x v="0"/>
    <x v="2"/>
    <x v="0"/>
    <x v="3"/>
    <n v="3.375"/>
    <n v="1.6875"/>
    <n v="0.30374999999999996"/>
    <x v="30"/>
    <x v="19"/>
  </r>
  <r>
    <d v="2022-02-11T00:00:00"/>
    <s v="A-D-1"/>
    <n v="3"/>
    <x v="825"/>
    <s v="San Diego"/>
    <x v="0"/>
    <x v="0"/>
    <x v="2"/>
    <x v="2"/>
    <x v="0"/>
    <n v="9.9499999999999993"/>
    <n v="0.99499999999999988"/>
    <n v="0.89549999999999985"/>
    <x v="18"/>
    <x v="44"/>
  </r>
  <r>
    <d v="2021-03-28T00:00:00"/>
    <s v="E-M-0.5"/>
    <n v="5"/>
    <x v="826"/>
    <s v="Pensacola"/>
    <x v="0"/>
    <x v="0"/>
    <x v="1"/>
    <x v="0"/>
    <x v="1"/>
    <n v="8.25"/>
    <n v="1.65"/>
    <n v="0.90749999999999997"/>
    <x v="7"/>
    <x v="1"/>
  </r>
  <r>
    <d v="2021-12-10T00:00:00"/>
    <s v="E-M-0.2"/>
    <n v="5"/>
    <x v="827"/>
    <s v="Washington"/>
    <x v="0"/>
    <x v="1"/>
    <x v="1"/>
    <x v="0"/>
    <x v="3"/>
    <n v="4.125"/>
    <n v="2.0625"/>
    <n v="0.45374999999999999"/>
    <x v="34"/>
    <x v="132"/>
  </r>
  <r>
    <d v="2021-11-05T00:00:00"/>
    <s v="A-D-2.5"/>
    <n v="6"/>
    <x v="828"/>
    <s v="Port Saint Lucie"/>
    <x v="0"/>
    <x v="0"/>
    <x v="2"/>
    <x v="2"/>
    <x v="2"/>
    <n v="22.884999999999998"/>
    <n v="0.91539999999999988"/>
    <n v="2.0596499999999995"/>
    <x v="26"/>
    <x v="170"/>
  </r>
  <r>
    <d v="2020-02-29T00:00:00"/>
    <s v="A-D-0.2"/>
    <n v="1"/>
    <x v="829"/>
    <s v="Huntington"/>
    <x v="0"/>
    <x v="1"/>
    <x v="2"/>
    <x v="2"/>
    <x v="3"/>
    <n v="2.9849999999999999"/>
    <n v="1.4924999999999999"/>
    <n v="0.26865"/>
    <x v="35"/>
    <x v="55"/>
  </r>
  <r>
    <d v="2021-08-06T00:00:00"/>
    <s v="E-M-1"/>
    <n v="2"/>
    <x v="830"/>
    <s v="Philadelphia"/>
    <x v="0"/>
    <x v="1"/>
    <x v="1"/>
    <x v="0"/>
    <x v="0"/>
    <n v="13.75"/>
    <n v="1.375"/>
    <n v="1.5125"/>
    <x v="3"/>
    <x v="3"/>
  </r>
  <r>
    <d v="2021-08-06T00:00:00"/>
    <s v="A-D-0.2"/>
    <n v="2"/>
    <x v="831"/>
    <s v="Oklahoma City"/>
    <x v="0"/>
    <x v="0"/>
    <x v="2"/>
    <x v="2"/>
    <x v="3"/>
    <n v="2.9849999999999999"/>
    <n v="1.4924999999999999"/>
    <n v="0.26865"/>
    <x v="3"/>
    <x v="9"/>
  </r>
  <r>
    <d v="2021-03-19T00:00:00"/>
    <s v="R-M-1"/>
    <n v="6"/>
    <x v="832"/>
    <s v="Naples"/>
    <x v="0"/>
    <x v="1"/>
    <x v="0"/>
    <x v="0"/>
    <x v="0"/>
    <n v="9.9499999999999993"/>
    <n v="0.99499999999999988"/>
    <n v="0.59699999999999998"/>
    <x v="7"/>
    <x v="33"/>
  </r>
  <r>
    <d v="2021-04-16T00:00:00"/>
    <s v="R-D-2.5"/>
    <n v="4"/>
    <x v="833"/>
    <s v="Fort Worth"/>
    <x v="0"/>
    <x v="0"/>
    <x v="0"/>
    <x v="2"/>
    <x v="2"/>
    <n v="20.584999999999997"/>
    <n v="0.82339999999999991"/>
    <n v="1.2350999999999999"/>
    <x v="27"/>
    <x v="18"/>
  </r>
  <r>
    <d v="2020-11-06T00:00:00"/>
    <s v="A-D-2.5"/>
    <n v="1"/>
    <x v="834"/>
    <s v="Omaha"/>
    <x v="0"/>
    <x v="1"/>
    <x v="2"/>
    <x v="2"/>
    <x v="2"/>
    <n v="22.884999999999998"/>
    <n v="0.91539999999999988"/>
    <n v="2.0596499999999995"/>
    <x v="38"/>
    <x v="156"/>
  </r>
  <r>
    <d v="2021-03-15T00:00:00"/>
    <s v="E-L-0.5"/>
    <n v="1"/>
    <x v="835"/>
    <s v="Tucson"/>
    <x v="0"/>
    <x v="0"/>
    <x v="1"/>
    <x v="1"/>
    <x v="1"/>
    <n v="8.91"/>
    <n v="1.782"/>
    <n v="0.98009999999999997"/>
    <x v="7"/>
    <x v="161"/>
  </r>
  <r>
    <d v="2021-10-17T00:00:00"/>
    <s v="A-D-0.2"/>
    <n v="4"/>
    <x v="836"/>
    <s v="Sparks"/>
    <x v="0"/>
    <x v="1"/>
    <x v="2"/>
    <x v="2"/>
    <x v="3"/>
    <n v="2.9849999999999999"/>
    <n v="1.4924999999999999"/>
    <n v="0.26865"/>
    <x v="29"/>
    <x v="22"/>
  </r>
  <r>
    <d v="2019-09-07T00:00:00"/>
    <s v="L-M-2.5"/>
    <n v="3"/>
    <x v="837"/>
    <s v="Orlando"/>
    <x v="0"/>
    <x v="0"/>
    <x v="3"/>
    <x v="0"/>
    <x v="2"/>
    <n v="33.464999999999996"/>
    <n v="1.3385999999999998"/>
    <n v="4.3504499999999995"/>
    <x v="0"/>
    <x v="64"/>
  </r>
  <r>
    <d v="2022-07-13T00:00:00"/>
    <s v="A-D-2.5"/>
    <n v="5"/>
    <x v="838"/>
    <s v="Washington"/>
    <x v="0"/>
    <x v="1"/>
    <x v="2"/>
    <x v="2"/>
    <x v="2"/>
    <n v="22.884999999999998"/>
    <n v="0.91539999999999988"/>
    <n v="2.0596499999999995"/>
    <x v="9"/>
    <x v="15"/>
  </r>
  <r>
    <d v="2021-11-21T00:00:00"/>
    <s v="E-M-0.5"/>
    <n v="5"/>
    <x v="839"/>
    <s v="Salinas"/>
    <x v="0"/>
    <x v="1"/>
    <x v="1"/>
    <x v="0"/>
    <x v="1"/>
    <n v="8.25"/>
    <n v="1.65"/>
    <n v="0.90749999999999997"/>
    <x v="26"/>
    <x v="1"/>
  </r>
  <r>
    <d v="2022-01-13T00:00:00"/>
    <s v="R-L-0.5"/>
    <n v="4"/>
    <x v="840"/>
    <s v="Fort Lauderdale"/>
    <x v="0"/>
    <x v="0"/>
    <x v="0"/>
    <x v="1"/>
    <x v="1"/>
    <n v="7.169999999999999"/>
    <n v="1.4339999999999997"/>
    <n v="0.43019999999999992"/>
    <x v="4"/>
    <x v="139"/>
  </r>
  <r>
    <d v="2022-07-13T00:00:00"/>
    <s v="L-M-0.2"/>
    <n v="1"/>
    <x v="841"/>
    <s v="El Paso"/>
    <x v="0"/>
    <x v="1"/>
    <x v="3"/>
    <x v="0"/>
    <x v="3"/>
    <n v="4.3650000000000002"/>
    <n v="2.1825000000000001"/>
    <n v="0.56745000000000001"/>
    <x v="9"/>
    <x v="189"/>
  </r>
  <r>
    <d v="2021-11-02T00:00:00"/>
    <s v="E-M-0.2"/>
    <n v="2"/>
    <x v="842"/>
    <s v="Glendale"/>
    <x v="0"/>
    <x v="0"/>
    <x v="1"/>
    <x v="0"/>
    <x v="3"/>
    <n v="4.125"/>
    <n v="2.0625"/>
    <n v="0.45374999999999999"/>
    <x v="26"/>
    <x v="112"/>
  </r>
  <r>
    <d v="2021-07-10T00:00:00"/>
    <s v="E-M-0.2"/>
    <n v="2"/>
    <x v="843"/>
    <s v="Alexandria"/>
    <x v="0"/>
    <x v="0"/>
    <x v="1"/>
    <x v="0"/>
    <x v="3"/>
    <n v="4.125"/>
    <n v="2.0625"/>
    <n v="0.45374999999999999"/>
    <x v="2"/>
    <x v="112"/>
  </r>
  <r>
    <d v="2021-10-07T00:00:00"/>
    <s v="A-D-0.5"/>
    <n v="6"/>
    <x v="844"/>
    <s v="Baltimore"/>
    <x v="0"/>
    <x v="0"/>
    <x v="2"/>
    <x v="2"/>
    <x v="1"/>
    <n v="5.97"/>
    <n v="1.194"/>
    <n v="0.5373"/>
    <x v="29"/>
    <x v="27"/>
  </r>
  <r>
    <d v="2020-02-28T00:00:00"/>
    <s v="E-D-2.5"/>
    <n v="6"/>
    <x v="845"/>
    <s v="Evansville"/>
    <x v="0"/>
    <x v="1"/>
    <x v="1"/>
    <x v="2"/>
    <x v="2"/>
    <n v="27.945"/>
    <n v="1.1177999999999999"/>
    <n v="3.07395"/>
    <x v="35"/>
    <x v="164"/>
  </r>
  <r>
    <d v="2022-07-05T00:00:00"/>
    <s v="A-M-2.5"/>
    <n v="2"/>
    <x v="846"/>
    <s v="Lawrenceville"/>
    <x v="0"/>
    <x v="0"/>
    <x v="2"/>
    <x v="0"/>
    <x v="2"/>
    <n v="25.874999999999996"/>
    <n v="1.0349999999999999"/>
    <n v="2.3287499999999994"/>
    <x v="9"/>
    <x v="95"/>
  </r>
  <r>
    <d v="2021-09-21T00:00:00"/>
    <s v="A-D-0.2"/>
    <n v="3"/>
    <x v="847"/>
    <s v="Mobile"/>
    <x v="0"/>
    <x v="0"/>
    <x v="2"/>
    <x v="2"/>
    <x v="3"/>
    <n v="2.9849999999999999"/>
    <n v="1.4924999999999999"/>
    <n v="0.26865"/>
    <x v="19"/>
    <x v="169"/>
  </r>
  <r>
    <d v="2019-01-03T00:00:00"/>
    <s v="E-L-0.5"/>
    <n v="6"/>
    <x v="848"/>
    <s v="Midland"/>
    <x v="0"/>
    <x v="1"/>
    <x v="1"/>
    <x v="1"/>
    <x v="1"/>
    <n v="8.91"/>
    <n v="1.782"/>
    <n v="0.98009999999999997"/>
    <x v="6"/>
    <x v="119"/>
  </r>
  <r>
    <d v="2022-03-08T00:00:00"/>
    <s v="A-L-0.2"/>
    <n v="6"/>
    <x v="849"/>
    <s v="Hollywood"/>
    <x v="0"/>
    <x v="0"/>
    <x v="2"/>
    <x v="1"/>
    <x v="3"/>
    <n v="3.8849999999999998"/>
    <n v="1.9424999999999999"/>
    <n v="0.34964999999999996"/>
    <x v="33"/>
    <x v="102"/>
  </r>
  <r>
    <d v="2022-03-08T00:00:00"/>
    <s v="A-M-0.2"/>
    <n v="2"/>
    <x v="850"/>
    <s v="Topeka"/>
    <x v="0"/>
    <x v="0"/>
    <x v="2"/>
    <x v="0"/>
    <x v="3"/>
    <n v="3.375"/>
    <n v="1.6875"/>
    <n v="0.30374999999999996"/>
    <x v="33"/>
    <x v="52"/>
  </r>
  <r>
    <d v="2020-03-10T00:00:00"/>
    <s v="L-D-0.5"/>
    <n v="1"/>
    <x v="851"/>
    <s v="Chico"/>
    <x v="0"/>
    <x v="0"/>
    <x v="3"/>
    <x v="2"/>
    <x v="1"/>
    <n v="7.77"/>
    <n v="1.5539999999999998"/>
    <n v="1.0101"/>
    <x v="36"/>
    <x v="41"/>
  </r>
  <r>
    <d v="2021-11-27T00:00:00"/>
    <s v="L-D-2.5"/>
    <n v="4"/>
    <x v="852"/>
    <s v="Austin"/>
    <x v="0"/>
    <x v="0"/>
    <x v="3"/>
    <x v="2"/>
    <x v="2"/>
    <n v="29.784999999999997"/>
    <n v="1.1913999999999998"/>
    <n v="3.8720499999999998"/>
    <x v="26"/>
    <x v="129"/>
  </r>
  <r>
    <d v="2021-03-04T00:00:00"/>
    <s v="A-D-1"/>
    <n v="2"/>
    <x v="853"/>
    <s v="El Paso"/>
    <x v="0"/>
    <x v="1"/>
    <x v="2"/>
    <x v="2"/>
    <x v="0"/>
    <n v="9.9499999999999993"/>
    <n v="0.99499999999999988"/>
    <n v="0.89549999999999985"/>
    <x v="7"/>
    <x v="0"/>
  </r>
  <r>
    <d v="2021-11-16T00:00:00"/>
    <s v="R-L-0.5"/>
    <n v="5"/>
    <x v="854"/>
    <s v="Charleston"/>
    <x v="0"/>
    <x v="0"/>
    <x v="0"/>
    <x v="1"/>
    <x v="1"/>
    <n v="7.169999999999999"/>
    <n v="1.4339999999999997"/>
    <n v="0.43019999999999992"/>
    <x v="26"/>
    <x v="66"/>
  </r>
  <r>
    <d v="2019-06-16T00:00:00"/>
    <s v="L-D-2.5"/>
    <n v="3"/>
    <x v="855"/>
    <s v="Allentown"/>
    <x v="0"/>
    <x v="1"/>
    <x v="3"/>
    <x v="2"/>
    <x v="2"/>
    <n v="29.784999999999997"/>
    <n v="1.1913999999999998"/>
    <n v="3.8720499999999998"/>
    <x v="15"/>
    <x v="49"/>
  </r>
  <r>
    <d v="2020-07-19T00:00:00"/>
    <s v="L-M-0.2"/>
    <n v="2"/>
    <x v="856"/>
    <s v="London"/>
    <x v="2"/>
    <x v="0"/>
    <x v="3"/>
    <x v="0"/>
    <x v="3"/>
    <n v="4.3650000000000002"/>
    <n v="2.1825000000000001"/>
    <n v="0.56745000000000001"/>
    <x v="39"/>
    <x v="31"/>
  </r>
  <r>
    <d v="2020-02-28T00:00:00"/>
    <s v="R-L-2.5"/>
    <n v="5"/>
    <x v="857"/>
    <s v="Largo"/>
    <x v="0"/>
    <x v="1"/>
    <x v="0"/>
    <x v="1"/>
    <x v="2"/>
    <n v="27.484999999999996"/>
    <n v="1.0993999999999999"/>
    <n v="1.6490999999999998"/>
    <x v="35"/>
    <x v="187"/>
  </r>
  <r>
    <d v="2019-06-22T00:00:00"/>
    <s v="L-M-0.5"/>
    <n v="4"/>
    <x v="858"/>
    <s v="Fargo"/>
    <x v="0"/>
    <x v="1"/>
    <x v="3"/>
    <x v="0"/>
    <x v="1"/>
    <n v="8.73"/>
    <n v="1.746"/>
    <n v="1.1349"/>
    <x v="15"/>
    <x v="190"/>
  </r>
  <r>
    <d v="2019-09-08T00:00:00"/>
    <s v="A-L-2.5"/>
    <n v="6"/>
    <x v="859"/>
    <s v="Fort Smith"/>
    <x v="0"/>
    <x v="1"/>
    <x v="2"/>
    <x v="1"/>
    <x v="2"/>
    <n v="29.784999999999997"/>
    <n v="1.1913999999999998"/>
    <n v="2.6806499999999995"/>
    <x v="0"/>
    <x v="39"/>
  </r>
  <r>
    <d v="2022-05-26T00:00:00"/>
    <s v="A-M-2.5"/>
    <n v="1"/>
    <x v="860"/>
    <s v="Lakeland"/>
    <x v="0"/>
    <x v="1"/>
    <x v="2"/>
    <x v="0"/>
    <x v="2"/>
    <n v="25.874999999999996"/>
    <n v="1.0349999999999999"/>
    <n v="2.3287499999999994"/>
    <x v="5"/>
    <x v="145"/>
  </r>
  <r>
    <d v="2019-12-03T00:00:00"/>
    <s v="L-D-1"/>
    <n v="6"/>
    <x v="861"/>
    <s v="Knoxville"/>
    <x v="0"/>
    <x v="0"/>
    <x v="3"/>
    <x v="2"/>
    <x v="0"/>
    <n v="12.95"/>
    <n v="1.2949999999999999"/>
    <n v="1.6835"/>
    <x v="40"/>
    <x v="17"/>
  </r>
  <r>
    <d v="2019-09-17T00:00:00"/>
    <s v="R-M-1"/>
    <n v="1"/>
    <x v="862"/>
    <s v="Los Angeles"/>
    <x v="0"/>
    <x v="0"/>
    <x v="0"/>
    <x v="0"/>
    <x v="0"/>
    <n v="9.9499999999999993"/>
    <n v="0.99499999999999988"/>
    <n v="0.59699999999999998"/>
    <x v="0"/>
    <x v="138"/>
  </r>
  <r>
    <d v="2022-05-31T00:00:00"/>
    <s v="L-M-1"/>
    <n v="2"/>
    <x v="863"/>
    <s v="Miami"/>
    <x v="0"/>
    <x v="0"/>
    <x v="3"/>
    <x v="0"/>
    <x v="0"/>
    <n v="14.55"/>
    <n v="1.4550000000000001"/>
    <n v="1.8915000000000002"/>
    <x v="5"/>
    <x v="194"/>
  </r>
  <r>
    <d v="2019-10-21T00:00:00"/>
    <s v="R-L-0.2"/>
    <n v="6"/>
    <x v="864"/>
    <s v="Clones"/>
    <x v="1"/>
    <x v="1"/>
    <x v="0"/>
    <x v="1"/>
    <x v="3"/>
    <n v="3.5849999999999995"/>
    <n v="1.7924999999999998"/>
    <n v="0.21509999999999996"/>
    <x v="14"/>
    <x v="137"/>
  </r>
  <r>
    <d v="2022-04-24T00:00:00"/>
    <s v="A-M-0.5"/>
    <n v="1"/>
    <x v="865"/>
    <s v="Chicago"/>
    <x v="0"/>
    <x v="0"/>
    <x v="2"/>
    <x v="0"/>
    <x v="1"/>
    <n v="6.75"/>
    <n v="1.35"/>
    <n v="0.60749999999999993"/>
    <x v="11"/>
    <x v="52"/>
  </r>
  <r>
    <d v="2021-01-13T00:00:00"/>
    <s v="A-D-0.5"/>
    <n v="3"/>
    <x v="866"/>
    <s v="Greystones"/>
    <x v="1"/>
    <x v="1"/>
    <x v="2"/>
    <x v="2"/>
    <x v="1"/>
    <n v="5.97"/>
    <n v="1.194"/>
    <n v="0.5373"/>
    <x v="17"/>
    <x v="8"/>
  </r>
  <r>
    <d v="2022-08-19T00:00:00"/>
    <s v="A-L-2.5"/>
    <n v="1"/>
    <x v="867"/>
    <s v="Monaghan"/>
    <x v="1"/>
    <x v="0"/>
    <x v="2"/>
    <x v="1"/>
    <x v="2"/>
    <n v="29.784999999999997"/>
    <n v="1.1913999999999998"/>
    <n v="2.6806499999999995"/>
    <x v="21"/>
    <x v="91"/>
  </r>
  <r>
    <d v="2019-03-02T00:00:00"/>
    <s v="E-M-0.5"/>
    <n v="5"/>
    <x v="868"/>
    <s v="Pompano Beach"/>
    <x v="0"/>
    <x v="0"/>
    <x v="1"/>
    <x v="0"/>
    <x v="1"/>
    <n v="8.25"/>
    <n v="1.65"/>
    <n v="0.90749999999999997"/>
    <x v="13"/>
    <x v="1"/>
  </r>
  <r>
    <d v="2020-01-21T00:00:00"/>
    <s v="R-M-0.5"/>
    <n v="3"/>
    <x v="869"/>
    <s v="Sacramento"/>
    <x v="0"/>
    <x v="0"/>
    <x v="0"/>
    <x v="0"/>
    <x v="1"/>
    <n v="5.97"/>
    <n v="1.194"/>
    <n v="0.35819999999999996"/>
    <x v="32"/>
    <x v="8"/>
  </r>
  <r>
    <d v="2021-09-21T00:00:00"/>
    <s v="E-D-0.5"/>
    <n v="1"/>
    <x v="870"/>
    <s v="Clonskeagh"/>
    <x v="1"/>
    <x v="0"/>
    <x v="1"/>
    <x v="2"/>
    <x v="1"/>
    <n v="7.29"/>
    <n v="1.458"/>
    <n v="0.80190000000000006"/>
    <x v="19"/>
    <x v="35"/>
  </r>
  <r>
    <d v="2019-08-30T00:00:00"/>
    <s v="E-L-1"/>
    <n v="2"/>
    <x v="871"/>
    <s v="Kirkton"/>
    <x v="2"/>
    <x v="0"/>
    <x v="1"/>
    <x v="1"/>
    <x v="0"/>
    <n v="14.85"/>
    <n v="1.4849999999999999"/>
    <n v="1.6335"/>
    <x v="41"/>
    <x v="195"/>
  </r>
  <r>
    <d v="2019-02-25T00:00:00"/>
    <s v="A-M-1"/>
    <n v="2"/>
    <x v="872"/>
    <s v="Asheville"/>
    <x v="0"/>
    <x v="1"/>
    <x v="2"/>
    <x v="0"/>
    <x v="0"/>
    <n v="11.25"/>
    <n v="1.125"/>
    <n v="1.0125"/>
    <x v="20"/>
    <x v="122"/>
  </r>
  <r>
    <d v="2019-09-17T00:00:00"/>
    <s v="R-M-0.2"/>
    <n v="4"/>
    <x v="873"/>
    <s v="Charleston"/>
    <x v="0"/>
    <x v="0"/>
    <x v="0"/>
    <x v="0"/>
    <x v="3"/>
    <n v="2.9849999999999999"/>
    <n v="1.4924999999999999"/>
    <n v="0.17909999999999998"/>
    <x v="0"/>
    <x v="22"/>
  </r>
  <r>
    <d v="2019-08-03T00:00:00"/>
    <s v="A-L-1"/>
    <n v="2"/>
    <x v="874"/>
    <s v="Houston"/>
    <x v="0"/>
    <x v="1"/>
    <x v="2"/>
    <x v="1"/>
    <x v="0"/>
    <n v="12.95"/>
    <n v="1.2949999999999999"/>
    <n v="1.1655"/>
    <x v="41"/>
    <x v="109"/>
  </r>
  <r>
    <d v="2021-02-26T00:00:00"/>
    <s v="L-M-0.5"/>
    <n v="5"/>
    <x v="875"/>
    <s v="Confey"/>
    <x v="1"/>
    <x v="1"/>
    <x v="3"/>
    <x v="0"/>
    <x v="1"/>
    <n v="8.73"/>
    <n v="1.746"/>
    <n v="1.1349"/>
    <x v="23"/>
    <x v="34"/>
  </r>
  <r>
    <d v="2021-02-26T00:00:00"/>
    <s v="A-L-0.5"/>
    <n v="6"/>
    <x v="876"/>
    <s v="Washington"/>
    <x v="0"/>
    <x v="0"/>
    <x v="2"/>
    <x v="1"/>
    <x v="1"/>
    <n v="7.77"/>
    <n v="1.5539999999999998"/>
    <n v="0.69929999999999992"/>
    <x v="23"/>
    <x v="162"/>
  </r>
  <r>
    <d v="2021-08-03T00:00:00"/>
    <s v="L-L-0.5"/>
    <n v="3"/>
    <x v="877"/>
    <s v="Newark"/>
    <x v="0"/>
    <x v="1"/>
    <x v="3"/>
    <x v="1"/>
    <x v="1"/>
    <n v="9.51"/>
    <n v="1.9019999999999999"/>
    <n v="1.2363"/>
    <x v="3"/>
    <x v="32"/>
  </r>
  <r>
    <d v="2021-05-07T00:00:00"/>
    <s v="R-L-2.5"/>
    <n v="1"/>
    <x v="878"/>
    <s v="Seattle"/>
    <x v="0"/>
    <x v="0"/>
    <x v="0"/>
    <x v="1"/>
    <x v="2"/>
    <n v="27.484999999999996"/>
    <n v="1.0993999999999999"/>
    <n v="1.6490999999999998"/>
    <x v="43"/>
    <x v="142"/>
  </r>
  <r>
    <d v="2019-06-14T00:00:00"/>
    <s v="E-D-0.2"/>
    <n v="3"/>
    <x v="879"/>
    <s v="Englewood"/>
    <x v="0"/>
    <x v="1"/>
    <x v="1"/>
    <x v="2"/>
    <x v="3"/>
    <n v="3.645"/>
    <n v="1.8225"/>
    <n v="0.40095000000000003"/>
    <x v="15"/>
    <x v="47"/>
  </r>
  <r>
    <d v="2019-11-21T00:00:00"/>
    <s v="R-L-0.2"/>
    <n v="2"/>
    <x v="880"/>
    <s v="Rockford"/>
    <x v="0"/>
    <x v="1"/>
    <x v="0"/>
    <x v="1"/>
    <x v="3"/>
    <n v="3.5849999999999995"/>
    <n v="1.7924999999999998"/>
    <n v="0.21509999999999996"/>
    <x v="30"/>
    <x v="53"/>
  </r>
  <r>
    <d v="2021-03-31T00:00:00"/>
    <s v="A-L-0.2"/>
    <n v="6"/>
    <x v="881"/>
    <s v="Billings"/>
    <x v="0"/>
    <x v="0"/>
    <x v="2"/>
    <x v="1"/>
    <x v="3"/>
    <n v="3.8849999999999998"/>
    <n v="1.9424999999999999"/>
    <n v="0.34964999999999996"/>
    <x v="7"/>
    <x v="102"/>
  </r>
  <r>
    <d v="2019-07-01T00:00:00"/>
    <s v="A-D-2.5"/>
    <n v="5"/>
    <x v="882"/>
    <s v="Atlanta"/>
    <x v="0"/>
    <x v="1"/>
    <x v="2"/>
    <x v="2"/>
    <x v="2"/>
    <n v="22.884999999999998"/>
    <n v="0.91539999999999988"/>
    <n v="2.0596499999999995"/>
    <x v="37"/>
    <x v="15"/>
  </r>
  <r>
    <d v="2020-05-05T00:00:00"/>
    <s v="A-M-2.5"/>
    <n v="3"/>
    <x v="883"/>
    <s v="Tulsa"/>
    <x v="0"/>
    <x v="0"/>
    <x v="2"/>
    <x v="0"/>
    <x v="2"/>
    <n v="25.874999999999996"/>
    <n v="1.0349999999999999"/>
    <n v="2.3287499999999994"/>
    <x v="10"/>
    <x v="57"/>
  </r>
  <r>
    <d v="2020-04-20T00:00:00"/>
    <s v="R-D-0.5"/>
    <n v="1"/>
    <x v="884"/>
    <s v="Fresno"/>
    <x v="0"/>
    <x v="0"/>
    <x v="0"/>
    <x v="2"/>
    <x v="1"/>
    <n v="5.3699999999999992"/>
    <n v="1.0739999999999998"/>
    <n v="0.32219999999999993"/>
    <x v="25"/>
    <x v="147"/>
  </r>
  <r>
    <d v="2019-07-18T00:00:00"/>
    <s v="R-D-2.5"/>
    <n v="6"/>
    <x v="885"/>
    <s v="Mullagh"/>
    <x v="1"/>
    <x v="1"/>
    <x v="0"/>
    <x v="2"/>
    <x v="2"/>
    <n v="20.584999999999997"/>
    <n v="0.82339999999999991"/>
    <n v="1.2350999999999999"/>
    <x v="37"/>
    <x v="99"/>
  </r>
  <r>
    <d v="2021-11-18T00:00:00"/>
    <s v="L-M-0.5"/>
    <n v="2"/>
    <x v="886"/>
    <s v="San Francisco"/>
    <x v="0"/>
    <x v="1"/>
    <x v="3"/>
    <x v="0"/>
    <x v="1"/>
    <n v="8.73"/>
    <n v="1.746"/>
    <n v="1.1349"/>
    <x v="26"/>
    <x v="92"/>
  </r>
  <r>
    <d v="2020-06-20T00:00:00"/>
    <s v="E-L-0.2"/>
    <n v="3"/>
    <x v="887"/>
    <s v="Mobile"/>
    <x v="0"/>
    <x v="1"/>
    <x v="1"/>
    <x v="1"/>
    <x v="3"/>
    <n v="4.4550000000000001"/>
    <n v="2.2275"/>
    <n v="0.49004999999999999"/>
    <x v="22"/>
    <x v="77"/>
  </r>
  <r>
    <d v="2021-04-06T00:00:00"/>
    <s v="A-L-0.2"/>
    <n v="2"/>
    <x v="888"/>
    <s v="San Francisco"/>
    <x v="0"/>
    <x v="0"/>
    <x v="2"/>
    <x v="1"/>
    <x v="3"/>
    <n v="3.8849999999999998"/>
    <n v="1.9424999999999999"/>
    <n v="0.34964999999999996"/>
    <x v="27"/>
    <x v="41"/>
  </r>
  <r>
    <d v="2019-06-17T00:00:00"/>
    <s v="R-D-0.2"/>
    <n v="1"/>
    <x v="889"/>
    <s v="Jamaica"/>
    <x v="0"/>
    <x v="0"/>
    <x v="0"/>
    <x v="2"/>
    <x v="3"/>
    <n v="2.6849999999999996"/>
    <n v="1.3424999999999998"/>
    <n v="0.16109999999999997"/>
    <x v="15"/>
    <x v="97"/>
  </r>
  <r>
    <d v="2022-03-26T00:00:00"/>
    <s v="R-D-2.5"/>
    <n v="1"/>
    <x v="890"/>
    <s v="Denver"/>
    <x v="0"/>
    <x v="0"/>
    <x v="0"/>
    <x v="2"/>
    <x v="2"/>
    <n v="20.584999999999997"/>
    <n v="0.82339999999999991"/>
    <n v="1.2350999999999999"/>
    <x v="33"/>
    <x v="123"/>
  </r>
  <r>
    <d v="2021-09-30T00:00:00"/>
    <s v="A-D-2.5"/>
    <n v="5"/>
    <x v="891"/>
    <s v="San Diego"/>
    <x v="0"/>
    <x v="0"/>
    <x v="2"/>
    <x v="2"/>
    <x v="2"/>
    <n v="22.884999999999998"/>
    <n v="0.91539999999999988"/>
    <n v="2.0596499999999995"/>
    <x v="19"/>
    <x v="15"/>
  </r>
  <r>
    <d v="2019-06-19T00:00:00"/>
    <s v="E-M-0.2"/>
    <n v="5"/>
    <x v="892"/>
    <s v="Preston"/>
    <x v="2"/>
    <x v="1"/>
    <x v="1"/>
    <x v="0"/>
    <x v="3"/>
    <n v="4.125"/>
    <n v="2.0625"/>
    <n v="0.45374999999999999"/>
    <x v="15"/>
    <x v="132"/>
  </r>
  <r>
    <d v="2022-03-31T00:00:00"/>
    <s v="L-L-0.5"/>
    <n v="6"/>
    <x v="893"/>
    <s v="Pittsburgh"/>
    <x v="0"/>
    <x v="0"/>
    <x v="3"/>
    <x v="1"/>
    <x v="1"/>
    <n v="9.51"/>
    <n v="1.9019999999999999"/>
    <n v="1.2363"/>
    <x v="33"/>
    <x v="30"/>
  </r>
  <r>
    <d v="2020-07-04T00:00:00"/>
    <s v="R-D-2.5"/>
    <n v="4"/>
    <x v="894"/>
    <s v="Cavan"/>
    <x v="1"/>
    <x v="0"/>
    <x v="0"/>
    <x v="2"/>
    <x v="2"/>
    <n v="20.584999999999997"/>
    <n v="0.82339999999999991"/>
    <n v="1.2350999999999999"/>
    <x v="39"/>
    <x v="18"/>
  </r>
  <r>
    <d v="2021-11-21T00:00:00"/>
    <s v="E-M-2.5"/>
    <n v="5"/>
    <x v="895"/>
    <s v="New York City"/>
    <x v="0"/>
    <x v="1"/>
    <x v="1"/>
    <x v="0"/>
    <x v="2"/>
    <n v="31.624999999999996"/>
    <n v="1.2649999999999999"/>
    <n v="3.4787499999999998"/>
    <x v="26"/>
    <x v="196"/>
  </r>
  <r>
    <d v="2021-05-31T00:00:00"/>
    <s v="R-D-0.5"/>
    <n v="6"/>
    <x v="896"/>
    <s v="Seattle"/>
    <x v="0"/>
    <x v="0"/>
    <x v="0"/>
    <x v="2"/>
    <x v="1"/>
    <n v="5.3699999999999992"/>
    <n v="1.0739999999999998"/>
    <n v="0.32219999999999993"/>
    <x v="43"/>
    <x v="111"/>
  </r>
  <r>
    <d v="2020-04-11T00:00:00"/>
    <s v="E-D-1"/>
    <n v="2"/>
    <x v="897"/>
    <s v="Birmingham"/>
    <x v="2"/>
    <x v="1"/>
    <x v="1"/>
    <x v="2"/>
    <x v="0"/>
    <n v="12.15"/>
    <n v="1.2150000000000001"/>
    <n v="1.3365"/>
    <x v="25"/>
    <x v="76"/>
  </r>
  <r>
    <d v="2020-09-15T00:00:00"/>
    <s v="R-L-0.5"/>
    <n v="5"/>
    <x v="898"/>
    <s v="Battle Creek"/>
    <x v="0"/>
    <x v="1"/>
    <x v="0"/>
    <x v="1"/>
    <x v="1"/>
    <n v="7.169999999999999"/>
    <n v="1.4339999999999997"/>
    <n v="0.43019999999999992"/>
    <x v="31"/>
    <x v="66"/>
  </r>
  <r>
    <d v="2021-11-23T00:00:00"/>
    <s v="L-M-1"/>
    <n v="5"/>
    <x v="899"/>
    <s v="Edgeworthstown"/>
    <x v="1"/>
    <x v="0"/>
    <x v="3"/>
    <x v="0"/>
    <x v="0"/>
    <n v="14.55"/>
    <n v="1.4550000000000001"/>
    <n v="1.8915000000000002"/>
    <x v="26"/>
    <x v="45"/>
  </r>
  <r>
    <d v="2022-01-23T00:00:00"/>
    <s v="L-L-1"/>
    <n v="3"/>
    <x v="900"/>
    <s v="Ballymun"/>
    <x v="1"/>
    <x v="1"/>
    <x v="3"/>
    <x v="1"/>
    <x v="0"/>
    <n v="15.85"/>
    <n v="1.585"/>
    <n v="2.0605000000000002"/>
    <x v="4"/>
    <x v="46"/>
  </r>
  <r>
    <d v="2021-01-27T00:00:00"/>
    <s v="R-L-0.2"/>
    <n v="1"/>
    <x v="901"/>
    <s v="Houston"/>
    <x v="0"/>
    <x v="0"/>
    <x v="0"/>
    <x v="1"/>
    <x v="3"/>
    <n v="3.5849999999999995"/>
    <n v="1.7924999999999998"/>
    <n v="0.21509999999999996"/>
    <x v="17"/>
    <x v="60"/>
  </r>
  <r>
    <d v="2019-06-24T00:00:00"/>
    <s v="E-M-2.5"/>
    <n v="5"/>
    <x v="902"/>
    <s v="Cincinnati"/>
    <x v="0"/>
    <x v="1"/>
    <x v="1"/>
    <x v="0"/>
    <x v="2"/>
    <n v="31.624999999999996"/>
    <n v="1.2649999999999999"/>
    <n v="3.4787499999999998"/>
    <x v="15"/>
    <x v="196"/>
  </r>
  <r>
    <d v="2020-03-15T00:00:00"/>
    <s v="L-M-0.5"/>
    <n v="2"/>
    <x v="903"/>
    <s v="Fresno"/>
    <x v="0"/>
    <x v="1"/>
    <x v="3"/>
    <x v="0"/>
    <x v="1"/>
    <n v="8.73"/>
    <n v="1.746"/>
    <n v="1.1349"/>
    <x v="36"/>
    <x v="92"/>
  </r>
  <r>
    <d v="2021-09-24T00:00:00"/>
    <s v="A-L-2.5"/>
    <n v="5"/>
    <x v="904"/>
    <s v="Saint Paul"/>
    <x v="0"/>
    <x v="1"/>
    <x v="2"/>
    <x v="1"/>
    <x v="2"/>
    <n v="29.784999999999997"/>
    <n v="1.1913999999999998"/>
    <n v="2.6806499999999995"/>
    <x v="19"/>
    <x v="74"/>
  </r>
  <r>
    <d v="2019-04-05T00:00:00"/>
    <s v="A-M-0.5"/>
    <n v="6"/>
    <x v="905"/>
    <s v="El Paso"/>
    <x v="0"/>
    <x v="0"/>
    <x v="2"/>
    <x v="0"/>
    <x v="1"/>
    <n v="6.75"/>
    <n v="1.35"/>
    <n v="0.60749999999999993"/>
    <x v="24"/>
    <x v="61"/>
  </r>
  <r>
    <d v="2022-01-27T00:00:00"/>
    <s v="A-M-0.5"/>
    <n v="4"/>
    <x v="906"/>
    <s v="Des Moines"/>
    <x v="0"/>
    <x v="0"/>
    <x v="2"/>
    <x v="0"/>
    <x v="1"/>
    <n v="6.75"/>
    <n v="1.35"/>
    <n v="0.60749999999999993"/>
    <x v="4"/>
    <x v="25"/>
  </r>
  <r>
    <d v="2021-09-10T00:00:00"/>
    <s v="L-D-1"/>
    <n v="3"/>
    <x v="907"/>
    <s v="Portland"/>
    <x v="0"/>
    <x v="1"/>
    <x v="3"/>
    <x v="2"/>
    <x v="0"/>
    <n v="12.95"/>
    <n v="1.2949999999999999"/>
    <n v="1.6835"/>
    <x v="19"/>
    <x v="5"/>
  </r>
  <r>
    <d v="2020-01-06T00:00:00"/>
    <s v="R-L-1"/>
    <n v="5"/>
    <x v="908"/>
    <s v="Houston"/>
    <x v="0"/>
    <x v="1"/>
    <x v="0"/>
    <x v="1"/>
    <x v="0"/>
    <n v="11.95"/>
    <n v="1.1949999999999998"/>
    <n v="0.71699999999999997"/>
    <x v="32"/>
    <x v="143"/>
  </r>
  <r>
    <d v="2022-03-15T00:00:00"/>
    <s v="R-L-0.2"/>
    <n v="3"/>
    <x v="909"/>
    <s v="Durham"/>
    <x v="0"/>
    <x v="1"/>
    <x v="0"/>
    <x v="1"/>
    <x v="3"/>
    <n v="3.5849999999999995"/>
    <n v="1.7924999999999998"/>
    <n v="0.21509999999999996"/>
    <x v="33"/>
    <x v="127"/>
  </r>
  <r>
    <d v="2021-09-08T00:00:00"/>
    <s v="A-D-2.5"/>
    <n v="4"/>
    <x v="910"/>
    <s v="Boston"/>
    <x v="0"/>
    <x v="1"/>
    <x v="2"/>
    <x v="2"/>
    <x v="2"/>
    <n v="22.884999999999998"/>
    <n v="0.91539999999999988"/>
    <n v="2.0596499999999995"/>
    <x v="19"/>
    <x v="21"/>
  </r>
  <r>
    <d v="2021-11-11T00:00:00"/>
    <s v="A-M-1"/>
    <n v="4"/>
    <x v="911"/>
    <s v="Washington"/>
    <x v="0"/>
    <x v="0"/>
    <x v="2"/>
    <x v="0"/>
    <x v="0"/>
    <n v="11.25"/>
    <n v="1.125"/>
    <n v="1.0125"/>
    <x v="26"/>
    <x v="157"/>
  </r>
  <r>
    <d v="2019-09-18T00:00:00"/>
    <s v="R-M-2.5"/>
    <n v="6"/>
    <x v="912"/>
    <s v="Albany"/>
    <x v="0"/>
    <x v="0"/>
    <x v="0"/>
    <x v="0"/>
    <x v="2"/>
    <n v="22.884999999999998"/>
    <n v="0.91539999999999988"/>
    <n v="1.3730999999999998"/>
    <x v="0"/>
    <x v="170"/>
  </r>
  <r>
    <d v="2021-07-29T00:00:00"/>
    <s v="A-M-0.5"/>
    <n v="1"/>
    <x v="913"/>
    <s v="Tucson"/>
    <x v="0"/>
    <x v="1"/>
    <x v="2"/>
    <x v="0"/>
    <x v="1"/>
    <n v="6.75"/>
    <n v="1.35"/>
    <n v="0.60749999999999993"/>
    <x v="2"/>
    <x v="52"/>
  </r>
  <r>
    <d v="2022-03-20T00:00:00"/>
    <s v="A-M-1"/>
    <n v="4"/>
    <x v="914"/>
    <s v="Montgomery"/>
    <x v="0"/>
    <x v="1"/>
    <x v="2"/>
    <x v="0"/>
    <x v="0"/>
    <n v="11.25"/>
    <n v="1.125"/>
    <n v="1.0125"/>
    <x v="33"/>
    <x v="157"/>
  </r>
  <r>
    <d v="2020-05-04T00:00:00"/>
    <s v="E-D-2.5"/>
    <n v="3"/>
    <x v="915"/>
    <s v="Fairbanks"/>
    <x v="0"/>
    <x v="0"/>
    <x v="1"/>
    <x v="2"/>
    <x v="2"/>
    <n v="27.945"/>
    <n v="1.1177999999999999"/>
    <n v="3.07395"/>
    <x v="10"/>
    <x v="171"/>
  </r>
  <r>
    <d v="2021-04-05T00:00:00"/>
    <s v="E-D-0.2"/>
    <n v="1"/>
    <x v="916"/>
    <s v="Monasterevin"/>
    <x v="1"/>
    <x v="0"/>
    <x v="1"/>
    <x v="2"/>
    <x v="3"/>
    <n v="3.645"/>
    <n v="1.8225"/>
    <n v="0.40095000000000003"/>
    <x v="27"/>
    <x v="186"/>
  </r>
  <r>
    <d v="2022-01-12T00:00:00"/>
    <s v="A-M-0.5"/>
    <n v="1"/>
    <x v="917"/>
    <s v="Norton"/>
    <x v="2"/>
    <x v="1"/>
    <x v="2"/>
    <x v="0"/>
    <x v="1"/>
    <n v="6.75"/>
    <n v="1.35"/>
    <n v="0.60749999999999993"/>
    <x v="4"/>
    <x v="52"/>
  </r>
  <r>
    <d v="2022-01-12T00:00:00"/>
    <s v="E-D-0.5"/>
    <n v="3"/>
    <x v="918"/>
    <s v="Clearwater"/>
    <x v="0"/>
    <x v="1"/>
    <x v="1"/>
    <x v="2"/>
    <x v="1"/>
    <n v="7.29"/>
    <n v="1.458"/>
    <n v="0.80190000000000006"/>
    <x v="4"/>
    <x v="6"/>
  </r>
  <r>
    <d v="2020-12-16T00:00:00"/>
    <s v="R-D-0.2"/>
    <n v="5"/>
    <x v="919"/>
    <s v="Lexington"/>
    <x v="0"/>
    <x v="0"/>
    <x v="0"/>
    <x v="2"/>
    <x v="3"/>
    <n v="2.6849999999999996"/>
    <n v="1.3424999999999998"/>
    <n v="0.16109999999999997"/>
    <x v="16"/>
    <x v="148"/>
  </r>
  <r>
    <d v="2022-05-30T00:00:00"/>
    <s v="R-D-2.5"/>
    <n v="6"/>
    <x v="920"/>
    <s v="Grand Rapids"/>
    <x v="0"/>
    <x v="1"/>
    <x v="0"/>
    <x v="2"/>
    <x v="2"/>
    <n v="20.584999999999997"/>
    <n v="0.82339999999999991"/>
    <n v="1.2350999999999999"/>
    <x v="5"/>
    <x v="99"/>
  </r>
  <r>
    <d v="2021-11-09T00:00:00"/>
    <s v="L-D-0.2"/>
    <n v="2"/>
    <x v="921"/>
    <s v="Des Moines"/>
    <x v="0"/>
    <x v="1"/>
    <x v="3"/>
    <x v="2"/>
    <x v="3"/>
    <n v="3.8849999999999998"/>
    <n v="1.9424999999999999"/>
    <n v="0.50505"/>
    <x v="26"/>
    <x v="41"/>
  </r>
  <r>
    <d v="2022-04-08T00:00:00"/>
    <s v="A-M-1"/>
    <n v="6"/>
    <x v="922"/>
    <s v="Wilmington"/>
    <x v="0"/>
    <x v="0"/>
    <x v="2"/>
    <x v="0"/>
    <x v="0"/>
    <n v="11.25"/>
    <n v="1.125"/>
    <n v="1.0125"/>
    <x v="11"/>
    <x v="173"/>
  </r>
  <r>
    <d v="2019-10-08T00:00:00"/>
    <s v="E-D-2.5"/>
    <n v="1"/>
    <x v="923"/>
    <s v="Austin"/>
    <x v="0"/>
    <x v="1"/>
    <x v="1"/>
    <x v="2"/>
    <x v="2"/>
    <n v="27.945"/>
    <n v="1.1177999999999999"/>
    <n v="3.07395"/>
    <x v="14"/>
    <x v="140"/>
  </r>
  <r>
    <d v="2021-09-12T00:00:00"/>
    <s v="A-L-2.5"/>
    <n v="3"/>
    <x v="924"/>
    <s v="Orlando"/>
    <x v="0"/>
    <x v="1"/>
    <x v="2"/>
    <x v="1"/>
    <x v="2"/>
    <n v="29.784999999999997"/>
    <n v="1.1913999999999998"/>
    <n v="2.6806499999999995"/>
    <x v="19"/>
    <x v="49"/>
  </r>
  <r>
    <d v="2022-07-28T00:00:00"/>
    <s v="A-M-0.5"/>
    <n v="3"/>
    <x v="925"/>
    <s v="Pasadena"/>
    <x v="0"/>
    <x v="0"/>
    <x v="2"/>
    <x v="0"/>
    <x v="1"/>
    <n v="6.75"/>
    <n v="1.35"/>
    <n v="0.60749999999999993"/>
    <x v="9"/>
    <x v="16"/>
  </r>
  <r>
    <d v="2020-06-30T00:00:00"/>
    <s v="A-M-0.5"/>
    <n v="5"/>
    <x v="926"/>
    <s v="Washington"/>
    <x v="0"/>
    <x v="0"/>
    <x v="2"/>
    <x v="0"/>
    <x v="1"/>
    <n v="6.75"/>
    <n v="1.35"/>
    <n v="0.60749999999999993"/>
    <x v="22"/>
    <x v="65"/>
  </r>
  <r>
    <d v="2019-01-09T00:00:00"/>
    <s v="E-D-2.5"/>
    <n v="4"/>
    <x v="927"/>
    <s v="Portland"/>
    <x v="0"/>
    <x v="1"/>
    <x v="1"/>
    <x v="2"/>
    <x v="2"/>
    <n v="27.945"/>
    <n v="1.1177999999999999"/>
    <n v="3.07395"/>
    <x v="6"/>
    <x v="150"/>
  </r>
  <r>
    <d v="2022-07-12T00:00:00"/>
    <s v="E-M-2.5"/>
    <n v="2"/>
    <x v="928"/>
    <s v="New York City"/>
    <x v="0"/>
    <x v="0"/>
    <x v="1"/>
    <x v="0"/>
    <x v="2"/>
    <n v="31.624999999999996"/>
    <n v="1.2649999999999999"/>
    <n v="3.4787499999999998"/>
    <x v="9"/>
    <x v="40"/>
  </r>
  <r>
    <d v="2020-11-30T00:00:00"/>
    <s v="E-L-0.2"/>
    <n v="2"/>
    <x v="929"/>
    <s v="Washington"/>
    <x v="0"/>
    <x v="0"/>
    <x v="1"/>
    <x v="1"/>
    <x v="3"/>
    <n v="4.4550000000000001"/>
    <n v="2.2275"/>
    <n v="0.49004999999999999"/>
    <x v="38"/>
    <x v="161"/>
  </r>
  <r>
    <d v="2019-03-22T00:00:00"/>
    <s v="E-D-1"/>
    <n v="1"/>
    <x v="930"/>
    <s v="Washington"/>
    <x v="0"/>
    <x v="0"/>
    <x v="1"/>
    <x v="2"/>
    <x v="0"/>
    <n v="12.15"/>
    <n v="1.2150000000000001"/>
    <n v="1.3365"/>
    <x v="13"/>
    <x v="87"/>
  </r>
  <r>
    <d v="2022-02-15T00:00:00"/>
    <s v="A-D-0.5"/>
    <n v="4"/>
    <x v="931"/>
    <s v="Allentown"/>
    <x v="0"/>
    <x v="0"/>
    <x v="2"/>
    <x v="2"/>
    <x v="1"/>
    <n v="5.97"/>
    <n v="1.194"/>
    <n v="0.5373"/>
    <x v="18"/>
    <x v="86"/>
  </r>
  <r>
    <d v="2020-10-13T00:00:00"/>
    <s v="E-M-1"/>
    <n v="4"/>
    <x v="932"/>
    <s v="Miami"/>
    <x v="0"/>
    <x v="1"/>
    <x v="1"/>
    <x v="0"/>
    <x v="0"/>
    <n v="13.75"/>
    <n v="1.375"/>
    <n v="1.5125"/>
    <x v="8"/>
    <x v="193"/>
  </r>
  <r>
    <d v="2021-12-27T00:00:00"/>
    <s v="R-D-1"/>
    <n v="3"/>
    <x v="933"/>
    <s v="Oklahoma City"/>
    <x v="0"/>
    <x v="0"/>
    <x v="0"/>
    <x v="2"/>
    <x v="0"/>
    <n v="8.9499999999999993"/>
    <n v="0.89499999999999991"/>
    <n v="0.53699999999999992"/>
    <x v="34"/>
    <x v="166"/>
  </r>
  <r>
    <d v="2021-08-01T00:00:00"/>
    <s v="R-M-2.5"/>
    <n v="5"/>
    <x v="934"/>
    <s v="Rockford"/>
    <x v="0"/>
    <x v="1"/>
    <x v="0"/>
    <x v="0"/>
    <x v="2"/>
    <n v="22.884999999999998"/>
    <n v="0.91539999999999988"/>
    <n v="1.3730999999999998"/>
    <x v="3"/>
    <x v="15"/>
  </r>
  <r>
    <d v="2020-11-18T00:00:00"/>
    <s v="A-M-2.5"/>
    <n v="6"/>
    <x v="935"/>
    <s v="Montgomery"/>
    <x v="0"/>
    <x v="0"/>
    <x v="2"/>
    <x v="0"/>
    <x v="2"/>
    <n v="25.874999999999996"/>
    <n v="1.0349999999999999"/>
    <n v="2.3287499999999994"/>
    <x v="38"/>
    <x v="71"/>
  </r>
  <r>
    <d v="2021-10-24T00:00:00"/>
    <s v="L-D-0.5"/>
    <n v="3"/>
    <x v="936"/>
    <s v="Pasadena"/>
    <x v="0"/>
    <x v="0"/>
    <x v="3"/>
    <x v="2"/>
    <x v="1"/>
    <n v="7.77"/>
    <n v="1.5539999999999998"/>
    <n v="1.0101"/>
    <x v="29"/>
    <x v="102"/>
  </r>
  <r>
    <d v="2021-10-24T00:00:00"/>
    <s v="R-M-2.5"/>
    <n v="4"/>
    <x v="937"/>
    <s v="Chicago"/>
    <x v="0"/>
    <x v="1"/>
    <x v="0"/>
    <x v="0"/>
    <x v="2"/>
    <n v="22.884999999999998"/>
    <n v="0.91539999999999988"/>
    <n v="1.3730999999999998"/>
    <x v="29"/>
    <x v="21"/>
  </r>
  <r>
    <d v="2019-12-30T00:00:00"/>
    <s v="E-L-1"/>
    <n v="5"/>
    <x v="938"/>
    <s v="Houston"/>
    <x v="0"/>
    <x v="0"/>
    <x v="1"/>
    <x v="1"/>
    <x v="0"/>
    <n v="14.85"/>
    <n v="1.4849999999999999"/>
    <n v="1.6335"/>
    <x v="40"/>
    <x v="159"/>
  </r>
  <r>
    <d v="2021-02-02T00:00:00"/>
    <s v="L-L-0.2"/>
    <n v="6"/>
    <x v="939"/>
    <s v="Muskegon"/>
    <x v="0"/>
    <x v="1"/>
    <x v="3"/>
    <x v="1"/>
    <x v="3"/>
    <n v="4.7549999999999999"/>
    <n v="2.3774999999999999"/>
    <n v="0.61814999999999998"/>
    <x v="23"/>
    <x v="32"/>
  </r>
  <r>
    <d v="2021-05-16T00:00:00"/>
    <s v="R-L-0.5"/>
    <n v="2"/>
    <x v="940"/>
    <s v="Washington"/>
    <x v="0"/>
    <x v="0"/>
    <x v="0"/>
    <x v="1"/>
    <x v="1"/>
    <n v="7.169999999999999"/>
    <n v="1.4339999999999997"/>
    <n v="0.43019999999999992"/>
    <x v="43"/>
    <x v="79"/>
  </r>
  <r>
    <d v="2022-04-23T00:00:00"/>
    <s v="A-L-0.5"/>
    <n v="2"/>
    <x v="941"/>
    <s v="Sallins"/>
    <x v="1"/>
    <x v="0"/>
    <x v="2"/>
    <x v="1"/>
    <x v="1"/>
    <n v="7.77"/>
    <n v="1.5539999999999998"/>
    <n v="0.69929999999999992"/>
    <x v="11"/>
    <x v="42"/>
  </r>
  <r>
    <d v="2021-09-25T00:00:00"/>
    <s v="R-L-1"/>
    <n v="3"/>
    <x v="942"/>
    <s v="Macon"/>
    <x v="0"/>
    <x v="1"/>
    <x v="0"/>
    <x v="1"/>
    <x v="0"/>
    <n v="11.95"/>
    <n v="1.1949999999999998"/>
    <n v="0.71699999999999997"/>
    <x v="19"/>
    <x v="66"/>
  </r>
  <r>
    <d v="2022-06-07T00:00:00"/>
    <s v="A-L-0.5"/>
    <n v="6"/>
    <x v="943"/>
    <s v="Shreveport"/>
    <x v="0"/>
    <x v="1"/>
    <x v="2"/>
    <x v="1"/>
    <x v="1"/>
    <n v="7.77"/>
    <n v="1.5539999999999998"/>
    <n v="0.69929999999999992"/>
    <x v="12"/>
    <x v="162"/>
  </r>
  <r>
    <d v="2020-08-11T00:00:00"/>
    <s v="R-L-0.5"/>
    <n v="5"/>
    <x v="944"/>
    <s v="Tacoma"/>
    <x v="0"/>
    <x v="1"/>
    <x v="0"/>
    <x v="1"/>
    <x v="1"/>
    <n v="7.169999999999999"/>
    <n v="1.4339999999999997"/>
    <n v="0.43019999999999992"/>
    <x v="42"/>
    <x v="66"/>
  </r>
  <r>
    <d v="2019-02-28T00:00:00"/>
    <s v="L-D-2.5"/>
    <n v="4"/>
    <x v="945"/>
    <s v="El Paso"/>
    <x v="0"/>
    <x v="1"/>
    <x v="3"/>
    <x v="2"/>
    <x v="2"/>
    <n v="29.784999999999997"/>
    <n v="1.1913999999999998"/>
    <n v="3.8720499999999998"/>
    <x v="20"/>
    <x v="129"/>
  </r>
  <r>
    <d v="2019-09-11T00:00:00"/>
    <s v="L-D-0.5"/>
    <n v="3"/>
    <x v="946"/>
    <s v="Birmingham"/>
    <x v="0"/>
    <x v="1"/>
    <x v="3"/>
    <x v="2"/>
    <x v="1"/>
    <n v="7.77"/>
    <n v="1.5539999999999998"/>
    <n v="1.0101"/>
    <x v="0"/>
    <x v="102"/>
  </r>
  <r>
    <d v="2021-04-08T00:00:00"/>
    <s v="A-M-1"/>
    <n v="1"/>
    <x v="947"/>
    <s v="Portumna"/>
    <x v="1"/>
    <x v="1"/>
    <x v="2"/>
    <x v="0"/>
    <x v="0"/>
    <n v="11.25"/>
    <n v="1.125"/>
    <n v="1.0125"/>
    <x v="27"/>
    <x v="23"/>
  </r>
  <r>
    <d v="2021-09-06T00:00:00"/>
    <s v="E-D-2.5"/>
    <n v="3"/>
    <x v="948"/>
    <s v="London"/>
    <x v="2"/>
    <x v="0"/>
    <x v="1"/>
    <x v="2"/>
    <x v="2"/>
    <n v="27.945"/>
    <n v="1.1177999999999999"/>
    <n v="3.07395"/>
    <x v="19"/>
    <x v="171"/>
  </r>
  <r>
    <d v="2021-09-10T00:00:00"/>
    <s v="R-L-2.5"/>
    <n v="4"/>
    <x v="949"/>
    <s v="Castlemartyr"/>
    <x v="1"/>
    <x v="1"/>
    <x v="0"/>
    <x v="1"/>
    <x v="2"/>
    <n v="27.484999999999996"/>
    <n v="1.0993999999999999"/>
    <n v="1.6490999999999998"/>
    <x v="19"/>
    <x v="108"/>
  </r>
  <r>
    <d v="2022-05-22T00:00:00"/>
    <s v="R-L-0.2"/>
    <n v="4"/>
    <x v="950"/>
    <s v="Wilmington"/>
    <x v="0"/>
    <x v="0"/>
    <x v="0"/>
    <x v="1"/>
    <x v="3"/>
    <n v="3.5849999999999995"/>
    <n v="1.7924999999999998"/>
    <n v="0.21509999999999996"/>
    <x v="5"/>
    <x v="79"/>
  </r>
  <r>
    <d v="2020-09-18T00:00:00"/>
    <s v="R-L-0.2"/>
    <n v="6"/>
    <x v="951"/>
    <s v="Harrisburg"/>
    <x v="0"/>
    <x v="1"/>
    <x v="0"/>
    <x v="1"/>
    <x v="3"/>
    <n v="3.5849999999999995"/>
    <n v="1.7924999999999998"/>
    <n v="0.21509999999999996"/>
    <x v="31"/>
    <x v="137"/>
  </r>
  <r>
    <d v="2021-08-31T00:00:00"/>
    <s v="A-M-1"/>
    <n v="2"/>
    <x v="952"/>
    <s v="Sallins"/>
    <x v="1"/>
    <x v="0"/>
    <x v="2"/>
    <x v="0"/>
    <x v="0"/>
    <n v="11.25"/>
    <n v="1.125"/>
    <n v="1.0125"/>
    <x v="3"/>
    <x v="122"/>
  </r>
  <r>
    <d v="2022-01-21T00:00:00"/>
    <s v="A-L-0.2"/>
    <n v="1"/>
    <x v="953"/>
    <s v="El Paso"/>
    <x v="0"/>
    <x v="0"/>
    <x v="2"/>
    <x v="1"/>
    <x v="3"/>
    <n v="3.8849999999999998"/>
    <n v="1.9424999999999999"/>
    <n v="0.34964999999999996"/>
    <x v="4"/>
    <x v="84"/>
  </r>
  <r>
    <d v="2022-06-10T00:00:00"/>
    <s v="E-D-2.5"/>
    <n v="1"/>
    <x v="954"/>
    <s v="Saint Louis"/>
    <x v="0"/>
    <x v="0"/>
    <x v="1"/>
    <x v="2"/>
    <x v="2"/>
    <n v="27.945"/>
    <n v="1.1177999999999999"/>
    <n v="3.07395"/>
    <x v="12"/>
    <x v="140"/>
  </r>
  <r>
    <d v="2019-04-27T00:00:00"/>
    <s v="E-L-2.5"/>
    <n v="5"/>
    <x v="955"/>
    <s v="Fort Smith"/>
    <x v="0"/>
    <x v="0"/>
    <x v="1"/>
    <x v="1"/>
    <x v="2"/>
    <n v="34.154999999999994"/>
    <n v="1.3661999999999999"/>
    <n v="3.7570499999999996"/>
    <x v="24"/>
    <x v="11"/>
  </r>
  <r>
    <d v="2019-04-27T00:00:00"/>
    <s v="R-L-2.5"/>
    <n v="2"/>
    <x v="956"/>
    <s v="Nashville"/>
    <x v="0"/>
    <x v="1"/>
    <x v="0"/>
    <x v="1"/>
    <x v="2"/>
    <n v="27.484999999999996"/>
    <n v="1.0993999999999999"/>
    <n v="1.6490999999999998"/>
    <x v="24"/>
    <x v="4"/>
  </r>
  <r>
    <d v="2019-04-27T00:00:00"/>
    <s v="E-L-1"/>
    <n v="1"/>
    <x v="957"/>
    <s v="Washington"/>
    <x v="0"/>
    <x v="0"/>
    <x v="1"/>
    <x v="1"/>
    <x v="0"/>
    <n v="14.85"/>
    <n v="1.4849999999999999"/>
    <n v="1.6335"/>
    <x v="24"/>
    <x v="151"/>
  </r>
  <r>
    <d v="2019-04-27T00:00:00"/>
    <s v="A-L-0.2"/>
    <n v="2"/>
    <x v="958"/>
    <s v="Inglewood"/>
    <x v="0"/>
    <x v="0"/>
    <x v="2"/>
    <x v="1"/>
    <x v="3"/>
    <n v="3.8849999999999998"/>
    <n v="1.9424999999999999"/>
    <n v="0.34964999999999996"/>
    <x v="24"/>
    <x v="41"/>
  </r>
  <r>
    <d v="2022-02-06T00:00:00"/>
    <s v="L-L-0.2"/>
    <n v="5"/>
    <x v="959"/>
    <s v="Little Rock"/>
    <x v="0"/>
    <x v="0"/>
    <x v="3"/>
    <x v="1"/>
    <x v="3"/>
    <n v="4.7549999999999999"/>
    <n v="2.3774999999999999"/>
    <n v="0.61814999999999998"/>
    <x v="18"/>
    <x v="29"/>
  </r>
  <r>
    <d v="2022-01-30T00:00:00"/>
    <s v="L-L-1"/>
    <n v="5"/>
    <x v="960"/>
    <s v="Hagerstown"/>
    <x v="0"/>
    <x v="0"/>
    <x v="3"/>
    <x v="1"/>
    <x v="0"/>
    <n v="15.85"/>
    <n v="1.585"/>
    <n v="2.0605000000000002"/>
    <x v="4"/>
    <x v="180"/>
  </r>
  <r>
    <d v="2020-11-23T00:00:00"/>
    <s v="A-D-2.5"/>
    <n v="2"/>
    <x v="961"/>
    <s v="Albany"/>
    <x v="0"/>
    <x v="0"/>
    <x v="2"/>
    <x v="2"/>
    <x v="2"/>
    <n v="22.884999999999998"/>
    <n v="0.91539999999999988"/>
    <n v="2.0596499999999995"/>
    <x v="38"/>
    <x v="135"/>
  </r>
  <r>
    <d v="2022-04-13T00:00:00"/>
    <s v="R-D-1"/>
    <n v="1"/>
    <x v="962"/>
    <s v="Crossmolina"/>
    <x v="1"/>
    <x v="0"/>
    <x v="0"/>
    <x v="2"/>
    <x v="0"/>
    <n v="8.9499999999999993"/>
    <n v="0.89499999999999991"/>
    <n v="0.53699999999999992"/>
    <x v="11"/>
    <x v="192"/>
  </r>
  <r>
    <d v="2021-01-07T00:00:00"/>
    <s v="R-M-0.5"/>
    <n v="4"/>
    <x v="963"/>
    <s v="Lexington"/>
    <x v="0"/>
    <x v="0"/>
    <x v="0"/>
    <x v="0"/>
    <x v="1"/>
    <n v="5.97"/>
    <n v="1.194"/>
    <n v="0.35819999999999996"/>
    <x v="17"/>
    <x v="86"/>
  </r>
  <r>
    <d v="2020-02-04T00:00:00"/>
    <s v="E-L-0.2"/>
    <n v="5"/>
    <x v="964"/>
    <s v="San Diego"/>
    <x v="0"/>
    <x v="1"/>
    <x v="1"/>
    <x v="1"/>
    <x v="3"/>
    <n v="4.4550000000000001"/>
    <n v="2.2275"/>
    <n v="0.49004999999999999"/>
    <x v="35"/>
    <x v="110"/>
  </r>
  <r>
    <d v="2019-09-16T00:00:00"/>
    <s v="R-M-1"/>
    <n v="3"/>
    <x v="965"/>
    <s v="Los Angeles"/>
    <x v="0"/>
    <x v="0"/>
    <x v="0"/>
    <x v="0"/>
    <x v="0"/>
    <n v="9.9499999999999993"/>
    <n v="0.99499999999999988"/>
    <n v="0.59699999999999998"/>
    <x v="0"/>
    <x v="44"/>
  </r>
  <r>
    <d v="2019-01-26T00:00:00"/>
    <s v="E-L-0.5"/>
    <n v="6"/>
    <x v="966"/>
    <s v="Brooklyn"/>
    <x v="0"/>
    <x v="0"/>
    <x v="1"/>
    <x v="1"/>
    <x v="1"/>
    <n v="8.91"/>
    <n v="1.782"/>
    <n v="0.98009999999999997"/>
    <x v="6"/>
    <x v="119"/>
  </r>
  <r>
    <d v="2021-02-19T00:00:00"/>
    <s v="R-D-0.2"/>
    <n v="1"/>
    <x v="967"/>
    <s v="Booterstown"/>
    <x v="1"/>
    <x v="0"/>
    <x v="0"/>
    <x v="2"/>
    <x v="3"/>
    <n v="2.6849999999999996"/>
    <n v="1.3424999999999998"/>
    <n v="0.16109999999999997"/>
    <x v="23"/>
    <x v="97"/>
  </r>
  <r>
    <d v="2022-03-22T00:00:00"/>
    <s v="R-M-0.2"/>
    <n v="2"/>
    <x v="968"/>
    <s v="Gainesville"/>
    <x v="0"/>
    <x v="1"/>
    <x v="0"/>
    <x v="0"/>
    <x v="3"/>
    <n v="2.9849999999999999"/>
    <n v="1.4924999999999999"/>
    <n v="0.17909999999999998"/>
    <x v="33"/>
    <x v="9"/>
  </r>
  <r>
    <d v="2019-07-03T00:00:00"/>
    <s v="L-D-1"/>
    <n v="1"/>
    <x v="969"/>
    <s v="Clearwater"/>
    <x v="0"/>
    <x v="0"/>
    <x v="3"/>
    <x v="2"/>
    <x v="0"/>
    <n v="12.95"/>
    <n v="1.2949999999999999"/>
    <n v="1.6835"/>
    <x v="37"/>
    <x v="2"/>
  </r>
  <r>
    <d v="2019-09-21T00:00:00"/>
    <s v="E-M-0.5"/>
    <n v="1"/>
    <x v="970"/>
    <s v="Amarillo"/>
    <x v="0"/>
    <x v="1"/>
    <x v="1"/>
    <x v="0"/>
    <x v="1"/>
    <n v="8.25"/>
    <n v="1.65"/>
    <n v="0.90749999999999997"/>
    <x v="0"/>
    <x v="112"/>
  </r>
  <r>
    <d v="2019-08-26T00:00:00"/>
    <s v="A-L-2.5"/>
    <n v="5"/>
    <x v="971"/>
    <s v="Fort Worth"/>
    <x v="0"/>
    <x v="1"/>
    <x v="2"/>
    <x v="1"/>
    <x v="2"/>
    <n v="29.784999999999997"/>
    <n v="1.1913999999999998"/>
    <n v="2.6806499999999995"/>
    <x v="41"/>
    <x v="74"/>
  </r>
  <r>
    <d v="2021-08-03T00:00:00"/>
    <s v="A-L-2.5"/>
    <n v="3"/>
    <x v="972"/>
    <s v="Lusk"/>
    <x v="1"/>
    <x v="0"/>
    <x v="2"/>
    <x v="1"/>
    <x v="2"/>
    <n v="29.784999999999997"/>
    <n v="1.1913999999999998"/>
    <n v="2.6806499999999995"/>
    <x v="3"/>
    <x v="49"/>
  </r>
  <r>
    <d v="2021-10-24T00:00:00"/>
    <s v="L-M-1"/>
    <n v="6"/>
    <x v="973"/>
    <s v="Pensacola"/>
    <x v="0"/>
    <x v="1"/>
    <x v="3"/>
    <x v="0"/>
    <x v="0"/>
    <n v="14.55"/>
    <n v="1.4550000000000001"/>
    <n v="1.8915000000000002"/>
    <x v="29"/>
    <x v="75"/>
  </r>
  <r>
    <d v="2019-04-01T00:00:00"/>
    <s v="R-D-0.5"/>
    <n v="1"/>
    <x v="974"/>
    <s v="Tacoma"/>
    <x v="0"/>
    <x v="0"/>
    <x v="0"/>
    <x v="2"/>
    <x v="1"/>
    <n v="5.3699999999999992"/>
    <n v="1.0739999999999998"/>
    <n v="0.32219999999999993"/>
    <x v="24"/>
    <x v="147"/>
  </r>
  <r>
    <d v="2021-12-08T00:00:00"/>
    <s v="A-D-0.2"/>
    <n v="3"/>
    <x v="975"/>
    <s v="Rathnew"/>
    <x v="1"/>
    <x v="0"/>
    <x v="2"/>
    <x v="2"/>
    <x v="3"/>
    <n v="2.9849999999999999"/>
    <n v="1.4924999999999999"/>
    <n v="0.26865"/>
    <x v="34"/>
    <x v="169"/>
  </r>
  <r>
    <d v="2019-06-27T00:00:00"/>
    <s v="R-L-2.5"/>
    <n v="5"/>
    <x v="976"/>
    <s v="Fort Wayne"/>
    <x v="0"/>
    <x v="0"/>
    <x v="0"/>
    <x v="1"/>
    <x v="2"/>
    <n v="27.484999999999996"/>
    <n v="1.0993999999999999"/>
    <n v="1.6490999999999998"/>
    <x v="15"/>
    <x v="187"/>
  </r>
  <r>
    <d v="2020-07-14T00:00:00"/>
    <s v="R-L-1"/>
    <n v="5"/>
    <x v="977"/>
    <s v="Amarillo"/>
    <x v="0"/>
    <x v="1"/>
    <x v="0"/>
    <x v="1"/>
    <x v="0"/>
    <n v="11.95"/>
    <n v="1.1949999999999998"/>
    <n v="0.71699999999999997"/>
    <x v="39"/>
    <x v="143"/>
  </r>
  <r>
    <d v="2020-03-23T00:00:00"/>
    <s v="A-L-0.5"/>
    <n v="3"/>
    <x v="978"/>
    <s v="Washington"/>
    <x v="0"/>
    <x v="0"/>
    <x v="2"/>
    <x v="1"/>
    <x v="1"/>
    <n v="7.77"/>
    <n v="1.5539999999999998"/>
    <n v="0.69929999999999992"/>
    <x v="36"/>
    <x v="102"/>
  </r>
  <r>
    <d v="2020-01-26T00:00:00"/>
    <s v="R-D-0.5"/>
    <n v="2"/>
    <x v="979"/>
    <s v="Silver Spring"/>
    <x v="0"/>
    <x v="1"/>
    <x v="0"/>
    <x v="2"/>
    <x v="1"/>
    <n v="5.3699999999999992"/>
    <n v="1.0739999999999998"/>
    <n v="0.32219999999999993"/>
    <x v="32"/>
    <x v="175"/>
  </r>
  <r>
    <d v="2020-05-31T00:00:00"/>
    <s v="E-D-2.5"/>
    <n v="6"/>
    <x v="980"/>
    <s v="Madison"/>
    <x v="0"/>
    <x v="0"/>
    <x v="1"/>
    <x v="2"/>
    <x v="2"/>
    <n v="27.945"/>
    <n v="1.1177999999999999"/>
    <n v="3.07395"/>
    <x v="10"/>
    <x v="164"/>
  </r>
  <r>
    <d v="2021-07-20T00:00:00"/>
    <s v="E-D-0.2"/>
    <n v="6"/>
    <x v="981"/>
    <s v="Conroe"/>
    <x v="0"/>
    <x v="0"/>
    <x v="1"/>
    <x v="2"/>
    <x v="3"/>
    <n v="3.645"/>
    <n v="1.8225"/>
    <n v="0.40095000000000003"/>
    <x v="2"/>
    <x v="6"/>
  </r>
  <r>
    <d v="2022-08-12T00:00:00"/>
    <s v="R-L-1"/>
    <n v="2"/>
    <x v="982"/>
    <s v="Denton"/>
    <x v="0"/>
    <x v="0"/>
    <x v="0"/>
    <x v="1"/>
    <x v="0"/>
    <n v="11.95"/>
    <n v="1.1949999999999998"/>
    <n v="0.71699999999999997"/>
    <x v="21"/>
    <x v="178"/>
  </r>
  <r>
    <d v="2020-01-01T00:00:00"/>
    <s v="A-M-0.2"/>
    <n v="2"/>
    <x v="983"/>
    <s v="Columbus"/>
    <x v="0"/>
    <x v="0"/>
    <x v="2"/>
    <x v="0"/>
    <x v="3"/>
    <n v="3.375"/>
    <n v="1.6875"/>
    <n v="0.30374999999999996"/>
    <x v="32"/>
    <x v="52"/>
  </r>
  <r>
    <d v="2021-01-18T00:00:00"/>
    <s v="E-M-2.5"/>
    <n v="1"/>
    <x v="984"/>
    <s v="Bundoran"/>
    <x v="1"/>
    <x v="0"/>
    <x v="1"/>
    <x v="0"/>
    <x v="2"/>
    <n v="31.624999999999996"/>
    <n v="1.2649999999999999"/>
    <n v="3.4787499999999998"/>
    <x v="17"/>
    <x v="176"/>
  </r>
  <r>
    <d v="2021-12-31T00:00:00"/>
    <s v="R-L-1"/>
    <n v="4"/>
    <x v="985"/>
    <s v="Aurora"/>
    <x v="0"/>
    <x v="1"/>
    <x v="0"/>
    <x v="1"/>
    <x v="0"/>
    <n v="11.95"/>
    <n v="1.1949999999999998"/>
    <n v="0.71699999999999997"/>
    <x v="34"/>
    <x v="62"/>
  </r>
  <r>
    <d v="2020-05-04T00:00:00"/>
    <s v="L-M-2.5"/>
    <n v="1"/>
    <x v="986"/>
    <s v="Daytona Beach"/>
    <x v="0"/>
    <x v="1"/>
    <x v="3"/>
    <x v="0"/>
    <x v="2"/>
    <n v="33.464999999999996"/>
    <n v="1.3385999999999998"/>
    <n v="4.3504499999999995"/>
    <x v="10"/>
    <x v="116"/>
  </r>
  <r>
    <d v="2021-02-20T00:00:00"/>
    <s v="A-D-0.5"/>
    <n v="5"/>
    <x v="987"/>
    <s v="Seaton"/>
    <x v="2"/>
    <x v="0"/>
    <x v="2"/>
    <x v="2"/>
    <x v="1"/>
    <n v="5.97"/>
    <n v="1.194"/>
    <n v="0.5373"/>
    <x v="23"/>
    <x v="44"/>
  </r>
  <r>
    <d v="2020-03-07T00:00:00"/>
    <s v="R-M-1"/>
    <n v="3"/>
    <x v="988"/>
    <s v="Wirral"/>
    <x v="2"/>
    <x v="0"/>
    <x v="0"/>
    <x v="0"/>
    <x v="0"/>
    <n v="9.9499999999999993"/>
    <n v="0.99499999999999988"/>
    <n v="0.59699999999999998"/>
    <x v="36"/>
    <x v="44"/>
  </r>
  <r>
    <d v="2019-04-05T00:00:00"/>
    <s v="A-M-2.5"/>
    <n v="6"/>
    <x v="989"/>
    <s v="Saint Louis"/>
    <x v="0"/>
    <x v="0"/>
    <x v="2"/>
    <x v="0"/>
    <x v="2"/>
    <n v="25.874999999999996"/>
    <n v="1.0349999999999999"/>
    <n v="2.3287499999999994"/>
    <x v="24"/>
    <x v="71"/>
  </r>
  <r>
    <d v="2022-06-06T00:00:00"/>
    <s v="E-D-0.2"/>
    <n v="5"/>
    <x v="990"/>
    <s v="Oceanside"/>
    <x v="0"/>
    <x v="1"/>
    <x v="1"/>
    <x v="2"/>
    <x v="3"/>
    <n v="3.645"/>
    <n v="1.8225"/>
    <n v="0.40095000000000003"/>
    <x v="12"/>
    <x v="94"/>
  </r>
  <r>
    <d v="2022-06-06T00:00:00"/>
    <s v="L-D-0.5"/>
    <n v="2"/>
    <x v="991"/>
    <s v="Chattanooga"/>
    <x v="0"/>
    <x v="0"/>
    <x v="3"/>
    <x v="2"/>
    <x v="1"/>
    <n v="7.77"/>
    <n v="1.5539999999999998"/>
    <n v="1.0101"/>
    <x v="12"/>
    <x v="42"/>
  </r>
  <r>
    <d v="2021-03-21T00:00:00"/>
    <s v="L-L-2.5"/>
    <n v="3"/>
    <x v="992"/>
    <s v="Bagenalstown"/>
    <x v="1"/>
    <x v="1"/>
    <x v="3"/>
    <x v="1"/>
    <x v="2"/>
    <n v="36.454999999999998"/>
    <n v="1.4581999999999999"/>
    <n v="4.7391499999999995"/>
    <x v="7"/>
    <x v="63"/>
  </r>
  <r>
    <d v="2021-12-19T00:00:00"/>
    <s v="A-L-1"/>
    <n v="6"/>
    <x v="993"/>
    <s v="Philadelphia"/>
    <x v="0"/>
    <x v="1"/>
    <x v="2"/>
    <x v="1"/>
    <x v="0"/>
    <n v="12.95"/>
    <n v="1.2949999999999999"/>
    <n v="1.1655"/>
    <x v="34"/>
    <x v="17"/>
  </r>
  <r>
    <d v="2021-02-17T00:00:00"/>
    <s v="A-D-0.2"/>
    <n v="3"/>
    <x v="994"/>
    <s v="Watergrasshill"/>
    <x v="1"/>
    <x v="1"/>
    <x v="2"/>
    <x v="2"/>
    <x v="3"/>
    <n v="2.9849999999999999"/>
    <n v="1.4924999999999999"/>
    <n v="0.26865"/>
    <x v="23"/>
    <x v="169"/>
  </r>
  <r>
    <d v="2020-01-06T00:00:00"/>
    <s v="R-L-2.5"/>
    <n v="1"/>
    <x v="995"/>
    <s v="Dallas"/>
    <x v="0"/>
    <x v="1"/>
    <x v="0"/>
    <x v="1"/>
    <x v="2"/>
    <n v="27.484999999999996"/>
    <n v="1.0993999999999999"/>
    <n v="1.6490999999999998"/>
    <x v="32"/>
    <x v="142"/>
  </r>
  <r>
    <d v="2022-05-04T00:00:00"/>
    <s v="R-M-0.5"/>
    <n v="5"/>
    <x v="996"/>
    <s v="Fort Smith"/>
    <x v="0"/>
    <x v="1"/>
    <x v="0"/>
    <x v="0"/>
    <x v="1"/>
    <n v="5.97"/>
    <n v="1.194"/>
    <n v="0.35819999999999996"/>
    <x v="5"/>
    <x v="44"/>
  </r>
  <r>
    <d v="2019-10-11T00:00:00"/>
    <s v="A-M-0.5"/>
    <n v="4"/>
    <x v="997"/>
    <s v="Colorado Springs"/>
    <x v="0"/>
    <x v="0"/>
    <x v="2"/>
    <x v="0"/>
    <x v="1"/>
    <n v="6.75"/>
    <n v="1.35"/>
    <n v="0.60749999999999993"/>
    <x v="14"/>
    <x v="25"/>
  </r>
  <r>
    <d v="2021-08-03T00:00:00"/>
    <s v="A-D-1"/>
    <n v="1"/>
    <x v="998"/>
    <s v="Whittier"/>
    <x v="0"/>
    <x v="1"/>
    <x v="2"/>
    <x v="2"/>
    <x v="0"/>
    <n v="9.9499999999999993"/>
    <n v="0.99499999999999988"/>
    <n v="0.89549999999999985"/>
    <x v="3"/>
    <x v="138"/>
  </r>
  <r>
    <d v="2020-10-15T00:00:00"/>
    <s v="E-M-0.2"/>
    <n v="3"/>
    <x v="999"/>
    <s v="London"/>
    <x v="2"/>
    <x v="0"/>
    <x v="1"/>
    <x v="0"/>
    <x v="3"/>
    <n v="4.125"/>
    <n v="2.0625"/>
    <n v="0.45374999999999999"/>
    <x v="8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48" firstHeaderRow="1" firstDataRow="1" firstDataCol="1"/>
  <pivotFields count="15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24"/>
        <item x="25"/>
        <item x="27"/>
        <item x="11"/>
        <item x="41"/>
        <item x="42"/>
        <item x="3"/>
        <item x="21"/>
        <item x="40"/>
        <item x="16"/>
        <item x="34"/>
        <item x="20"/>
        <item x="35"/>
        <item x="23"/>
        <item x="18"/>
        <item x="6"/>
        <item x="32"/>
        <item x="17"/>
        <item x="4"/>
        <item x="37"/>
        <item x="39"/>
        <item x="2"/>
        <item x="9"/>
        <item x="15"/>
        <item x="22"/>
        <item x="1"/>
        <item x="12"/>
        <item x="13"/>
        <item x="36"/>
        <item x="7"/>
        <item x="33"/>
        <item x="28"/>
        <item x="10"/>
        <item x="43"/>
        <item x="5"/>
        <item x="30"/>
        <item x="38"/>
        <item x="26"/>
        <item x="14"/>
        <item x="8"/>
        <item x="29"/>
        <item x="0"/>
        <item x="31"/>
        <item x="19"/>
        <item t="default"/>
      </items>
    </pivotField>
    <pivotField dataField="1" showAll="0">
      <items count="198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  <item t="default"/>
      </items>
    </pivotField>
  </pivotFields>
  <rowFields count="1">
    <field x="13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Revenue" fld="1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6" firstHeaderRow="1" firstDataRow="1" firstDataCol="1"/>
  <pivotFields count="15"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5" firstHeaderRow="1" firstDataRow="1" firstDataCol="1"/>
  <pivotFields count="15"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F3" firstHeaderRow="1" firstDataRow="2" firstDataCol="1"/>
  <pivotFields count="15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>
      <items count="198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  <item t="default"/>
      </items>
    </pivotField>
  </pivotFields>
  <rowItems count="1">
    <i/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14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5" firstHeaderRow="1" firstDataRow="1" firstDataCol="1"/>
  <pivotFields count="15">
    <pivotField numFmtId="14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4" firstHeaderRow="1" firstDataRow="1" firstDataCol="1"/>
  <pivotFields count="15"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Revenue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12" firstHeaderRow="1" firstDataRow="1" firstDataCol="1"/>
  <pivotFields count="15">
    <pivotField numFmtId="14" showAll="0"/>
    <pivotField showAll="0"/>
    <pivotField showAll="0"/>
    <pivotField axis="axisRow" showAll="0" measureFilter="1" sortType="descending">
      <items count="1001">
        <item x="369"/>
        <item x="564"/>
        <item x="42"/>
        <item x="138"/>
        <item x="180"/>
        <item x="988"/>
        <item x="844"/>
        <item x="423"/>
        <item x="147"/>
        <item x="91"/>
        <item x="463"/>
        <item x="828"/>
        <item x="782"/>
        <item x="30"/>
        <item x="201"/>
        <item x="679"/>
        <item x="456"/>
        <item x="808"/>
        <item x="313"/>
        <item x="478"/>
        <item x="810"/>
        <item x="470"/>
        <item x="159"/>
        <item x="869"/>
        <item x="500"/>
        <item x="216"/>
        <item x="734"/>
        <item x="73"/>
        <item x="599"/>
        <item x="191"/>
        <item x="818"/>
        <item x="653"/>
        <item x="547"/>
        <item x="0"/>
        <item x="714"/>
        <item x="425"/>
        <item x="773"/>
        <item x="459"/>
        <item x="692"/>
        <item x="345"/>
        <item x="80"/>
        <item x="538"/>
        <item x="283"/>
        <item x="226"/>
        <item x="609"/>
        <item x="730"/>
        <item x="389"/>
        <item x="610"/>
        <item x="65"/>
        <item x="185"/>
        <item x="680"/>
        <item x="22"/>
        <item x="419"/>
        <item x="63"/>
        <item x="268"/>
        <item x="464"/>
        <item x="661"/>
        <item x="182"/>
        <item x="210"/>
        <item x="392"/>
        <item x="420"/>
        <item x="767"/>
        <item x="449"/>
        <item x="914"/>
        <item x="264"/>
        <item x="460"/>
        <item x="54"/>
        <item x="47"/>
        <item x="647"/>
        <item x="300"/>
        <item x="760"/>
        <item x="447"/>
        <item x="379"/>
        <item x="188"/>
        <item x="99"/>
        <item x="566"/>
        <item x="406"/>
        <item x="943"/>
        <item x="19"/>
        <item x="601"/>
        <item x="72"/>
        <item x="21"/>
        <item x="735"/>
        <item x="587"/>
        <item x="932"/>
        <item x="270"/>
        <item x="700"/>
        <item x="706"/>
        <item x="172"/>
        <item x="327"/>
        <item x="896"/>
        <item x="817"/>
        <item x="852"/>
        <item x="966"/>
        <item x="684"/>
        <item x="488"/>
        <item x="867"/>
        <item x="87"/>
        <item x="228"/>
        <item x="66"/>
        <item x="403"/>
        <item x="637"/>
        <item x="305"/>
        <item x="903"/>
        <item x="503"/>
        <item x="622"/>
        <item x="523"/>
        <item x="787"/>
        <item x="5"/>
        <item x="233"/>
        <item x="548"/>
        <item x="612"/>
        <item x="152"/>
        <item x="111"/>
        <item x="130"/>
        <item x="579"/>
        <item x="608"/>
        <item x="539"/>
        <item x="888"/>
        <item x="86"/>
        <item x="597"/>
        <item x="490"/>
        <item x="881"/>
        <item x="850"/>
        <item x="223"/>
        <item x="909"/>
        <item x="764"/>
        <item x="131"/>
        <item x="462"/>
        <item x="801"/>
        <item x="141"/>
        <item x="103"/>
        <item x="752"/>
        <item x="438"/>
        <item x="562"/>
        <item x="498"/>
        <item x="606"/>
        <item x="933"/>
        <item x="811"/>
        <item x="879"/>
        <item x="418"/>
        <item x="117"/>
        <item x="899"/>
        <item x="82"/>
        <item x="739"/>
        <item x="189"/>
        <item x="286"/>
        <item x="627"/>
        <item x="819"/>
        <item x="802"/>
        <item x="937"/>
        <item x="786"/>
        <item x="510"/>
        <item x="630"/>
        <item x="236"/>
        <item x="737"/>
        <item x="457"/>
        <item x="640"/>
        <item x="114"/>
        <item x="581"/>
        <item x="511"/>
        <item x="636"/>
        <item x="365"/>
        <item x="293"/>
        <item x="344"/>
        <item x="994"/>
        <item x="860"/>
        <item x="670"/>
        <item x="650"/>
        <item x="891"/>
        <item x="512"/>
        <item x="924"/>
        <item x="960"/>
        <item x="809"/>
        <item x="135"/>
        <item x="435"/>
        <item x="517"/>
        <item x="497"/>
        <item x="922"/>
        <item x="677"/>
        <item x="219"/>
        <item x="973"/>
        <item x="649"/>
        <item x="882"/>
        <item x="805"/>
        <item x="969"/>
        <item x="439"/>
        <item x="981"/>
        <item x="917"/>
        <item x="783"/>
        <item x="361"/>
        <item x="241"/>
        <item x="4"/>
        <item x="280"/>
        <item x="342"/>
        <item x="24"/>
        <item x="761"/>
        <item x="516"/>
        <item x="556"/>
        <item x="164"/>
        <item x="568"/>
        <item x="986"/>
        <item x="311"/>
        <item x="872"/>
        <item x="975"/>
        <item x="335"/>
        <item x="964"/>
        <item x="79"/>
        <item x="255"/>
        <item x="258"/>
        <item x="240"/>
        <item x="593"/>
        <item x="77"/>
        <item x="813"/>
        <item x="585"/>
        <item x="251"/>
        <item x="232"/>
        <item x="208"/>
        <item x="880"/>
        <item x="119"/>
        <item x="621"/>
        <item x="331"/>
        <item x="370"/>
        <item x="373"/>
        <item x="573"/>
        <item x="824"/>
        <item x="60"/>
        <item x="954"/>
        <item x="663"/>
        <item x="371"/>
        <item x="308"/>
        <item x="643"/>
        <item x="237"/>
        <item x="197"/>
        <item x="725"/>
        <item x="25"/>
        <item x="495"/>
        <item x="295"/>
        <item x="212"/>
        <item x="466"/>
        <item x="769"/>
        <item x="759"/>
        <item x="589"/>
        <item x="595"/>
        <item x="905"/>
        <item x="718"/>
        <item x="803"/>
        <item x="303"/>
        <item x="898"/>
        <item x="475"/>
        <item x="695"/>
        <item x="843"/>
        <item x="143"/>
        <item x="978"/>
        <item x="884"/>
        <item x="349"/>
        <item x="938"/>
        <item x="247"/>
        <item x="980"/>
        <item x="3"/>
        <item x="645"/>
        <item x="257"/>
        <item x="686"/>
        <item x="895"/>
        <item x="726"/>
        <item x="992"/>
        <item x="855"/>
        <item x="936"/>
        <item x="239"/>
        <item x="778"/>
        <item x="252"/>
        <item x="506"/>
        <item x="624"/>
        <item x="465"/>
        <item x="324"/>
        <item x="990"/>
        <item x="569"/>
        <item x="972"/>
        <item x="689"/>
        <item x="123"/>
        <item x="659"/>
        <item x="927"/>
        <item x="546"/>
        <item x="290"/>
        <item x="876"/>
        <item x="957"/>
        <item x="577"/>
        <item x="570"/>
        <item x="603"/>
        <item x="323"/>
        <item x="46"/>
        <item x="274"/>
        <item x="530"/>
        <item x="703"/>
        <item x="276"/>
        <item x="774"/>
        <item x="904"/>
        <item x="296"/>
        <item x="38"/>
        <item x="757"/>
        <item x="646"/>
        <item x="162"/>
        <item x="393"/>
        <item x="901"/>
        <item x="11"/>
        <item x="955"/>
        <item x="102"/>
        <item x="635"/>
        <item x="297"/>
        <item x="946"/>
        <item x="846"/>
        <item x="525"/>
        <item x="244"/>
        <item x="693"/>
        <item x="571"/>
        <item x="382"/>
        <item x="88"/>
        <item x="334"/>
        <item x="137"/>
        <item x="225"/>
        <item x="93"/>
        <item x="567"/>
        <item x="174"/>
        <item x="602"/>
        <item x="502"/>
        <item x="213"/>
        <item x="104"/>
        <item x="177"/>
        <item x="194"/>
        <item x="278"/>
        <item x="339"/>
        <item x="357"/>
        <item x="821"/>
        <item x="307"/>
        <item x="524"/>
        <item x="181"/>
        <item x="997"/>
        <item x="351"/>
        <item x="175"/>
        <item x="820"/>
        <item x="309"/>
        <item x="129"/>
        <item x="926"/>
        <item x="956"/>
        <item x="134"/>
        <item x="120"/>
        <item x="35"/>
        <item x="421"/>
        <item x="983"/>
        <item x="944"/>
        <item x="380"/>
        <item x="477"/>
        <item x="628"/>
        <item x="64"/>
        <item x="408"/>
        <item x="494"/>
        <item x="362"/>
        <item x="169"/>
        <item x="748"/>
        <item x="669"/>
        <item x="756"/>
        <item x="10"/>
        <item x="156"/>
        <item x="870"/>
        <item x="330"/>
        <item x="397"/>
        <item x="961"/>
        <item x="282"/>
        <item x="326"/>
        <item x="755"/>
        <item x="690"/>
        <item x="486"/>
        <item x="836"/>
        <item x="209"/>
        <item x="440"/>
        <item x="320"/>
        <item x="412"/>
        <item x="238"/>
        <item x="676"/>
        <item x="319"/>
        <item x="594"/>
        <item x="321"/>
        <item x="402"/>
        <item x="671"/>
        <item x="33"/>
        <item x="476"/>
        <item x="633"/>
        <item x="723"/>
        <item x="69"/>
        <item x="116"/>
        <item x="940"/>
        <item x="246"/>
        <item x="149"/>
        <item x="163"/>
        <item x="148"/>
        <item x="651"/>
        <item x="715"/>
        <item x="410"/>
        <item x="501"/>
        <item x="733"/>
        <item x="948"/>
        <item x="217"/>
        <item x="923"/>
        <item x="799"/>
        <item x="374"/>
        <item x="784"/>
        <item x="398"/>
        <item x="719"/>
        <item x="474"/>
        <item x="552"/>
        <item x="862"/>
        <item x="415"/>
        <item x="395"/>
        <item x="794"/>
        <item x="155"/>
        <item x="798"/>
        <item x="613"/>
        <item x="277"/>
        <item x="908"/>
        <item x="8"/>
        <item x="949"/>
        <item x="920"/>
        <item x="625"/>
        <item x="902"/>
        <item x="83"/>
        <item x="92"/>
        <item x="409"/>
        <item x="496"/>
        <item x="916"/>
        <item x="52"/>
        <item x="411"/>
        <item x="785"/>
        <item x="560"/>
        <item x="68"/>
        <item x="750"/>
        <item x="673"/>
        <item x="508"/>
        <item x="544"/>
        <item x="830"/>
        <item x="665"/>
        <item x="885"/>
        <item x="473"/>
        <item x="941"/>
        <item x="572"/>
        <item x="674"/>
        <item x="989"/>
        <item x="722"/>
        <item x="153"/>
        <item x="126"/>
        <item x="658"/>
        <item x="537"/>
        <item x="829"/>
        <item x="328"/>
        <item x="53"/>
        <item x="746"/>
        <item x="39"/>
        <item x="827"/>
        <item x="543"/>
        <item x="215"/>
        <item x="97"/>
        <item x="200"/>
        <item x="951"/>
        <item x="115"/>
        <item x="399"/>
        <item x="50"/>
        <item x="618"/>
        <item x="23"/>
        <item x="664"/>
        <item x="259"/>
        <item x="527"/>
        <item x="184"/>
        <item x="832"/>
        <item x="108"/>
        <item x="292"/>
        <item x="915"/>
        <item x="49"/>
        <item x="391"/>
        <item x="878"/>
        <item x="150"/>
        <item x="565"/>
        <item x="732"/>
        <item x="945"/>
        <item x="2"/>
        <item x="804"/>
        <item x="521"/>
        <item x="777"/>
        <item x="668"/>
        <item x="840"/>
        <item x="306"/>
        <item x="378"/>
        <item x="874"/>
        <item x="929"/>
        <item x="736"/>
        <item x="271"/>
        <item x="979"/>
        <item x="262"/>
        <item x="797"/>
        <item x="337"/>
        <item x="85"/>
        <item x="849"/>
        <item x="198"/>
        <item x="995"/>
        <item x="74"/>
        <item x="591"/>
        <item x="639"/>
        <item x="685"/>
        <item x="792"/>
        <item x="666"/>
        <item x="40"/>
        <item x="590"/>
        <item x="953"/>
        <item x="952"/>
        <item x="698"/>
        <item x="857"/>
        <item x="154"/>
        <item x="354"/>
        <item x="965"/>
        <item x="696"/>
        <item x="950"/>
        <item x="469"/>
        <item x="745"/>
        <item x="604"/>
        <item x="704"/>
        <item x="350"/>
        <item x="620"/>
        <item x="376"/>
        <item x="776"/>
        <item x="142"/>
        <item x="468"/>
        <item x="976"/>
        <item x="788"/>
        <item x="363"/>
        <item x="930"/>
        <item x="740"/>
        <item x="826"/>
        <item x="160"/>
        <item x="518"/>
        <item x="281"/>
        <item x="51"/>
        <item x="791"/>
        <item x="178"/>
        <item x="806"/>
        <item x="484"/>
        <item x="298"/>
        <item x="20"/>
        <item x="491"/>
        <item x="205"/>
        <item x="558"/>
        <item x="287"/>
        <item x="224"/>
        <item x="688"/>
        <item x="887"/>
        <item x="596"/>
        <item x="540"/>
        <item x="982"/>
        <item x="193"/>
        <item x="75"/>
        <item x="890"/>
        <item x="414"/>
        <item x="445"/>
        <item x="487"/>
        <item x="835"/>
        <item x="442"/>
        <item x="807"/>
        <item x="985"/>
        <item x="534"/>
        <item x="768"/>
        <item x="598"/>
        <item x="856"/>
        <item x="229"/>
        <item x="592"/>
        <item x="427"/>
        <item x="781"/>
        <item x="299"/>
        <item x="471"/>
        <item x="682"/>
        <item x="607"/>
        <item x="906"/>
        <item x="187"/>
        <item x="672"/>
        <item x="368"/>
        <item x="253"/>
        <item x="528"/>
        <item x="433"/>
        <item x="815"/>
        <item x="833"/>
        <item x="221"/>
        <item x="386"/>
        <item x="405"/>
        <item x="146"/>
        <item x="161"/>
        <item x="557"/>
        <item x="731"/>
        <item x="347"/>
        <item x="245"/>
        <item x="106"/>
        <item x="883"/>
        <item x="634"/>
        <item x="629"/>
        <item x="616"/>
        <item x="329"/>
        <item x="441"/>
        <item x="958"/>
        <item x="15"/>
        <item x="541"/>
        <item x="758"/>
        <item x="41"/>
        <item x="987"/>
        <item x="407"/>
        <item x="78"/>
        <item x="136"/>
        <item x="90"/>
        <item x="341"/>
        <item x="793"/>
        <item x="709"/>
        <item x="248"/>
        <item x="822"/>
        <item x="285"/>
        <item x="853"/>
        <item x="741"/>
        <item x="977"/>
        <item x="554"/>
        <item x="190"/>
        <item x="520"/>
        <item x="642"/>
        <item x="574"/>
        <item x="122"/>
        <item x="388"/>
        <item x="353"/>
        <item x="931"/>
        <item x="551"/>
        <item x="499"/>
        <item x="800"/>
        <item x="426"/>
        <item x="263"/>
        <item x="631"/>
        <item x="993"/>
        <item x="837"/>
        <item x="868"/>
        <item x="996"/>
        <item x="355"/>
        <item x="110"/>
        <item x="509"/>
        <item x="632"/>
        <item x="195"/>
        <item x="644"/>
        <item x="289"/>
        <item x="770"/>
        <item x="383"/>
        <item x="886"/>
        <item x="816"/>
        <item x="654"/>
        <item x="288"/>
        <item x="928"/>
        <item x="43"/>
        <item x="655"/>
        <item x="429"/>
        <item x="863"/>
        <item x="76"/>
        <item x="315"/>
        <item x="772"/>
        <item x="749"/>
        <item x="430"/>
        <item x="7"/>
        <item x="250"/>
        <item x="796"/>
        <item x="113"/>
        <item x="913"/>
        <item x="935"/>
        <item x="294"/>
        <item x="812"/>
        <item x="678"/>
        <item x="165"/>
        <item x="911"/>
        <item x="428"/>
        <item x="211"/>
        <item x="16"/>
        <item x="171"/>
        <item x="839"/>
        <item x="921"/>
        <item x="873"/>
        <item x="451"/>
        <item x="269"/>
        <item x="261"/>
        <item x="220"/>
        <item x="186"/>
        <item x="847"/>
        <item x="452"/>
        <item x="962"/>
        <item x="485"/>
        <item x="29"/>
        <item x="118"/>
        <item x="214"/>
        <item x="845"/>
        <item x="266"/>
        <item x="697"/>
        <item x="834"/>
        <item x="504"/>
        <item x="453"/>
        <item x="284"/>
        <item x="532"/>
        <item x="481"/>
        <item x="316"/>
        <item x="67"/>
        <item x="738"/>
        <item x="513"/>
        <item x="701"/>
        <item x="561"/>
        <item x="312"/>
        <item x="196"/>
        <item x="400"/>
        <item x="623"/>
        <item x="32"/>
        <item x="206"/>
        <item x="638"/>
        <item x="422"/>
        <item x="434"/>
        <item x="550"/>
        <item x="384"/>
        <item x="101"/>
        <item x="360"/>
        <item x="681"/>
        <item x="724"/>
        <item x="707"/>
        <item x="998"/>
        <item x="721"/>
        <item x="842"/>
        <item x="667"/>
        <item x="227"/>
        <item x="343"/>
        <item x="789"/>
        <item x="861"/>
        <item x="62"/>
        <item x="971"/>
        <item x="95"/>
        <item x="831"/>
        <item x="918"/>
        <item x="176"/>
        <item x="44"/>
        <item x="199"/>
        <item x="173"/>
        <item x="875"/>
        <item x="207"/>
        <item x="483"/>
        <item x="699"/>
        <item x="436"/>
        <item x="132"/>
        <item x="145"/>
        <item x="133"/>
        <item x="18"/>
        <item x="61"/>
        <item x="310"/>
        <item x="691"/>
        <item x="364"/>
        <item x="279"/>
        <item x="14"/>
        <item x="892"/>
        <item x="417"/>
        <item x="912"/>
        <item x="157"/>
        <item x="107"/>
        <item x="851"/>
        <item x="302"/>
        <item x="507"/>
        <item x="45"/>
        <item x="600"/>
        <item x="871"/>
        <item x="192"/>
        <item x="519"/>
        <item x="754"/>
        <item x="576"/>
        <item x="1"/>
        <item x="514"/>
        <item x="230"/>
        <item x="381"/>
        <item x="448"/>
        <item x="105"/>
        <item x="332"/>
        <item x="919"/>
        <item x="151"/>
        <item x="865"/>
        <item x="617"/>
        <item x="866"/>
        <item x="765"/>
        <item x="127"/>
        <item x="984"/>
        <item x="531"/>
        <item x="394"/>
        <item x="461"/>
        <item x="893"/>
        <item x="444"/>
        <item x="31"/>
        <item x="48"/>
        <item x="533"/>
        <item x="934"/>
        <item x="559"/>
        <item x="346"/>
        <item x="859"/>
        <item x="742"/>
        <item x="575"/>
        <item x="416"/>
        <item x="580"/>
        <item x="218"/>
        <item x="454"/>
        <item x="720"/>
        <item x="775"/>
        <item x="652"/>
        <item x="17"/>
        <item x="959"/>
        <item x="304"/>
        <item x="467"/>
        <item x="584"/>
        <item x="947"/>
        <item x="727"/>
        <item x="766"/>
        <item x="139"/>
        <item x="728"/>
        <item x="432"/>
        <item x="9"/>
        <item x="458"/>
        <item x="838"/>
        <item x="991"/>
        <item x="864"/>
        <item x="925"/>
        <item x="12"/>
        <item x="254"/>
        <item x="694"/>
        <item x="472"/>
        <item x="57"/>
        <item x="100"/>
        <item x="94"/>
        <item x="545"/>
        <item x="582"/>
        <item x="401"/>
        <item x="98"/>
        <item x="897"/>
        <item x="713"/>
        <item x="974"/>
        <item x="55"/>
        <item x="235"/>
        <item x="744"/>
        <item x="763"/>
        <item x="366"/>
        <item x="204"/>
        <item x="158"/>
        <item x="889"/>
        <item x="489"/>
        <item x="26"/>
        <item x="716"/>
        <item x="711"/>
        <item x="352"/>
        <item x="729"/>
        <item x="317"/>
        <item x="170"/>
        <item x="70"/>
        <item x="894"/>
        <item x="970"/>
        <item x="762"/>
        <item x="112"/>
        <item x="615"/>
        <item x="6"/>
        <item x="705"/>
        <item x="858"/>
        <item x="708"/>
        <item x="348"/>
        <item x="81"/>
        <item x="166"/>
        <item x="662"/>
        <item x="387"/>
        <item x="71"/>
        <item x="242"/>
        <item x="583"/>
        <item x="555"/>
        <item x="712"/>
        <item x="790"/>
        <item x="267"/>
        <item x="814"/>
        <item x="367"/>
        <item x="37"/>
        <item x="450"/>
        <item x="753"/>
        <item x="231"/>
        <item x="900"/>
        <item x="854"/>
        <item x="493"/>
        <item x="322"/>
        <item x="390"/>
        <item x="848"/>
        <item x="314"/>
        <item x="455"/>
        <item x="124"/>
        <item x="59"/>
        <item x="168"/>
        <item x="482"/>
        <item x="529"/>
        <item x="710"/>
        <item x="563"/>
        <item x="125"/>
        <item x="249"/>
        <item x="771"/>
        <item x="121"/>
        <item x="656"/>
        <item x="202"/>
        <item x="167"/>
        <item x="243"/>
        <item x="260"/>
        <item x="404"/>
        <item x="479"/>
        <item x="907"/>
        <item x="275"/>
        <item x="747"/>
        <item x="611"/>
        <item x="13"/>
        <item x="336"/>
        <item x="372"/>
        <item x="675"/>
        <item x="109"/>
        <item x="743"/>
        <item x="823"/>
        <item x="318"/>
        <item x="56"/>
        <item x="443"/>
        <item x="683"/>
        <item x="28"/>
        <item x="179"/>
        <item x="515"/>
        <item x="128"/>
        <item x="535"/>
        <item x="234"/>
        <item x="358"/>
        <item x="89"/>
        <item x="183"/>
        <item x="301"/>
        <item x="325"/>
        <item x="841"/>
        <item x="648"/>
        <item x="578"/>
        <item x="779"/>
        <item x="34"/>
        <item x="492"/>
        <item x="825"/>
        <item x="660"/>
        <item x="588"/>
        <item x="140"/>
        <item x="203"/>
        <item x="377"/>
        <item x="522"/>
        <item x="553"/>
        <item x="780"/>
        <item x="942"/>
        <item x="96"/>
        <item x="999"/>
        <item x="751"/>
        <item x="291"/>
        <item x="265"/>
        <item x="385"/>
        <item x="614"/>
        <item x="27"/>
        <item x="333"/>
        <item x="702"/>
        <item x="446"/>
        <item x="505"/>
        <item x="626"/>
        <item x="222"/>
        <item x="605"/>
        <item x="273"/>
        <item x="413"/>
        <item x="375"/>
        <item x="526"/>
        <item x="480"/>
        <item x="340"/>
        <item x="549"/>
        <item x="968"/>
        <item x="58"/>
        <item x="437"/>
        <item x="717"/>
        <item x="356"/>
        <item x="939"/>
        <item x="687"/>
        <item x="910"/>
        <item x="144"/>
        <item x="619"/>
        <item x="431"/>
        <item x="657"/>
        <item x="795"/>
        <item x="536"/>
        <item x="338"/>
        <item x="396"/>
        <item x="641"/>
        <item x="424"/>
        <item x="359"/>
        <item x="963"/>
        <item x="84"/>
        <item x="272"/>
        <item x="256"/>
        <item x="877"/>
        <item x="542"/>
        <item x="967"/>
        <item x="586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1">
    <i>
      <x v="22"/>
    </i>
    <i>
      <x v="573"/>
    </i>
    <i>
      <x v="864"/>
    </i>
    <i>
      <x v="702"/>
    </i>
    <i>
      <x v="242"/>
    </i>
    <i>
      <x v="322"/>
    </i>
    <i>
      <x v="909"/>
    </i>
    <i>
      <x v="583"/>
    </i>
    <i>
      <x v="202"/>
    </i>
    <i>
      <x v="432"/>
    </i>
    <i t="grand">
      <x/>
    </i>
  </rowItems>
  <colItems count="1">
    <i/>
  </colItems>
  <dataFields count="1">
    <dataField name="Sum of Revenue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C18" firstHeaderRow="1" firstDataRow="1" firstDataCol="0"/>
  <pivotFields count="15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opLeftCell="A977" zoomScale="115" zoomScaleNormal="115" workbookViewId="0">
      <selection sqref="A1:M1001"/>
    </sheetView>
  </sheetViews>
  <sheetFormatPr defaultRowHeight="15" x14ac:dyDescent="0.25"/>
  <cols>
    <col min="1" max="1" width="16.5703125" bestFit="1" customWidth="1"/>
    <col min="2" max="2" width="11.85546875" bestFit="1" customWidth="1"/>
    <col min="3" max="3" width="17.42578125" bestFit="1" customWidth="1"/>
    <col min="4" max="4" width="10.140625" bestFit="1" customWidth="1"/>
    <col min="5" max="5" width="8.7109375" bestFit="1" customWidth="1"/>
    <col min="6" max="6" width="15.42578125" bestFit="1" customWidth="1"/>
    <col min="7" max="7" width="5.85546875" bestFit="1" customWidth="1"/>
    <col min="8" max="8" width="8.140625" bestFit="1" customWidth="1"/>
    <col min="9" max="9" width="11.7109375" bestFit="1" customWidth="1"/>
    <col min="10" max="10" width="10.5703125" bestFit="1" customWidth="1"/>
    <col min="11" max="11" width="4.5703125" bestFit="1" customWidth="1"/>
    <col min="12" max="12" width="9.5703125" bestFit="1" customWidth="1"/>
    <col min="13" max="13" width="5.5703125" bestFit="1" customWidth="1"/>
  </cols>
  <sheetData>
    <row r="1" spans="1:13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opLeftCell="A952" workbookViewId="0">
      <selection activeCell="C998" sqref="C998"/>
    </sheetView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B1" sqref="B1:G1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opLeftCell="H1" workbookViewId="0">
      <selection activeCell="Q14" sqref="Q14"/>
    </sheetView>
  </sheetViews>
  <sheetFormatPr defaultRowHeight="15" x14ac:dyDescent="0.25"/>
  <cols>
    <col min="1" max="1" width="10.7109375" style="4" bestFit="1" customWidth="1"/>
    <col min="2" max="2" width="10.140625" bestFit="1" customWidth="1"/>
    <col min="3" max="3" width="8.7109375" bestFit="1" customWidth="1"/>
    <col min="4" max="4" width="23.7109375" bestFit="1" customWidth="1"/>
    <col min="5" max="5" width="20.7109375" bestFit="1" customWidth="1"/>
    <col min="6" max="6" width="15.42578125" bestFit="1" customWidth="1"/>
    <col min="7" max="8" width="11.7109375" bestFit="1" customWidth="1"/>
    <col min="9" max="9" width="10.5703125" bestFit="1" customWidth="1"/>
    <col min="11" max="11" width="10.7109375" bestFit="1" customWidth="1"/>
    <col min="12" max="12" width="13.42578125" bestFit="1" customWidth="1"/>
    <col min="13" max="13" width="8" bestFit="1" customWidth="1"/>
    <col min="14" max="14" width="11.42578125" bestFit="1" customWidth="1"/>
    <col min="17" max="17" width="11.7109375" bestFit="1" customWidth="1"/>
  </cols>
  <sheetData>
    <row r="1" spans="1:15" x14ac:dyDescent="0.25">
      <c r="A1" s="3" t="s">
        <v>1</v>
      </c>
      <c r="B1" s="2" t="s">
        <v>11</v>
      </c>
      <c r="C1" s="2" t="s">
        <v>14</v>
      </c>
      <c r="D1" s="2" t="s">
        <v>4</v>
      </c>
      <c r="E1" s="2" t="s">
        <v>6</v>
      </c>
      <c r="F1" s="2" t="s">
        <v>7</v>
      </c>
      <c r="G1" s="2" t="s">
        <v>6189</v>
      </c>
      <c r="H1" t="s">
        <v>9</v>
      </c>
      <c r="I1" t="s">
        <v>10</v>
      </c>
      <c r="J1" t="s">
        <v>12</v>
      </c>
      <c r="K1" t="s">
        <v>6196</v>
      </c>
      <c r="L1" t="s">
        <v>17</v>
      </c>
      <c r="M1" t="s">
        <v>16</v>
      </c>
      <c r="N1" t="s">
        <v>6197</v>
      </c>
      <c r="O1" t="s">
        <v>6210</v>
      </c>
    </row>
    <row r="2" spans="1:15" x14ac:dyDescent="0.25">
      <c r="A2" s="3">
        <v>43713</v>
      </c>
      <c r="B2" t="s">
        <v>6138</v>
      </c>
      <c r="C2" s="2">
        <v>2</v>
      </c>
      <c r="D2" s="2" t="s">
        <v>492</v>
      </c>
      <c r="E2" s="2" t="s">
        <v>266</v>
      </c>
      <c r="F2" s="2" t="s">
        <v>19</v>
      </c>
      <c r="G2" t="s">
        <v>6190</v>
      </c>
      <c r="H2" t="str">
        <f>VLOOKUP('Combined table'!B2,products!$A$1:$G$49,2,FALSE)</f>
        <v>Rob</v>
      </c>
      <c r="I2" t="str">
        <f>VLOOKUP('Combined table'!B2,products!$A$1:$G$49,3,FALSE)</f>
        <v>M</v>
      </c>
      <c r="J2">
        <f>VLOOKUP('Combined table'!B2,products!$A$1:$G$49,4,FALSE)</f>
        <v>1</v>
      </c>
      <c r="K2">
        <f>VLOOKUP('Combined table'!B2,products!$A$1:$G$49,5,FALSE)</f>
        <v>9.9499999999999993</v>
      </c>
      <c r="L2">
        <f>VLOOKUP('Combined table'!B2,products!$A$1:$G$49,6,FALSE)</f>
        <v>0.99499999999999988</v>
      </c>
      <c r="M2">
        <f>VLOOKUP('Combined table'!B2,products!$A$1:$G$49,7,FALSE)</f>
        <v>0.59699999999999998</v>
      </c>
      <c r="N2" t="str">
        <f>TEXT(A2,"mmm yyyy")</f>
        <v>Sep 2019</v>
      </c>
      <c r="O2">
        <f>C2*K2</f>
        <v>19.899999999999999</v>
      </c>
    </row>
    <row r="3" spans="1:15" x14ac:dyDescent="0.25">
      <c r="A3" s="3">
        <v>43713</v>
      </c>
      <c r="B3" t="s">
        <v>6139</v>
      </c>
      <c r="C3" s="2">
        <v>5</v>
      </c>
      <c r="D3" s="2" t="s">
        <v>497</v>
      </c>
      <c r="E3" s="2" t="s">
        <v>329</v>
      </c>
      <c r="F3" s="2" t="s">
        <v>318</v>
      </c>
      <c r="G3" t="s">
        <v>6191</v>
      </c>
      <c r="H3" t="str">
        <f>VLOOKUP('Combined table'!B3,products!$A$1:$G$49,2,FALSE)</f>
        <v>Exc</v>
      </c>
      <c r="I3" t="str">
        <f>VLOOKUP('Combined table'!B3,products!$A$1:$G$49,3,FALSE)</f>
        <v>M</v>
      </c>
      <c r="J3">
        <f>VLOOKUP('Combined table'!B3,products!$A$1:$G$49,4,FALSE)</f>
        <v>0.5</v>
      </c>
      <c r="K3">
        <f>VLOOKUP('Combined table'!B3,products!$A$1:$G$49,5,FALSE)</f>
        <v>8.25</v>
      </c>
      <c r="L3">
        <f>VLOOKUP('Combined table'!B3,products!$A$1:$G$49,6,FALSE)</f>
        <v>1.65</v>
      </c>
      <c r="M3">
        <f>VLOOKUP('Combined table'!B3,products!$A$1:$G$49,7,FALSE)</f>
        <v>0.90749999999999997</v>
      </c>
      <c r="N3" t="str">
        <f>TEXT(A3,"mmm yyyy")</f>
        <v>Sep 2019</v>
      </c>
      <c r="O3">
        <f t="shared" ref="O3:O66" si="0">C3*K3</f>
        <v>41.25</v>
      </c>
    </row>
    <row r="4" spans="1:15" x14ac:dyDescent="0.25">
      <c r="A4" s="3">
        <v>44364</v>
      </c>
      <c r="B4" t="s">
        <v>6140</v>
      </c>
      <c r="C4" s="2">
        <v>1</v>
      </c>
      <c r="D4" s="2" t="s">
        <v>503</v>
      </c>
      <c r="E4" s="2" t="s">
        <v>125</v>
      </c>
      <c r="F4" s="2" t="s">
        <v>19</v>
      </c>
      <c r="G4" t="s">
        <v>6190</v>
      </c>
      <c r="H4" t="str">
        <f>VLOOKUP('Combined table'!B4,products!$A$1:$G$49,2,FALSE)</f>
        <v>Ara</v>
      </c>
      <c r="I4" t="str">
        <f>VLOOKUP('Combined table'!B4,products!$A$1:$G$49,3,FALSE)</f>
        <v>L</v>
      </c>
      <c r="J4">
        <f>VLOOKUP('Combined table'!B4,products!$A$1:$G$49,4,FALSE)</f>
        <v>1</v>
      </c>
      <c r="K4">
        <f>VLOOKUP('Combined table'!B4,products!$A$1:$G$49,5,FALSE)</f>
        <v>12.95</v>
      </c>
      <c r="L4">
        <f>VLOOKUP('Combined table'!B4,products!$A$1:$G$49,6,FALSE)</f>
        <v>1.2949999999999999</v>
      </c>
      <c r="M4">
        <f>VLOOKUP('Combined table'!B4,products!$A$1:$G$49,7,FALSE)</f>
        <v>1.1655</v>
      </c>
      <c r="N4" t="str">
        <f>TEXT(A4,"mmm yyyy")</f>
        <v>Jun 2021</v>
      </c>
      <c r="O4">
        <f t="shared" si="0"/>
        <v>12.95</v>
      </c>
    </row>
    <row r="5" spans="1:15" x14ac:dyDescent="0.25">
      <c r="A5" s="3">
        <v>44392</v>
      </c>
      <c r="B5" t="s">
        <v>6141</v>
      </c>
      <c r="C5" s="2">
        <v>2</v>
      </c>
      <c r="D5" s="2" t="s">
        <v>508</v>
      </c>
      <c r="E5" s="2" t="s">
        <v>83</v>
      </c>
      <c r="F5" s="2" t="s">
        <v>19</v>
      </c>
      <c r="G5" t="s">
        <v>6190</v>
      </c>
      <c r="H5" t="str">
        <f>VLOOKUP('Combined table'!B5,products!$A$1:$G$49,2,FALSE)</f>
        <v>Exc</v>
      </c>
      <c r="I5" t="str">
        <f>VLOOKUP('Combined table'!B5,products!$A$1:$G$49,3,FALSE)</f>
        <v>M</v>
      </c>
      <c r="J5">
        <f>VLOOKUP('Combined table'!B5,products!$A$1:$G$49,4,FALSE)</f>
        <v>1</v>
      </c>
      <c r="K5">
        <f>VLOOKUP('Combined table'!B5,products!$A$1:$G$49,5,FALSE)</f>
        <v>13.75</v>
      </c>
      <c r="L5">
        <f>VLOOKUP('Combined table'!B5,products!$A$1:$G$49,6,FALSE)</f>
        <v>1.375</v>
      </c>
      <c r="M5">
        <f>VLOOKUP('Combined table'!B5,products!$A$1:$G$49,7,FALSE)</f>
        <v>1.5125</v>
      </c>
      <c r="N5" t="str">
        <f>TEXT(A5,"mmm yyyy")</f>
        <v>Jul 2021</v>
      </c>
      <c r="O5">
        <f t="shared" si="0"/>
        <v>27.5</v>
      </c>
    </row>
    <row r="6" spans="1:15" x14ac:dyDescent="0.25">
      <c r="A6" s="3">
        <v>44392</v>
      </c>
      <c r="B6" t="s">
        <v>6142</v>
      </c>
      <c r="C6" s="2">
        <v>2</v>
      </c>
      <c r="D6" s="2" t="s">
        <v>514</v>
      </c>
      <c r="E6" s="2" t="s">
        <v>517</v>
      </c>
      <c r="F6" s="2" t="s">
        <v>318</v>
      </c>
      <c r="G6" t="s">
        <v>6191</v>
      </c>
      <c r="H6" t="str">
        <f>VLOOKUP('Combined table'!B6,products!$A$1:$G$49,2,FALSE)</f>
        <v>Rob</v>
      </c>
      <c r="I6" t="str">
        <f>VLOOKUP('Combined table'!B6,products!$A$1:$G$49,3,FALSE)</f>
        <v>L</v>
      </c>
      <c r="J6">
        <f>VLOOKUP('Combined table'!B6,products!$A$1:$G$49,4,FALSE)</f>
        <v>2.5</v>
      </c>
      <c r="K6">
        <f>VLOOKUP('Combined table'!B6,products!$A$1:$G$49,5,FALSE)</f>
        <v>27.484999999999996</v>
      </c>
      <c r="L6">
        <f>VLOOKUP('Combined table'!B6,products!$A$1:$G$49,6,FALSE)</f>
        <v>1.0993999999999999</v>
      </c>
      <c r="M6">
        <f>VLOOKUP('Combined table'!B6,products!$A$1:$G$49,7,FALSE)</f>
        <v>1.6490999999999998</v>
      </c>
      <c r="N6" t="str">
        <f>TEXT(A6,"mmm yyyy")</f>
        <v>Jul 2021</v>
      </c>
      <c r="O6">
        <f t="shared" si="0"/>
        <v>54.969999999999992</v>
      </c>
    </row>
    <row r="7" spans="1:15" x14ac:dyDescent="0.25">
      <c r="A7" s="3">
        <v>44412</v>
      </c>
      <c r="B7" t="s">
        <v>6143</v>
      </c>
      <c r="C7" s="2">
        <v>3</v>
      </c>
      <c r="D7" s="2" t="s">
        <v>521</v>
      </c>
      <c r="E7" s="2" t="s">
        <v>110</v>
      </c>
      <c r="F7" s="2" t="s">
        <v>19</v>
      </c>
      <c r="G7" t="s">
        <v>6191</v>
      </c>
      <c r="H7" t="str">
        <f>VLOOKUP('Combined table'!B7,products!$A$1:$G$49,2,FALSE)</f>
        <v>Lib</v>
      </c>
      <c r="I7" t="str">
        <f>VLOOKUP('Combined table'!B7,products!$A$1:$G$49,3,FALSE)</f>
        <v>D</v>
      </c>
      <c r="J7">
        <f>VLOOKUP('Combined table'!B7,products!$A$1:$G$49,4,FALSE)</f>
        <v>1</v>
      </c>
      <c r="K7">
        <f>VLOOKUP('Combined table'!B7,products!$A$1:$G$49,5,FALSE)</f>
        <v>12.95</v>
      </c>
      <c r="L7">
        <f>VLOOKUP('Combined table'!B7,products!$A$1:$G$49,6,FALSE)</f>
        <v>1.2949999999999999</v>
      </c>
      <c r="M7">
        <f>VLOOKUP('Combined table'!B7,products!$A$1:$G$49,7,FALSE)</f>
        <v>1.6835</v>
      </c>
      <c r="N7" t="str">
        <f>TEXT(A7,"mmm yyyy")</f>
        <v>Aug 2021</v>
      </c>
      <c r="O7">
        <f t="shared" si="0"/>
        <v>38.849999999999994</v>
      </c>
    </row>
    <row r="8" spans="1:15" x14ac:dyDescent="0.25">
      <c r="A8" s="3">
        <v>44582</v>
      </c>
      <c r="B8" t="s">
        <v>6144</v>
      </c>
      <c r="C8" s="2">
        <v>3</v>
      </c>
      <c r="D8" s="2" t="s">
        <v>526</v>
      </c>
      <c r="E8" s="2" t="s">
        <v>203</v>
      </c>
      <c r="F8" s="2" t="s">
        <v>19</v>
      </c>
      <c r="G8" t="s">
        <v>6190</v>
      </c>
      <c r="H8" t="str">
        <f>VLOOKUP('Combined table'!B8,products!$A$1:$G$49,2,FALSE)</f>
        <v>Exc</v>
      </c>
      <c r="I8" t="str">
        <f>VLOOKUP('Combined table'!B8,products!$A$1:$G$49,3,FALSE)</f>
        <v>D</v>
      </c>
      <c r="J8">
        <f>VLOOKUP('Combined table'!B8,products!$A$1:$G$49,4,FALSE)</f>
        <v>0.5</v>
      </c>
      <c r="K8">
        <f>VLOOKUP('Combined table'!B8,products!$A$1:$G$49,5,FALSE)</f>
        <v>7.29</v>
      </c>
      <c r="L8">
        <f>VLOOKUP('Combined table'!B8,products!$A$1:$G$49,6,FALSE)</f>
        <v>1.458</v>
      </c>
      <c r="M8">
        <f>VLOOKUP('Combined table'!B8,products!$A$1:$G$49,7,FALSE)</f>
        <v>0.80190000000000006</v>
      </c>
      <c r="N8" t="str">
        <f>TEXT(A8,"mmm yyyy")</f>
        <v>Jan 2022</v>
      </c>
      <c r="O8">
        <f t="shared" si="0"/>
        <v>21.87</v>
      </c>
    </row>
    <row r="9" spans="1:15" x14ac:dyDescent="0.25">
      <c r="A9" s="3">
        <v>44701</v>
      </c>
      <c r="B9" t="s">
        <v>6145</v>
      </c>
      <c r="C9" s="2">
        <v>1</v>
      </c>
      <c r="D9" s="2" t="s">
        <v>532</v>
      </c>
      <c r="E9" s="2" t="s">
        <v>386</v>
      </c>
      <c r="F9" s="2" t="s">
        <v>318</v>
      </c>
      <c r="G9" t="s">
        <v>6190</v>
      </c>
      <c r="H9" t="str">
        <f>VLOOKUP('Combined table'!B9,products!$A$1:$G$49,2,FALSE)</f>
        <v>Lib</v>
      </c>
      <c r="I9" t="str">
        <f>VLOOKUP('Combined table'!B9,products!$A$1:$G$49,3,FALSE)</f>
        <v>L</v>
      </c>
      <c r="J9">
        <f>VLOOKUP('Combined table'!B9,products!$A$1:$G$49,4,FALSE)</f>
        <v>0.2</v>
      </c>
      <c r="K9">
        <f>VLOOKUP('Combined table'!B9,products!$A$1:$G$49,5,FALSE)</f>
        <v>4.7549999999999999</v>
      </c>
      <c r="L9">
        <f>VLOOKUP('Combined table'!B9,products!$A$1:$G$49,6,FALSE)</f>
        <v>2.3774999999999999</v>
      </c>
      <c r="M9">
        <f>VLOOKUP('Combined table'!B9,products!$A$1:$G$49,7,FALSE)</f>
        <v>0.61814999999999998</v>
      </c>
      <c r="N9" t="str">
        <f>TEXT(A9,"mmm yyyy")</f>
        <v>May 2022</v>
      </c>
      <c r="O9">
        <f t="shared" si="0"/>
        <v>4.7549999999999999</v>
      </c>
    </row>
    <row r="10" spans="1:15" x14ac:dyDescent="0.25">
      <c r="A10" s="3">
        <v>43467</v>
      </c>
      <c r="B10" t="s">
        <v>6146</v>
      </c>
      <c r="C10" s="2">
        <v>3</v>
      </c>
      <c r="D10" s="2" t="s">
        <v>537</v>
      </c>
      <c r="E10" s="2" t="s">
        <v>27</v>
      </c>
      <c r="F10" s="2" t="s">
        <v>19</v>
      </c>
      <c r="G10" t="s">
        <v>6191</v>
      </c>
      <c r="H10" t="str">
        <f>VLOOKUP('Combined table'!B10,products!$A$1:$G$49,2,FALSE)</f>
        <v>Rob</v>
      </c>
      <c r="I10" t="str">
        <f>VLOOKUP('Combined table'!B10,products!$A$1:$G$49,3,FALSE)</f>
        <v>M</v>
      </c>
      <c r="J10">
        <f>VLOOKUP('Combined table'!B10,products!$A$1:$G$49,4,FALSE)</f>
        <v>0.5</v>
      </c>
      <c r="K10">
        <f>VLOOKUP('Combined table'!B10,products!$A$1:$G$49,5,FALSE)</f>
        <v>5.97</v>
      </c>
      <c r="L10">
        <f>VLOOKUP('Combined table'!B10,products!$A$1:$G$49,6,FALSE)</f>
        <v>1.194</v>
      </c>
      <c r="M10">
        <f>VLOOKUP('Combined table'!B10,products!$A$1:$G$49,7,FALSE)</f>
        <v>0.35819999999999996</v>
      </c>
      <c r="N10" t="str">
        <f>TEXT(A10,"mmm yyyy")</f>
        <v>Jan 2019</v>
      </c>
      <c r="O10">
        <f t="shared" si="0"/>
        <v>17.91</v>
      </c>
    </row>
    <row r="11" spans="1:15" x14ac:dyDescent="0.25">
      <c r="A11" s="3">
        <v>43713</v>
      </c>
      <c r="B11" t="s">
        <v>6146</v>
      </c>
      <c r="C11" s="2">
        <v>1</v>
      </c>
      <c r="D11" s="2" t="s">
        <v>543</v>
      </c>
      <c r="E11" s="2" t="s">
        <v>27</v>
      </c>
      <c r="F11" s="2" t="s">
        <v>19</v>
      </c>
      <c r="G11" t="s">
        <v>6191</v>
      </c>
      <c r="H11" t="str">
        <f>VLOOKUP('Combined table'!B11,products!$A$1:$G$49,2,FALSE)</f>
        <v>Rob</v>
      </c>
      <c r="I11" t="str">
        <f>VLOOKUP('Combined table'!B11,products!$A$1:$G$49,3,FALSE)</f>
        <v>M</v>
      </c>
      <c r="J11">
        <f>VLOOKUP('Combined table'!B11,products!$A$1:$G$49,4,FALSE)</f>
        <v>0.5</v>
      </c>
      <c r="K11">
        <f>VLOOKUP('Combined table'!B11,products!$A$1:$G$49,5,FALSE)</f>
        <v>5.97</v>
      </c>
      <c r="L11">
        <f>VLOOKUP('Combined table'!B11,products!$A$1:$G$49,6,FALSE)</f>
        <v>1.194</v>
      </c>
      <c r="M11">
        <f>VLOOKUP('Combined table'!B11,products!$A$1:$G$49,7,FALSE)</f>
        <v>0.35819999999999996</v>
      </c>
      <c r="N11" t="str">
        <f>TEXT(A11,"mmm yyyy")</f>
        <v>Sep 2019</v>
      </c>
      <c r="O11">
        <f t="shared" si="0"/>
        <v>5.97</v>
      </c>
    </row>
    <row r="12" spans="1:15" x14ac:dyDescent="0.25">
      <c r="A12" s="3">
        <v>44263</v>
      </c>
      <c r="B12" t="s">
        <v>6147</v>
      </c>
      <c r="C12" s="2">
        <v>4</v>
      </c>
      <c r="D12" s="2" t="s">
        <v>549</v>
      </c>
      <c r="E12" s="2" t="s">
        <v>98</v>
      </c>
      <c r="F12" s="2" t="s">
        <v>19</v>
      </c>
      <c r="G12" t="s">
        <v>6191</v>
      </c>
      <c r="H12" t="str">
        <f>VLOOKUP('Combined table'!B12,products!$A$1:$G$49,2,FALSE)</f>
        <v>Ara</v>
      </c>
      <c r="I12" t="str">
        <f>VLOOKUP('Combined table'!B12,products!$A$1:$G$49,3,FALSE)</f>
        <v>D</v>
      </c>
      <c r="J12">
        <f>VLOOKUP('Combined table'!B12,products!$A$1:$G$49,4,FALSE)</f>
        <v>1</v>
      </c>
      <c r="K12">
        <f>VLOOKUP('Combined table'!B12,products!$A$1:$G$49,5,FALSE)</f>
        <v>9.9499999999999993</v>
      </c>
      <c r="L12">
        <f>VLOOKUP('Combined table'!B12,products!$A$1:$G$49,6,FALSE)</f>
        <v>0.99499999999999988</v>
      </c>
      <c r="M12">
        <f>VLOOKUP('Combined table'!B12,products!$A$1:$G$49,7,FALSE)</f>
        <v>0.89549999999999985</v>
      </c>
      <c r="N12" t="str">
        <f>TEXT(A12,"mmm yyyy")</f>
        <v>Mar 2021</v>
      </c>
      <c r="O12">
        <f t="shared" si="0"/>
        <v>39.799999999999997</v>
      </c>
    </row>
    <row r="13" spans="1:15" x14ac:dyDescent="0.25">
      <c r="A13" s="3">
        <v>44132</v>
      </c>
      <c r="B13" t="s">
        <v>6148</v>
      </c>
      <c r="C13" s="2">
        <v>5</v>
      </c>
      <c r="D13" s="2" t="s">
        <v>555</v>
      </c>
      <c r="E13" s="2" t="s">
        <v>98</v>
      </c>
      <c r="F13" s="2" t="s">
        <v>19</v>
      </c>
      <c r="G13" t="s">
        <v>6190</v>
      </c>
      <c r="H13" t="str">
        <f>VLOOKUP('Combined table'!B13,products!$A$1:$G$49,2,FALSE)</f>
        <v>Exc</v>
      </c>
      <c r="I13" t="str">
        <f>VLOOKUP('Combined table'!B13,products!$A$1:$G$49,3,FALSE)</f>
        <v>L</v>
      </c>
      <c r="J13">
        <f>VLOOKUP('Combined table'!B13,products!$A$1:$G$49,4,FALSE)</f>
        <v>2.5</v>
      </c>
      <c r="K13">
        <f>VLOOKUP('Combined table'!B13,products!$A$1:$G$49,5,FALSE)</f>
        <v>34.154999999999994</v>
      </c>
      <c r="L13">
        <f>VLOOKUP('Combined table'!B13,products!$A$1:$G$49,6,FALSE)</f>
        <v>1.3661999999999999</v>
      </c>
      <c r="M13">
        <f>VLOOKUP('Combined table'!B13,products!$A$1:$G$49,7,FALSE)</f>
        <v>3.7570499999999996</v>
      </c>
      <c r="N13" t="str">
        <f>TEXT(A13,"mmm yyyy")</f>
        <v>Oct 2020</v>
      </c>
      <c r="O13">
        <f t="shared" si="0"/>
        <v>170.77499999999998</v>
      </c>
    </row>
    <row r="14" spans="1:15" x14ac:dyDescent="0.25">
      <c r="A14" s="3">
        <v>44744</v>
      </c>
      <c r="B14" t="s">
        <v>6138</v>
      </c>
      <c r="C14" s="2">
        <v>5</v>
      </c>
      <c r="D14" s="2" t="s">
        <v>561</v>
      </c>
      <c r="E14" s="2" t="s">
        <v>38</v>
      </c>
      <c r="F14" s="2" t="s">
        <v>19</v>
      </c>
      <c r="G14" t="s">
        <v>6191</v>
      </c>
      <c r="H14" t="str">
        <f>VLOOKUP('Combined table'!B14,products!$A$1:$G$49,2,FALSE)</f>
        <v>Rob</v>
      </c>
      <c r="I14" t="str">
        <f>VLOOKUP('Combined table'!B14,products!$A$1:$G$49,3,FALSE)</f>
        <v>M</v>
      </c>
      <c r="J14">
        <f>VLOOKUP('Combined table'!B14,products!$A$1:$G$49,4,FALSE)</f>
        <v>1</v>
      </c>
      <c r="K14">
        <f>VLOOKUP('Combined table'!B14,products!$A$1:$G$49,5,FALSE)</f>
        <v>9.9499999999999993</v>
      </c>
      <c r="L14">
        <f>VLOOKUP('Combined table'!B14,products!$A$1:$G$49,6,FALSE)</f>
        <v>0.99499999999999988</v>
      </c>
      <c r="M14">
        <f>VLOOKUP('Combined table'!B14,products!$A$1:$G$49,7,FALSE)</f>
        <v>0.59699999999999998</v>
      </c>
      <c r="N14" t="str">
        <f>TEXT(A14,"mmm yyyy")</f>
        <v>Jul 2022</v>
      </c>
      <c r="O14">
        <f t="shared" si="0"/>
        <v>49.75</v>
      </c>
    </row>
    <row r="15" spans="1:15" x14ac:dyDescent="0.25">
      <c r="A15" s="3">
        <v>43973</v>
      </c>
      <c r="B15" t="s">
        <v>6149</v>
      </c>
      <c r="C15" s="2">
        <v>2</v>
      </c>
      <c r="D15" s="2" t="s">
        <v>567</v>
      </c>
      <c r="E15" s="2" t="s">
        <v>269</v>
      </c>
      <c r="F15" s="2" t="s">
        <v>19</v>
      </c>
      <c r="G15" t="s">
        <v>6191</v>
      </c>
      <c r="H15" t="str">
        <f>VLOOKUP('Combined table'!B15,products!$A$1:$G$49,2,FALSE)</f>
        <v>Rob</v>
      </c>
      <c r="I15" t="str">
        <f>VLOOKUP('Combined table'!B15,products!$A$1:$G$49,3,FALSE)</f>
        <v>D</v>
      </c>
      <c r="J15">
        <f>VLOOKUP('Combined table'!B15,products!$A$1:$G$49,4,FALSE)</f>
        <v>2.5</v>
      </c>
      <c r="K15">
        <f>VLOOKUP('Combined table'!B15,products!$A$1:$G$49,5,FALSE)</f>
        <v>20.584999999999997</v>
      </c>
      <c r="L15">
        <f>VLOOKUP('Combined table'!B15,products!$A$1:$G$49,6,FALSE)</f>
        <v>0.82339999999999991</v>
      </c>
      <c r="M15">
        <f>VLOOKUP('Combined table'!B15,products!$A$1:$G$49,7,FALSE)</f>
        <v>1.2350999999999999</v>
      </c>
      <c r="N15" t="str">
        <f>TEXT(A15,"mmm yyyy")</f>
        <v>May 2020</v>
      </c>
      <c r="O15">
        <f t="shared" si="0"/>
        <v>41.169999999999995</v>
      </c>
    </row>
    <row r="16" spans="1:15" x14ac:dyDescent="0.25">
      <c r="A16" s="3">
        <v>44656</v>
      </c>
      <c r="B16" t="s">
        <v>6150</v>
      </c>
      <c r="C16" s="2">
        <v>3</v>
      </c>
      <c r="D16" s="2" t="s">
        <v>572</v>
      </c>
      <c r="E16" s="2" t="s">
        <v>104</v>
      </c>
      <c r="F16" s="2" t="s">
        <v>19</v>
      </c>
      <c r="G16" t="s">
        <v>6190</v>
      </c>
      <c r="H16" t="str">
        <f>VLOOKUP('Combined table'!B16,products!$A$1:$G$49,2,FALSE)</f>
        <v>Lib</v>
      </c>
      <c r="I16" t="str">
        <f>VLOOKUP('Combined table'!B16,products!$A$1:$G$49,3,FALSE)</f>
        <v>D</v>
      </c>
      <c r="J16">
        <f>VLOOKUP('Combined table'!B16,products!$A$1:$G$49,4,FALSE)</f>
        <v>0.2</v>
      </c>
      <c r="K16">
        <f>VLOOKUP('Combined table'!B16,products!$A$1:$G$49,5,FALSE)</f>
        <v>3.8849999999999998</v>
      </c>
      <c r="L16">
        <f>VLOOKUP('Combined table'!B16,products!$A$1:$G$49,6,FALSE)</f>
        <v>1.9424999999999999</v>
      </c>
      <c r="M16">
        <f>VLOOKUP('Combined table'!B16,products!$A$1:$G$49,7,FALSE)</f>
        <v>0.50505</v>
      </c>
      <c r="N16" t="str">
        <f>TEXT(A16,"mmm yyyy")</f>
        <v>Apr 2022</v>
      </c>
      <c r="O16">
        <f t="shared" si="0"/>
        <v>11.654999999999999</v>
      </c>
    </row>
    <row r="17" spans="1:18" x14ac:dyDescent="0.25">
      <c r="A17" s="3">
        <v>44719</v>
      </c>
      <c r="B17" t="s">
        <v>6151</v>
      </c>
      <c r="C17" s="2">
        <v>5</v>
      </c>
      <c r="D17" s="2" t="s">
        <v>578</v>
      </c>
      <c r="E17" s="2" t="s">
        <v>46</v>
      </c>
      <c r="F17" s="2" t="s">
        <v>19</v>
      </c>
      <c r="G17" t="s">
        <v>6191</v>
      </c>
      <c r="H17" t="str">
        <f>VLOOKUP('Combined table'!B17,products!$A$1:$G$49,2,FALSE)</f>
        <v>Rob</v>
      </c>
      <c r="I17" t="str">
        <f>VLOOKUP('Combined table'!B17,products!$A$1:$G$49,3,FALSE)</f>
        <v>M</v>
      </c>
      <c r="J17">
        <f>VLOOKUP('Combined table'!B17,products!$A$1:$G$49,4,FALSE)</f>
        <v>2.5</v>
      </c>
      <c r="K17">
        <f>VLOOKUP('Combined table'!B17,products!$A$1:$G$49,5,FALSE)</f>
        <v>22.884999999999998</v>
      </c>
      <c r="L17">
        <f>VLOOKUP('Combined table'!B17,products!$A$1:$G$49,6,FALSE)</f>
        <v>0.91539999999999988</v>
      </c>
      <c r="M17">
        <f>VLOOKUP('Combined table'!B17,products!$A$1:$G$49,7,FALSE)</f>
        <v>1.3730999999999998</v>
      </c>
      <c r="N17" t="str">
        <f>TEXT(A17,"mmm yyyy")</f>
        <v>Jun 2022</v>
      </c>
      <c r="O17">
        <f t="shared" si="0"/>
        <v>114.42499999999998</v>
      </c>
    </row>
    <row r="18" spans="1:18" x14ac:dyDescent="0.25">
      <c r="A18" s="3">
        <v>43544</v>
      </c>
      <c r="B18" t="s">
        <v>6152</v>
      </c>
      <c r="C18" s="2">
        <v>6</v>
      </c>
      <c r="D18" s="2" t="s">
        <v>583</v>
      </c>
      <c r="E18" s="2" t="s">
        <v>189</v>
      </c>
      <c r="F18" s="2" t="s">
        <v>19</v>
      </c>
      <c r="G18" t="s">
        <v>6191</v>
      </c>
      <c r="H18" t="str">
        <f>VLOOKUP('Combined table'!B18,products!$A$1:$G$49,2,FALSE)</f>
        <v>Ara</v>
      </c>
      <c r="I18" t="str">
        <f>VLOOKUP('Combined table'!B18,products!$A$1:$G$49,3,FALSE)</f>
        <v>M</v>
      </c>
      <c r="J18">
        <f>VLOOKUP('Combined table'!B18,products!$A$1:$G$49,4,FALSE)</f>
        <v>0.2</v>
      </c>
      <c r="K18">
        <f>VLOOKUP('Combined table'!B18,products!$A$1:$G$49,5,FALSE)</f>
        <v>3.375</v>
      </c>
      <c r="L18">
        <f>VLOOKUP('Combined table'!B18,products!$A$1:$G$49,6,FALSE)</f>
        <v>1.6875</v>
      </c>
      <c r="M18">
        <f>VLOOKUP('Combined table'!B18,products!$A$1:$G$49,7,FALSE)</f>
        <v>0.30374999999999996</v>
      </c>
      <c r="N18" t="str">
        <f>TEXT(A18,"mmm yyyy")</f>
        <v>Mar 2019</v>
      </c>
      <c r="O18">
        <f t="shared" si="0"/>
        <v>20.25</v>
      </c>
    </row>
    <row r="19" spans="1:18" x14ac:dyDescent="0.25">
      <c r="A19" s="3">
        <v>43757</v>
      </c>
      <c r="B19" t="s">
        <v>6140</v>
      </c>
      <c r="C19" s="2">
        <v>6</v>
      </c>
      <c r="D19" s="2" t="s">
        <v>589</v>
      </c>
      <c r="E19" s="2" t="s">
        <v>63</v>
      </c>
      <c r="F19" s="2" t="s">
        <v>19</v>
      </c>
      <c r="G19" t="s">
        <v>6191</v>
      </c>
      <c r="H19" t="str">
        <f>VLOOKUP('Combined table'!B19,products!$A$1:$G$49,2,FALSE)</f>
        <v>Ara</v>
      </c>
      <c r="I19" t="str">
        <f>VLOOKUP('Combined table'!B19,products!$A$1:$G$49,3,FALSE)</f>
        <v>L</v>
      </c>
      <c r="J19">
        <f>VLOOKUP('Combined table'!B19,products!$A$1:$G$49,4,FALSE)</f>
        <v>1</v>
      </c>
      <c r="K19">
        <f>VLOOKUP('Combined table'!B19,products!$A$1:$G$49,5,FALSE)</f>
        <v>12.95</v>
      </c>
      <c r="L19">
        <f>VLOOKUP('Combined table'!B19,products!$A$1:$G$49,6,FALSE)</f>
        <v>1.2949999999999999</v>
      </c>
      <c r="M19">
        <f>VLOOKUP('Combined table'!B19,products!$A$1:$G$49,7,FALSE)</f>
        <v>1.1655</v>
      </c>
      <c r="N19" t="str">
        <f>TEXT(A19,"mmm yyyy")</f>
        <v>Oct 2019</v>
      </c>
      <c r="O19">
        <f t="shared" si="0"/>
        <v>77.699999999999989</v>
      </c>
    </row>
    <row r="20" spans="1:18" x14ac:dyDescent="0.25">
      <c r="A20" s="3">
        <v>43629</v>
      </c>
      <c r="B20" t="s">
        <v>6149</v>
      </c>
      <c r="C20" s="2">
        <v>4</v>
      </c>
      <c r="D20" s="2" t="s">
        <v>595</v>
      </c>
      <c r="E20" s="2" t="s">
        <v>474</v>
      </c>
      <c r="F20" s="2" t="s">
        <v>318</v>
      </c>
      <c r="G20" t="s">
        <v>6190</v>
      </c>
      <c r="H20" t="str">
        <f>VLOOKUP('Combined table'!B20,products!$A$1:$G$49,2,FALSE)</f>
        <v>Rob</v>
      </c>
      <c r="I20" t="str">
        <f>VLOOKUP('Combined table'!B20,products!$A$1:$G$49,3,FALSE)</f>
        <v>D</v>
      </c>
      <c r="J20">
        <f>VLOOKUP('Combined table'!B20,products!$A$1:$G$49,4,FALSE)</f>
        <v>2.5</v>
      </c>
      <c r="K20">
        <f>VLOOKUP('Combined table'!B20,products!$A$1:$G$49,5,FALSE)</f>
        <v>20.584999999999997</v>
      </c>
      <c r="L20">
        <f>VLOOKUP('Combined table'!B20,products!$A$1:$G$49,6,FALSE)</f>
        <v>0.82339999999999991</v>
      </c>
      <c r="M20">
        <f>VLOOKUP('Combined table'!B20,products!$A$1:$G$49,7,FALSE)</f>
        <v>1.2350999999999999</v>
      </c>
      <c r="N20" t="str">
        <f>TEXT(A20,"mmm yyyy")</f>
        <v>Jun 2019</v>
      </c>
      <c r="O20">
        <f t="shared" si="0"/>
        <v>82.339999999999989</v>
      </c>
    </row>
    <row r="21" spans="1:18" x14ac:dyDescent="0.25">
      <c r="A21" s="3">
        <v>44169</v>
      </c>
      <c r="B21" t="s">
        <v>6152</v>
      </c>
      <c r="C21" s="2">
        <v>5</v>
      </c>
      <c r="D21" s="2" t="s">
        <v>600</v>
      </c>
      <c r="E21" s="2" t="s">
        <v>57</v>
      </c>
      <c r="F21" s="2" t="s">
        <v>19</v>
      </c>
      <c r="G21" t="s">
        <v>6190</v>
      </c>
      <c r="H21" t="str">
        <f>VLOOKUP('Combined table'!B21,products!$A$1:$G$49,2,FALSE)</f>
        <v>Ara</v>
      </c>
      <c r="I21" t="str">
        <f>VLOOKUP('Combined table'!B21,products!$A$1:$G$49,3,FALSE)</f>
        <v>M</v>
      </c>
      <c r="J21">
        <f>VLOOKUP('Combined table'!B21,products!$A$1:$G$49,4,FALSE)</f>
        <v>0.2</v>
      </c>
      <c r="K21">
        <f>VLOOKUP('Combined table'!B21,products!$A$1:$G$49,5,FALSE)</f>
        <v>3.375</v>
      </c>
      <c r="L21">
        <f>VLOOKUP('Combined table'!B21,products!$A$1:$G$49,6,FALSE)</f>
        <v>1.6875</v>
      </c>
      <c r="M21">
        <f>VLOOKUP('Combined table'!B21,products!$A$1:$G$49,7,FALSE)</f>
        <v>0.30374999999999996</v>
      </c>
      <c r="N21" t="str">
        <f>TEXT(A21,"mmm yyyy")</f>
        <v>Dec 2020</v>
      </c>
      <c r="O21">
        <f t="shared" si="0"/>
        <v>16.875</v>
      </c>
      <c r="Q21" t="s">
        <v>6260</v>
      </c>
      <c r="R21">
        <f>CORREL(O:O,M:M)</f>
        <v>0.70657726365159135</v>
      </c>
    </row>
    <row r="22" spans="1:18" x14ac:dyDescent="0.25">
      <c r="A22" s="3">
        <v>44169</v>
      </c>
      <c r="B22" t="s">
        <v>6153</v>
      </c>
      <c r="C22" s="2">
        <v>4</v>
      </c>
      <c r="D22" s="2" t="s">
        <v>605</v>
      </c>
      <c r="E22" s="2" t="s">
        <v>435</v>
      </c>
      <c r="F22" s="2" t="s">
        <v>318</v>
      </c>
      <c r="G22" t="s">
        <v>6190</v>
      </c>
      <c r="H22" t="str">
        <f>VLOOKUP('Combined table'!B22,products!$A$1:$G$49,2,FALSE)</f>
        <v>Exc</v>
      </c>
      <c r="I22" t="str">
        <f>VLOOKUP('Combined table'!B22,products!$A$1:$G$49,3,FALSE)</f>
        <v>D</v>
      </c>
      <c r="J22">
        <f>VLOOKUP('Combined table'!B22,products!$A$1:$G$49,4,FALSE)</f>
        <v>0.2</v>
      </c>
      <c r="K22">
        <f>VLOOKUP('Combined table'!B22,products!$A$1:$G$49,5,FALSE)</f>
        <v>3.645</v>
      </c>
      <c r="L22">
        <f>VLOOKUP('Combined table'!B22,products!$A$1:$G$49,6,FALSE)</f>
        <v>1.8225</v>
      </c>
      <c r="M22">
        <f>VLOOKUP('Combined table'!B22,products!$A$1:$G$49,7,FALSE)</f>
        <v>0.40095000000000003</v>
      </c>
      <c r="N22" t="str">
        <f>TEXT(A22,"mmm yyyy")</f>
        <v>Dec 2020</v>
      </c>
      <c r="O22">
        <f t="shared" si="0"/>
        <v>14.58</v>
      </c>
    </row>
    <row r="23" spans="1:18" x14ac:dyDescent="0.25">
      <c r="A23" s="3">
        <v>44169</v>
      </c>
      <c r="B23" t="s">
        <v>6154</v>
      </c>
      <c r="C23" s="2">
        <v>6</v>
      </c>
      <c r="D23" s="2" t="s">
        <v>610</v>
      </c>
      <c r="E23" s="2" t="s">
        <v>183</v>
      </c>
      <c r="F23" s="2" t="s">
        <v>19</v>
      </c>
      <c r="G23" t="s">
        <v>6191</v>
      </c>
      <c r="H23" t="str">
        <f>VLOOKUP('Combined table'!B23,products!$A$1:$G$49,2,FALSE)</f>
        <v>Ara</v>
      </c>
      <c r="I23" t="str">
        <f>VLOOKUP('Combined table'!B23,products!$A$1:$G$49,3,FALSE)</f>
        <v>D</v>
      </c>
      <c r="J23">
        <f>VLOOKUP('Combined table'!B23,products!$A$1:$G$49,4,FALSE)</f>
        <v>0.2</v>
      </c>
      <c r="K23">
        <f>VLOOKUP('Combined table'!B23,products!$A$1:$G$49,5,FALSE)</f>
        <v>2.9849999999999999</v>
      </c>
      <c r="L23">
        <f>VLOOKUP('Combined table'!B23,products!$A$1:$G$49,6,FALSE)</f>
        <v>1.4924999999999999</v>
      </c>
      <c r="M23">
        <f>VLOOKUP('Combined table'!B23,products!$A$1:$G$49,7,FALSE)</f>
        <v>0.26865</v>
      </c>
      <c r="N23" t="str">
        <f>TEXT(A23,"mmm yyyy")</f>
        <v>Dec 2020</v>
      </c>
      <c r="O23">
        <f t="shared" si="0"/>
        <v>17.91</v>
      </c>
    </row>
    <row r="24" spans="1:18" x14ac:dyDescent="0.25">
      <c r="A24" s="3">
        <v>44218</v>
      </c>
      <c r="B24" t="s">
        <v>6151</v>
      </c>
      <c r="C24" s="2">
        <v>4</v>
      </c>
      <c r="D24" s="2" t="s">
        <v>616</v>
      </c>
      <c r="E24" s="2" t="s">
        <v>211</v>
      </c>
      <c r="F24" s="2" t="s">
        <v>19</v>
      </c>
      <c r="G24" t="s">
        <v>6190</v>
      </c>
      <c r="H24" t="str">
        <f>VLOOKUP('Combined table'!B24,products!$A$1:$G$49,2,FALSE)</f>
        <v>Rob</v>
      </c>
      <c r="I24" t="str">
        <f>VLOOKUP('Combined table'!B24,products!$A$1:$G$49,3,FALSE)</f>
        <v>M</v>
      </c>
      <c r="J24">
        <f>VLOOKUP('Combined table'!B24,products!$A$1:$G$49,4,FALSE)</f>
        <v>2.5</v>
      </c>
      <c r="K24">
        <f>VLOOKUP('Combined table'!B24,products!$A$1:$G$49,5,FALSE)</f>
        <v>22.884999999999998</v>
      </c>
      <c r="L24">
        <f>VLOOKUP('Combined table'!B24,products!$A$1:$G$49,6,FALSE)</f>
        <v>0.91539999999999988</v>
      </c>
      <c r="M24">
        <f>VLOOKUP('Combined table'!B24,products!$A$1:$G$49,7,FALSE)</f>
        <v>1.3730999999999998</v>
      </c>
      <c r="N24" t="str">
        <f>TEXT(A24,"mmm yyyy")</f>
        <v>Jan 2021</v>
      </c>
      <c r="O24">
        <f t="shared" si="0"/>
        <v>91.539999999999992</v>
      </c>
    </row>
    <row r="25" spans="1:18" x14ac:dyDescent="0.25">
      <c r="A25" s="3">
        <v>44603</v>
      </c>
      <c r="B25" t="s">
        <v>6154</v>
      </c>
      <c r="C25" s="2">
        <v>4</v>
      </c>
      <c r="D25" s="2" t="s">
        <v>622</v>
      </c>
      <c r="E25" s="2" t="s">
        <v>91</v>
      </c>
      <c r="F25" s="2" t="s">
        <v>19</v>
      </c>
      <c r="G25" t="s">
        <v>6190</v>
      </c>
      <c r="H25" t="str">
        <f>VLOOKUP('Combined table'!B25,products!$A$1:$G$49,2,FALSE)</f>
        <v>Ara</v>
      </c>
      <c r="I25" t="str">
        <f>VLOOKUP('Combined table'!B25,products!$A$1:$G$49,3,FALSE)</f>
        <v>D</v>
      </c>
      <c r="J25">
        <f>VLOOKUP('Combined table'!B25,products!$A$1:$G$49,4,FALSE)</f>
        <v>0.2</v>
      </c>
      <c r="K25">
        <f>VLOOKUP('Combined table'!B25,products!$A$1:$G$49,5,FALSE)</f>
        <v>2.9849999999999999</v>
      </c>
      <c r="L25">
        <f>VLOOKUP('Combined table'!B25,products!$A$1:$G$49,6,FALSE)</f>
        <v>1.4924999999999999</v>
      </c>
      <c r="M25">
        <f>VLOOKUP('Combined table'!B25,products!$A$1:$G$49,7,FALSE)</f>
        <v>0.26865</v>
      </c>
      <c r="N25" t="str">
        <f>TEXT(A25,"mmm yyyy")</f>
        <v>Feb 2022</v>
      </c>
      <c r="O25">
        <f t="shared" si="0"/>
        <v>11.94</v>
      </c>
    </row>
    <row r="26" spans="1:18" x14ac:dyDescent="0.25">
      <c r="A26" s="3">
        <v>44454</v>
      </c>
      <c r="B26" t="s">
        <v>6155</v>
      </c>
      <c r="C26" s="2">
        <v>1</v>
      </c>
      <c r="D26" s="2" t="s">
        <v>628</v>
      </c>
      <c r="E26" s="2" t="s">
        <v>157</v>
      </c>
      <c r="F26" s="2" t="s">
        <v>19</v>
      </c>
      <c r="G26" t="s">
        <v>6191</v>
      </c>
      <c r="H26" t="str">
        <f>VLOOKUP('Combined table'!B26,products!$A$1:$G$49,2,FALSE)</f>
        <v>Ara</v>
      </c>
      <c r="I26" t="str">
        <f>VLOOKUP('Combined table'!B26,products!$A$1:$G$49,3,FALSE)</f>
        <v>M</v>
      </c>
      <c r="J26">
        <f>VLOOKUP('Combined table'!B26,products!$A$1:$G$49,4,FALSE)</f>
        <v>1</v>
      </c>
      <c r="K26">
        <f>VLOOKUP('Combined table'!B26,products!$A$1:$G$49,5,FALSE)</f>
        <v>11.25</v>
      </c>
      <c r="L26">
        <f>VLOOKUP('Combined table'!B26,products!$A$1:$G$49,6,FALSE)</f>
        <v>1.125</v>
      </c>
      <c r="M26">
        <f>VLOOKUP('Combined table'!B26,products!$A$1:$G$49,7,FALSE)</f>
        <v>1.0125</v>
      </c>
      <c r="N26" t="str">
        <f>TEXT(A26,"mmm yyyy")</f>
        <v>Sep 2021</v>
      </c>
      <c r="O26">
        <f t="shared" si="0"/>
        <v>11.25</v>
      </c>
    </row>
    <row r="27" spans="1:18" x14ac:dyDescent="0.25">
      <c r="A27" s="3">
        <v>44128</v>
      </c>
      <c r="B27" t="s">
        <v>6156</v>
      </c>
      <c r="C27" s="2">
        <v>3</v>
      </c>
      <c r="D27" s="2" t="s">
        <v>634</v>
      </c>
      <c r="E27" s="2" t="s">
        <v>211</v>
      </c>
      <c r="F27" s="2" t="s">
        <v>19</v>
      </c>
      <c r="G27" t="s">
        <v>6190</v>
      </c>
      <c r="H27" t="str">
        <f>VLOOKUP('Combined table'!B27,products!$A$1:$G$49,2,FALSE)</f>
        <v>Exc</v>
      </c>
      <c r="I27" t="str">
        <f>VLOOKUP('Combined table'!B27,products!$A$1:$G$49,3,FALSE)</f>
        <v>M</v>
      </c>
      <c r="J27">
        <f>VLOOKUP('Combined table'!B27,products!$A$1:$G$49,4,FALSE)</f>
        <v>0.2</v>
      </c>
      <c r="K27">
        <f>VLOOKUP('Combined table'!B27,products!$A$1:$G$49,5,FALSE)</f>
        <v>4.125</v>
      </c>
      <c r="L27">
        <f>VLOOKUP('Combined table'!B27,products!$A$1:$G$49,6,FALSE)</f>
        <v>2.0625</v>
      </c>
      <c r="M27">
        <f>VLOOKUP('Combined table'!B27,products!$A$1:$G$49,7,FALSE)</f>
        <v>0.45374999999999999</v>
      </c>
      <c r="N27" t="str">
        <f>TEXT(A27,"mmm yyyy")</f>
        <v>Oct 2020</v>
      </c>
      <c r="O27">
        <f t="shared" si="0"/>
        <v>12.375</v>
      </c>
    </row>
    <row r="28" spans="1:18" x14ac:dyDescent="0.25">
      <c r="A28" s="3">
        <v>43516</v>
      </c>
      <c r="B28" t="s">
        <v>6157</v>
      </c>
      <c r="C28" s="2">
        <v>4</v>
      </c>
      <c r="D28" s="2" t="s">
        <v>639</v>
      </c>
      <c r="E28" s="2" t="s">
        <v>40</v>
      </c>
      <c r="F28" s="2" t="s">
        <v>19</v>
      </c>
      <c r="G28" t="s">
        <v>6190</v>
      </c>
      <c r="H28" t="str">
        <f>VLOOKUP('Combined table'!B28,products!$A$1:$G$49,2,FALSE)</f>
        <v>Ara</v>
      </c>
      <c r="I28" t="str">
        <f>VLOOKUP('Combined table'!B28,products!$A$1:$G$49,3,FALSE)</f>
        <v>M</v>
      </c>
      <c r="J28">
        <f>VLOOKUP('Combined table'!B28,products!$A$1:$G$49,4,FALSE)</f>
        <v>0.5</v>
      </c>
      <c r="K28">
        <f>VLOOKUP('Combined table'!B28,products!$A$1:$G$49,5,FALSE)</f>
        <v>6.75</v>
      </c>
      <c r="L28">
        <f>VLOOKUP('Combined table'!B28,products!$A$1:$G$49,6,FALSE)</f>
        <v>1.35</v>
      </c>
      <c r="M28">
        <f>VLOOKUP('Combined table'!B28,products!$A$1:$G$49,7,FALSE)</f>
        <v>0.60749999999999993</v>
      </c>
      <c r="N28" t="str">
        <f>TEXT(A28,"mmm yyyy")</f>
        <v>Feb 2019</v>
      </c>
      <c r="O28">
        <f t="shared" si="0"/>
        <v>27</v>
      </c>
    </row>
    <row r="29" spans="1:18" x14ac:dyDescent="0.25">
      <c r="A29" s="3">
        <v>43746</v>
      </c>
      <c r="B29" t="s">
        <v>6152</v>
      </c>
      <c r="C29" s="2">
        <v>5</v>
      </c>
      <c r="D29" s="2" t="s">
        <v>645</v>
      </c>
      <c r="E29" s="2" t="s">
        <v>433</v>
      </c>
      <c r="F29" s="2" t="s">
        <v>318</v>
      </c>
      <c r="G29" t="s">
        <v>6191</v>
      </c>
      <c r="H29" t="str">
        <f>VLOOKUP('Combined table'!B29,products!$A$1:$G$49,2,FALSE)</f>
        <v>Ara</v>
      </c>
      <c r="I29" t="str">
        <f>VLOOKUP('Combined table'!B29,products!$A$1:$G$49,3,FALSE)</f>
        <v>M</v>
      </c>
      <c r="J29">
        <f>VLOOKUP('Combined table'!B29,products!$A$1:$G$49,4,FALSE)</f>
        <v>0.2</v>
      </c>
      <c r="K29">
        <f>VLOOKUP('Combined table'!B29,products!$A$1:$G$49,5,FALSE)</f>
        <v>3.375</v>
      </c>
      <c r="L29">
        <f>VLOOKUP('Combined table'!B29,products!$A$1:$G$49,6,FALSE)</f>
        <v>1.6875</v>
      </c>
      <c r="M29">
        <f>VLOOKUP('Combined table'!B29,products!$A$1:$G$49,7,FALSE)</f>
        <v>0.30374999999999996</v>
      </c>
      <c r="N29" t="str">
        <f>TEXT(A29,"mmm yyyy")</f>
        <v>Oct 2019</v>
      </c>
      <c r="O29">
        <f t="shared" si="0"/>
        <v>16.875</v>
      </c>
    </row>
    <row r="30" spans="1:18" x14ac:dyDescent="0.25">
      <c r="A30" s="3">
        <v>44775</v>
      </c>
      <c r="B30" t="s">
        <v>6158</v>
      </c>
      <c r="C30" s="2">
        <v>3</v>
      </c>
      <c r="D30" s="2" t="s">
        <v>651</v>
      </c>
      <c r="E30" s="2" t="s">
        <v>347</v>
      </c>
      <c r="F30" s="2" t="s">
        <v>318</v>
      </c>
      <c r="G30" t="s">
        <v>6191</v>
      </c>
      <c r="H30" t="str">
        <f>VLOOKUP('Combined table'!B30,products!$A$1:$G$49,2,FALSE)</f>
        <v>Ara</v>
      </c>
      <c r="I30" t="str">
        <f>VLOOKUP('Combined table'!B30,products!$A$1:$G$49,3,FALSE)</f>
        <v>D</v>
      </c>
      <c r="J30">
        <f>VLOOKUP('Combined table'!B30,products!$A$1:$G$49,4,FALSE)</f>
        <v>0.5</v>
      </c>
      <c r="K30">
        <f>VLOOKUP('Combined table'!B30,products!$A$1:$G$49,5,FALSE)</f>
        <v>5.97</v>
      </c>
      <c r="L30">
        <f>VLOOKUP('Combined table'!B30,products!$A$1:$G$49,6,FALSE)</f>
        <v>1.194</v>
      </c>
      <c r="M30">
        <f>VLOOKUP('Combined table'!B30,products!$A$1:$G$49,7,FALSE)</f>
        <v>0.5373</v>
      </c>
      <c r="N30" t="str">
        <f>TEXT(A30,"mmm yyyy")</f>
        <v>Aug 2022</v>
      </c>
      <c r="O30">
        <f t="shared" si="0"/>
        <v>17.91</v>
      </c>
    </row>
    <row r="31" spans="1:18" x14ac:dyDescent="0.25">
      <c r="A31" s="3">
        <v>43516</v>
      </c>
      <c r="B31" t="s">
        <v>6147</v>
      </c>
      <c r="C31" s="2">
        <v>4</v>
      </c>
      <c r="D31" s="2" t="s">
        <v>657</v>
      </c>
      <c r="E31" s="2" t="s">
        <v>423</v>
      </c>
      <c r="F31" s="2" t="s">
        <v>318</v>
      </c>
      <c r="G31" t="s">
        <v>6190</v>
      </c>
      <c r="H31" t="str">
        <f>VLOOKUP('Combined table'!B31,products!$A$1:$G$49,2,FALSE)</f>
        <v>Ara</v>
      </c>
      <c r="I31" t="str">
        <f>VLOOKUP('Combined table'!B31,products!$A$1:$G$49,3,FALSE)</f>
        <v>D</v>
      </c>
      <c r="J31">
        <f>VLOOKUP('Combined table'!B31,products!$A$1:$G$49,4,FALSE)</f>
        <v>1</v>
      </c>
      <c r="K31">
        <f>VLOOKUP('Combined table'!B31,products!$A$1:$G$49,5,FALSE)</f>
        <v>9.9499999999999993</v>
      </c>
      <c r="L31">
        <f>VLOOKUP('Combined table'!B31,products!$A$1:$G$49,6,FALSE)</f>
        <v>0.99499999999999988</v>
      </c>
      <c r="M31">
        <f>VLOOKUP('Combined table'!B31,products!$A$1:$G$49,7,FALSE)</f>
        <v>0.89549999999999985</v>
      </c>
      <c r="N31" t="str">
        <f>TEXT(A31,"mmm yyyy")</f>
        <v>Feb 2019</v>
      </c>
      <c r="O31">
        <f t="shared" si="0"/>
        <v>39.799999999999997</v>
      </c>
    </row>
    <row r="32" spans="1:18" x14ac:dyDescent="0.25">
      <c r="A32" s="3">
        <v>44464</v>
      </c>
      <c r="B32" t="s">
        <v>6159</v>
      </c>
      <c r="C32" s="2">
        <v>5</v>
      </c>
      <c r="D32" s="2" t="s">
        <v>663</v>
      </c>
      <c r="E32" s="2" t="s">
        <v>133</v>
      </c>
      <c r="F32" s="2" t="s">
        <v>19</v>
      </c>
      <c r="G32" t="s">
        <v>6191</v>
      </c>
      <c r="H32" t="str">
        <f>VLOOKUP('Combined table'!B32,products!$A$1:$G$49,2,FALSE)</f>
        <v>Lib</v>
      </c>
      <c r="I32" t="str">
        <f>VLOOKUP('Combined table'!B32,products!$A$1:$G$49,3,FALSE)</f>
        <v>M</v>
      </c>
      <c r="J32">
        <f>VLOOKUP('Combined table'!B32,products!$A$1:$G$49,4,FALSE)</f>
        <v>0.2</v>
      </c>
      <c r="K32">
        <f>VLOOKUP('Combined table'!B32,products!$A$1:$G$49,5,FALSE)</f>
        <v>4.3650000000000002</v>
      </c>
      <c r="L32">
        <f>VLOOKUP('Combined table'!B32,products!$A$1:$G$49,6,FALSE)</f>
        <v>2.1825000000000001</v>
      </c>
      <c r="M32">
        <f>VLOOKUP('Combined table'!B32,products!$A$1:$G$49,7,FALSE)</f>
        <v>0.56745000000000001</v>
      </c>
      <c r="N32" t="str">
        <f>TEXT(A32,"mmm yyyy")</f>
        <v>Sep 2021</v>
      </c>
      <c r="O32">
        <f t="shared" si="0"/>
        <v>21.825000000000003</v>
      </c>
    </row>
    <row r="33" spans="1:15" x14ac:dyDescent="0.25">
      <c r="A33" s="3">
        <v>44464</v>
      </c>
      <c r="B33" t="s">
        <v>6158</v>
      </c>
      <c r="C33" s="2">
        <v>6</v>
      </c>
      <c r="D33" s="2" t="s">
        <v>667</v>
      </c>
      <c r="E33" s="2" t="s">
        <v>132</v>
      </c>
      <c r="F33" s="2" t="s">
        <v>19</v>
      </c>
      <c r="G33" t="s">
        <v>6191</v>
      </c>
      <c r="H33" t="str">
        <f>VLOOKUP('Combined table'!B33,products!$A$1:$G$49,2,FALSE)</f>
        <v>Ara</v>
      </c>
      <c r="I33" t="str">
        <f>VLOOKUP('Combined table'!B33,products!$A$1:$G$49,3,FALSE)</f>
        <v>D</v>
      </c>
      <c r="J33">
        <f>VLOOKUP('Combined table'!B33,products!$A$1:$G$49,4,FALSE)</f>
        <v>0.5</v>
      </c>
      <c r="K33">
        <f>VLOOKUP('Combined table'!B33,products!$A$1:$G$49,5,FALSE)</f>
        <v>5.97</v>
      </c>
      <c r="L33">
        <f>VLOOKUP('Combined table'!B33,products!$A$1:$G$49,6,FALSE)</f>
        <v>1.194</v>
      </c>
      <c r="M33">
        <f>VLOOKUP('Combined table'!B33,products!$A$1:$G$49,7,FALSE)</f>
        <v>0.5373</v>
      </c>
      <c r="N33" t="str">
        <f>TEXT(A33,"mmm yyyy")</f>
        <v>Sep 2021</v>
      </c>
      <c r="O33">
        <f t="shared" si="0"/>
        <v>35.82</v>
      </c>
    </row>
    <row r="34" spans="1:15" x14ac:dyDescent="0.25">
      <c r="A34" s="3">
        <v>44464</v>
      </c>
      <c r="B34" t="s">
        <v>6160</v>
      </c>
      <c r="C34" s="2">
        <v>6</v>
      </c>
      <c r="D34" s="2" t="s">
        <v>672</v>
      </c>
      <c r="E34" s="2" t="s">
        <v>349</v>
      </c>
      <c r="F34" s="2" t="s">
        <v>318</v>
      </c>
      <c r="G34" t="s">
        <v>6190</v>
      </c>
      <c r="H34" t="str">
        <f>VLOOKUP('Combined table'!B34,products!$A$1:$G$49,2,FALSE)</f>
        <v>Lib</v>
      </c>
      <c r="I34" t="str">
        <f>VLOOKUP('Combined table'!B34,products!$A$1:$G$49,3,FALSE)</f>
        <v>M</v>
      </c>
      <c r="J34">
        <f>VLOOKUP('Combined table'!B34,products!$A$1:$G$49,4,FALSE)</f>
        <v>0.5</v>
      </c>
      <c r="K34">
        <f>VLOOKUP('Combined table'!B34,products!$A$1:$G$49,5,FALSE)</f>
        <v>8.73</v>
      </c>
      <c r="L34">
        <f>VLOOKUP('Combined table'!B34,products!$A$1:$G$49,6,FALSE)</f>
        <v>1.746</v>
      </c>
      <c r="M34">
        <f>VLOOKUP('Combined table'!B34,products!$A$1:$G$49,7,FALSE)</f>
        <v>1.1349</v>
      </c>
      <c r="N34" t="str">
        <f>TEXT(A34,"mmm yyyy")</f>
        <v>Sep 2021</v>
      </c>
      <c r="O34">
        <f t="shared" si="0"/>
        <v>52.38</v>
      </c>
    </row>
    <row r="35" spans="1:15" x14ac:dyDescent="0.25">
      <c r="A35" s="3">
        <v>44394</v>
      </c>
      <c r="B35" t="s">
        <v>6145</v>
      </c>
      <c r="C35" s="2">
        <v>5</v>
      </c>
      <c r="D35" s="2" t="s">
        <v>678</v>
      </c>
      <c r="E35" s="2" t="s">
        <v>141</v>
      </c>
      <c r="F35" s="2" t="s">
        <v>19</v>
      </c>
      <c r="G35" t="s">
        <v>6191</v>
      </c>
      <c r="H35" t="str">
        <f>VLOOKUP('Combined table'!B35,products!$A$1:$G$49,2,FALSE)</f>
        <v>Lib</v>
      </c>
      <c r="I35" t="str">
        <f>VLOOKUP('Combined table'!B35,products!$A$1:$G$49,3,FALSE)</f>
        <v>L</v>
      </c>
      <c r="J35">
        <f>VLOOKUP('Combined table'!B35,products!$A$1:$G$49,4,FALSE)</f>
        <v>0.2</v>
      </c>
      <c r="K35">
        <f>VLOOKUP('Combined table'!B35,products!$A$1:$G$49,5,FALSE)</f>
        <v>4.7549999999999999</v>
      </c>
      <c r="L35">
        <f>VLOOKUP('Combined table'!B35,products!$A$1:$G$49,6,FALSE)</f>
        <v>2.3774999999999999</v>
      </c>
      <c r="M35">
        <f>VLOOKUP('Combined table'!B35,products!$A$1:$G$49,7,FALSE)</f>
        <v>0.61814999999999998</v>
      </c>
      <c r="N35" t="str">
        <f>TEXT(A35,"mmm yyyy")</f>
        <v>Jul 2021</v>
      </c>
      <c r="O35">
        <f t="shared" si="0"/>
        <v>23.774999999999999</v>
      </c>
    </row>
    <row r="36" spans="1:15" x14ac:dyDescent="0.25">
      <c r="A36" s="3">
        <v>44011</v>
      </c>
      <c r="B36" t="s">
        <v>6161</v>
      </c>
      <c r="C36" s="2">
        <v>6</v>
      </c>
      <c r="D36" s="2" t="s">
        <v>683</v>
      </c>
      <c r="E36" s="2" t="s">
        <v>81</v>
      </c>
      <c r="F36" s="2" t="s">
        <v>28</v>
      </c>
      <c r="G36" t="s">
        <v>6190</v>
      </c>
      <c r="H36" t="str">
        <f>VLOOKUP('Combined table'!B36,products!$A$1:$G$49,2,FALSE)</f>
        <v>Lib</v>
      </c>
      <c r="I36" t="str">
        <f>VLOOKUP('Combined table'!B36,products!$A$1:$G$49,3,FALSE)</f>
        <v>L</v>
      </c>
      <c r="J36">
        <f>VLOOKUP('Combined table'!B36,products!$A$1:$G$49,4,FALSE)</f>
        <v>0.5</v>
      </c>
      <c r="K36">
        <f>VLOOKUP('Combined table'!B36,products!$A$1:$G$49,5,FALSE)</f>
        <v>9.51</v>
      </c>
      <c r="L36">
        <f>VLOOKUP('Combined table'!B36,products!$A$1:$G$49,6,FALSE)</f>
        <v>1.9019999999999999</v>
      </c>
      <c r="M36">
        <f>VLOOKUP('Combined table'!B36,products!$A$1:$G$49,7,FALSE)</f>
        <v>1.2363</v>
      </c>
      <c r="N36" t="str">
        <f>TEXT(A36,"mmm yyyy")</f>
        <v>Jun 2020</v>
      </c>
      <c r="O36">
        <f t="shared" si="0"/>
        <v>57.06</v>
      </c>
    </row>
    <row r="37" spans="1:15" x14ac:dyDescent="0.25">
      <c r="A37" s="3">
        <v>44348</v>
      </c>
      <c r="B37" t="s">
        <v>6158</v>
      </c>
      <c r="C37" s="2">
        <v>6</v>
      </c>
      <c r="D37" s="2" t="s">
        <v>689</v>
      </c>
      <c r="E37" s="2" t="s">
        <v>48</v>
      </c>
      <c r="F37" s="2" t="s">
        <v>19</v>
      </c>
      <c r="G37" t="s">
        <v>6191</v>
      </c>
      <c r="H37" t="str">
        <f>VLOOKUP('Combined table'!B37,products!$A$1:$G$49,2,FALSE)</f>
        <v>Ara</v>
      </c>
      <c r="I37" t="str">
        <f>VLOOKUP('Combined table'!B37,products!$A$1:$G$49,3,FALSE)</f>
        <v>D</v>
      </c>
      <c r="J37">
        <f>VLOOKUP('Combined table'!B37,products!$A$1:$G$49,4,FALSE)</f>
        <v>0.5</v>
      </c>
      <c r="K37">
        <f>VLOOKUP('Combined table'!B37,products!$A$1:$G$49,5,FALSE)</f>
        <v>5.97</v>
      </c>
      <c r="L37">
        <f>VLOOKUP('Combined table'!B37,products!$A$1:$G$49,6,FALSE)</f>
        <v>1.194</v>
      </c>
      <c r="M37">
        <f>VLOOKUP('Combined table'!B37,products!$A$1:$G$49,7,FALSE)</f>
        <v>0.5373</v>
      </c>
      <c r="N37" t="str">
        <f>TEXT(A37,"mmm yyyy")</f>
        <v>Jun 2021</v>
      </c>
      <c r="O37">
        <f t="shared" si="0"/>
        <v>35.82</v>
      </c>
    </row>
    <row r="38" spans="1:15" x14ac:dyDescent="0.25">
      <c r="A38" s="3">
        <v>44233</v>
      </c>
      <c r="B38" t="s">
        <v>6159</v>
      </c>
      <c r="C38" s="2">
        <v>2</v>
      </c>
      <c r="D38" s="2" t="s">
        <v>695</v>
      </c>
      <c r="E38" s="2" t="s">
        <v>88</v>
      </c>
      <c r="F38" s="2" t="s">
        <v>19</v>
      </c>
      <c r="G38" t="s">
        <v>6191</v>
      </c>
      <c r="H38" t="str">
        <f>VLOOKUP('Combined table'!B38,products!$A$1:$G$49,2,FALSE)</f>
        <v>Lib</v>
      </c>
      <c r="I38" t="str">
        <f>VLOOKUP('Combined table'!B38,products!$A$1:$G$49,3,FALSE)</f>
        <v>M</v>
      </c>
      <c r="J38">
        <f>VLOOKUP('Combined table'!B38,products!$A$1:$G$49,4,FALSE)</f>
        <v>0.2</v>
      </c>
      <c r="K38">
        <f>VLOOKUP('Combined table'!B38,products!$A$1:$G$49,5,FALSE)</f>
        <v>4.3650000000000002</v>
      </c>
      <c r="L38">
        <f>VLOOKUP('Combined table'!B38,products!$A$1:$G$49,6,FALSE)</f>
        <v>2.1825000000000001</v>
      </c>
      <c r="M38">
        <f>VLOOKUP('Combined table'!B38,products!$A$1:$G$49,7,FALSE)</f>
        <v>0.56745000000000001</v>
      </c>
      <c r="N38" t="str">
        <f>TEXT(A38,"mmm yyyy")</f>
        <v>Feb 2021</v>
      </c>
      <c r="O38">
        <f t="shared" si="0"/>
        <v>8.73</v>
      </c>
    </row>
    <row r="39" spans="1:15" x14ac:dyDescent="0.25">
      <c r="A39" s="3">
        <v>43580</v>
      </c>
      <c r="B39" t="s">
        <v>6161</v>
      </c>
      <c r="C39" s="2">
        <v>3</v>
      </c>
      <c r="D39" s="2" t="s">
        <v>701</v>
      </c>
      <c r="E39" s="2" t="s">
        <v>42</v>
      </c>
      <c r="F39" s="2" t="s">
        <v>19</v>
      </c>
      <c r="G39" t="s">
        <v>6191</v>
      </c>
      <c r="H39" t="str">
        <f>VLOOKUP('Combined table'!B39,products!$A$1:$G$49,2,FALSE)</f>
        <v>Lib</v>
      </c>
      <c r="I39" t="str">
        <f>VLOOKUP('Combined table'!B39,products!$A$1:$G$49,3,FALSE)</f>
        <v>L</v>
      </c>
      <c r="J39">
        <f>VLOOKUP('Combined table'!B39,products!$A$1:$G$49,4,FALSE)</f>
        <v>0.5</v>
      </c>
      <c r="K39">
        <f>VLOOKUP('Combined table'!B39,products!$A$1:$G$49,5,FALSE)</f>
        <v>9.51</v>
      </c>
      <c r="L39">
        <f>VLOOKUP('Combined table'!B39,products!$A$1:$G$49,6,FALSE)</f>
        <v>1.9019999999999999</v>
      </c>
      <c r="M39">
        <f>VLOOKUP('Combined table'!B39,products!$A$1:$G$49,7,FALSE)</f>
        <v>1.2363</v>
      </c>
      <c r="N39" t="str">
        <f>TEXT(A39,"mmm yyyy")</f>
        <v>Apr 2019</v>
      </c>
      <c r="O39">
        <f t="shared" si="0"/>
        <v>28.53</v>
      </c>
    </row>
    <row r="40" spans="1:15" x14ac:dyDescent="0.25">
      <c r="A40" s="3">
        <v>43946</v>
      </c>
      <c r="B40" t="s">
        <v>6151</v>
      </c>
      <c r="C40" s="2">
        <v>5</v>
      </c>
      <c r="D40" s="2" t="s">
        <v>707</v>
      </c>
      <c r="E40" s="2" t="s">
        <v>33</v>
      </c>
      <c r="F40" s="2" t="s">
        <v>19</v>
      </c>
      <c r="G40" t="s">
        <v>6191</v>
      </c>
      <c r="H40" t="str">
        <f>VLOOKUP('Combined table'!B40,products!$A$1:$G$49,2,FALSE)</f>
        <v>Rob</v>
      </c>
      <c r="I40" t="str">
        <f>VLOOKUP('Combined table'!B40,products!$A$1:$G$49,3,FALSE)</f>
        <v>M</v>
      </c>
      <c r="J40">
        <f>VLOOKUP('Combined table'!B40,products!$A$1:$G$49,4,FALSE)</f>
        <v>2.5</v>
      </c>
      <c r="K40">
        <f>VLOOKUP('Combined table'!B40,products!$A$1:$G$49,5,FALSE)</f>
        <v>22.884999999999998</v>
      </c>
      <c r="L40">
        <f>VLOOKUP('Combined table'!B40,products!$A$1:$G$49,6,FALSE)</f>
        <v>0.91539999999999988</v>
      </c>
      <c r="M40">
        <f>VLOOKUP('Combined table'!B40,products!$A$1:$G$49,7,FALSE)</f>
        <v>1.3730999999999998</v>
      </c>
      <c r="N40" t="str">
        <f>TEXT(A40,"mmm yyyy")</f>
        <v>Apr 2020</v>
      </c>
      <c r="O40">
        <f t="shared" si="0"/>
        <v>114.42499999999998</v>
      </c>
    </row>
    <row r="41" spans="1:15" x14ac:dyDescent="0.25">
      <c r="A41" s="3">
        <v>44524</v>
      </c>
      <c r="B41" t="s">
        <v>6138</v>
      </c>
      <c r="C41" s="2">
        <v>6</v>
      </c>
      <c r="D41" s="2" t="s">
        <v>713</v>
      </c>
      <c r="E41" s="2" t="s">
        <v>126</v>
      </c>
      <c r="F41" s="2" t="s">
        <v>19</v>
      </c>
      <c r="G41" t="s">
        <v>6190</v>
      </c>
      <c r="H41" t="str">
        <f>VLOOKUP('Combined table'!B41,products!$A$1:$G$49,2,FALSE)</f>
        <v>Rob</v>
      </c>
      <c r="I41" t="str">
        <f>VLOOKUP('Combined table'!B41,products!$A$1:$G$49,3,FALSE)</f>
        <v>M</v>
      </c>
      <c r="J41">
        <f>VLOOKUP('Combined table'!B41,products!$A$1:$G$49,4,FALSE)</f>
        <v>1</v>
      </c>
      <c r="K41">
        <f>VLOOKUP('Combined table'!B41,products!$A$1:$G$49,5,FALSE)</f>
        <v>9.9499999999999993</v>
      </c>
      <c r="L41">
        <f>VLOOKUP('Combined table'!B41,products!$A$1:$G$49,6,FALSE)</f>
        <v>0.99499999999999988</v>
      </c>
      <c r="M41">
        <f>VLOOKUP('Combined table'!B41,products!$A$1:$G$49,7,FALSE)</f>
        <v>0.59699999999999998</v>
      </c>
      <c r="N41" t="str">
        <f>TEXT(A41,"mmm yyyy")</f>
        <v>Nov 2021</v>
      </c>
      <c r="O41">
        <f t="shared" si="0"/>
        <v>59.699999999999996</v>
      </c>
    </row>
    <row r="42" spans="1:15" x14ac:dyDescent="0.25">
      <c r="A42" s="3">
        <v>44305</v>
      </c>
      <c r="B42" t="s">
        <v>6162</v>
      </c>
      <c r="C42" s="2">
        <v>3</v>
      </c>
      <c r="D42" s="2" t="s">
        <v>717</v>
      </c>
      <c r="E42" s="2" t="s">
        <v>69</v>
      </c>
      <c r="F42" s="2" t="s">
        <v>19</v>
      </c>
      <c r="G42" t="s">
        <v>6191</v>
      </c>
      <c r="H42" t="str">
        <f>VLOOKUP('Combined table'!B42,products!$A$1:$G$49,2,FALSE)</f>
        <v>Lib</v>
      </c>
      <c r="I42" t="str">
        <f>VLOOKUP('Combined table'!B42,products!$A$1:$G$49,3,FALSE)</f>
        <v>M</v>
      </c>
      <c r="J42">
        <f>VLOOKUP('Combined table'!B42,products!$A$1:$G$49,4,FALSE)</f>
        <v>1</v>
      </c>
      <c r="K42">
        <f>VLOOKUP('Combined table'!B42,products!$A$1:$G$49,5,FALSE)</f>
        <v>14.55</v>
      </c>
      <c r="L42">
        <f>VLOOKUP('Combined table'!B42,products!$A$1:$G$49,6,FALSE)</f>
        <v>1.4550000000000001</v>
      </c>
      <c r="M42">
        <f>VLOOKUP('Combined table'!B42,products!$A$1:$G$49,7,FALSE)</f>
        <v>1.8915000000000002</v>
      </c>
      <c r="N42" t="str">
        <f>TEXT(A42,"mmm yyyy")</f>
        <v>Apr 2021</v>
      </c>
      <c r="O42">
        <f t="shared" si="0"/>
        <v>43.650000000000006</v>
      </c>
    </row>
    <row r="43" spans="1:15" x14ac:dyDescent="0.25">
      <c r="A43" s="3">
        <v>44749</v>
      </c>
      <c r="B43" t="s">
        <v>6153</v>
      </c>
      <c r="C43" s="2">
        <v>2</v>
      </c>
      <c r="D43" s="2" t="s">
        <v>722</v>
      </c>
      <c r="E43" s="2" t="s">
        <v>71</v>
      </c>
      <c r="F43" s="2" t="s">
        <v>19</v>
      </c>
      <c r="G43" t="s">
        <v>6190</v>
      </c>
      <c r="H43" t="str">
        <f>VLOOKUP('Combined table'!B43,products!$A$1:$G$49,2,FALSE)</f>
        <v>Exc</v>
      </c>
      <c r="I43" t="str">
        <f>VLOOKUP('Combined table'!B43,products!$A$1:$G$49,3,FALSE)</f>
        <v>D</v>
      </c>
      <c r="J43">
        <f>VLOOKUP('Combined table'!B43,products!$A$1:$G$49,4,FALSE)</f>
        <v>0.2</v>
      </c>
      <c r="K43">
        <f>VLOOKUP('Combined table'!B43,products!$A$1:$G$49,5,FALSE)</f>
        <v>3.645</v>
      </c>
      <c r="L43">
        <f>VLOOKUP('Combined table'!B43,products!$A$1:$G$49,6,FALSE)</f>
        <v>1.8225</v>
      </c>
      <c r="M43">
        <f>VLOOKUP('Combined table'!B43,products!$A$1:$G$49,7,FALSE)</f>
        <v>0.40095000000000003</v>
      </c>
      <c r="N43" t="str">
        <f>TEXT(A43,"mmm yyyy")</f>
        <v>Jul 2022</v>
      </c>
      <c r="O43">
        <f t="shared" si="0"/>
        <v>7.29</v>
      </c>
    </row>
    <row r="44" spans="1:15" x14ac:dyDescent="0.25">
      <c r="A44" s="3">
        <v>43607</v>
      </c>
      <c r="B44" t="s">
        <v>6163</v>
      </c>
      <c r="C44" s="2">
        <v>3</v>
      </c>
      <c r="D44" s="2" t="s">
        <v>728</v>
      </c>
      <c r="E44" s="2" t="s">
        <v>732</v>
      </c>
      <c r="F44" s="2" t="s">
        <v>19</v>
      </c>
      <c r="G44" t="s">
        <v>6190</v>
      </c>
      <c r="H44" t="str">
        <f>VLOOKUP('Combined table'!B44,products!$A$1:$G$49,2,FALSE)</f>
        <v>Rob</v>
      </c>
      <c r="I44" t="str">
        <f>VLOOKUP('Combined table'!B44,products!$A$1:$G$49,3,FALSE)</f>
        <v>D</v>
      </c>
      <c r="J44">
        <f>VLOOKUP('Combined table'!B44,products!$A$1:$G$49,4,FALSE)</f>
        <v>0.2</v>
      </c>
      <c r="K44">
        <f>VLOOKUP('Combined table'!B44,products!$A$1:$G$49,5,FALSE)</f>
        <v>2.6849999999999996</v>
      </c>
      <c r="L44">
        <f>VLOOKUP('Combined table'!B44,products!$A$1:$G$49,6,FALSE)</f>
        <v>1.3424999999999998</v>
      </c>
      <c r="M44">
        <f>VLOOKUP('Combined table'!B44,products!$A$1:$G$49,7,FALSE)</f>
        <v>0.16109999999999997</v>
      </c>
      <c r="N44" t="str">
        <f>TEXT(A44,"mmm yyyy")</f>
        <v>May 2019</v>
      </c>
      <c r="O44">
        <f t="shared" si="0"/>
        <v>8.0549999999999997</v>
      </c>
    </row>
    <row r="45" spans="1:15" x14ac:dyDescent="0.25">
      <c r="A45" s="3">
        <v>44473</v>
      </c>
      <c r="B45" t="s">
        <v>6164</v>
      </c>
      <c r="C45" s="2">
        <v>2</v>
      </c>
      <c r="D45" s="2" t="s">
        <v>735</v>
      </c>
      <c r="E45" s="2" t="s">
        <v>241</v>
      </c>
      <c r="F45" s="2" t="s">
        <v>19</v>
      </c>
      <c r="G45" t="s">
        <v>6191</v>
      </c>
      <c r="H45" t="str">
        <f>VLOOKUP('Combined table'!B45,products!$A$1:$G$49,2,FALSE)</f>
        <v>Lib</v>
      </c>
      <c r="I45" t="str">
        <f>VLOOKUP('Combined table'!B45,products!$A$1:$G$49,3,FALSE)</f>
        <v>L</v>
      </c>
      <c r="J45">
        <f>VLOOKUP('Combined table'!B45,products!$A$1:$G$49,4,FALSE)</f>
        <v>2.5</v>
      </c>
      <c r="K45">
        <f>VLOOKUP('Combined table'!B45,products!$A$1:$G$49,5,FALSE)</f>
        <v>36.454999999999998</v>
      </c>
      <c r="L45">
        <f>VLOOKUP('Combined table'!B45,products!$A$1:$G$49,6,FALSE)</f>
        <v>1.4581999999999999</v>
      </c>
      <c r="M45">
        <f>VLOOKUP('Combined table'!B45,products!$A$1:$G$49,7,FALSE)</f>
        <v>4.7391499999999995</v>
      </c>
      <c r="N45" t="str">
        <f>TEXT(A45,"mmm yyyy")</f>
        <v>Oct 2021</v>
      </c>
      <c r="O45">
        <f t="shared" si="0"/>
        <v>72.91</v>
      </c>
    </row>
    <row r="46" spans="1:15" x14ac:dyDescent="0.25">
      <c r="A46" s="3">
        <v>43932</v>
      </c>
      <c r="B46" t="s">
        <v>6139</v>
      </c>
      <c r="C46" s="2">
        <v>2</v>
      </c>
      <c r="D46" s="2" t="s">
        <v>740</v>
      </c>
      <c r="E46" s="2" t="s">
        <v>219</v>
      </c>
      <c r="F46" s="2" t="s">
        <v>19</v>
      </c>
      <c r="G46" t="s">
        <v>6190</v>
      </c>
      <c r="H46" t="str">
        <f>VLOOKUP('Combined table'!B46,products!$A$1:$G$49,2,FALSE)</f>
        <v>Exc</v>
      </c>
      <c r="I46" t="str">
        <f>VLOOKUP('Combined table'!B46,products!$A$1:$G$49,3,FALSE)</f>
        <v>M</v>
      </c>
      <c r="J46">
        <f>VLOOKUP('Combined table'!B46,products!$A$1:$G$49,4,FALSE)</f>
        <v>0.5</v>
      </c>
      <c r="K46">
        <f>VLOOKUP('Combined table'!B46,products!$A$1:$G$49,5,FALSE)</f>
        <v>8.25</v>
      </c>
      <c r="L46">
        <f>VLOOKUP('Combined table'!B46,products!$A$1:$G$49,6,FALSE)</f>
        <v>1.65</v>
      </c>
      <c r="M46">
        <f>VLOOKUP('Combined table'!B46,products!$A$1:$G$49,7,FALSE)</f>
        <v>0.90749999999999997</v>
      </c>
      <c r="N46" t="str">
        <f>TEXT(A46,"mmm yyyy")</f>
        <v>Apr 2020</v>
      </c>
      <c r="O46">
        <f t="shared" si="0"/>
        <v>16.5</v>
      </c>
    </row>
    <row r="47" spans="1:15" x14ac:dyDescent="0.25">
      <c r="A47" s="3">
        <v>44592</v>
      </c>
      <c r="B47" t="s">
        <v>6165</v>
      </c>
      <c r="C47" s="2">
        <v>6</v>
      </c>
      <c r="D47" s="2" t="s">
        <v>746</v>
      </c>
      <c r="E47" s="2" t="s">
        <v>94</v>
      </c>
      <c r="F47" s="2" t="s">
        <v>19</v>
      </c>
      <c r="G47" t="s">
        <v>6191</v>
      </c>
      <c r="H47" t="str">
        <f>VLOOKUP('Combined table'!B47,products!$A$1:$G$49,2,FALSE)</f>
        <v>Lib</v>
      </c>
      <c r="I47" t="str">
        <f>VLOOKUP('Combined table'!B47,products!$A$1:$G$49,3,FALSE)</f>
        <v>D</v>
      </c>
      <c r="J47">
        <f>VLOOKUP('Combined table'!B47,products!$A$1:$G$49,4,FALSE)</f>
        <v>2.5</v>
      </c>
      <c r="K47">
        <f>VLOOKUP('Combined table'!B47,products!$A$1:$G$49,5,FALSE)</f>
        <v>29.784999999999997</v>
      </c>
      <c r="L47">
        <f>VLOOKUP('Combined table'!B47,products!$A$1:$G$49,6,FALSE)</f>
        <v>1.1913999999999998</v>
      </c>
      <c r="M47">
        <f>VLOOKUP('Combined table'!B47,products!$A$1:$G$49,7,FALSE)</f>
        <v>3.8720499999999998</v>
      </c>
      <c r="N47" t="str">
        <f>TEXT(A47,"mmm yyyy")</f>
        <v>Jan 2022</v>
      </c>
      <c r="O47">
        <f t="shared" si="0"/>
        <v>178.70999999999998</v>
      </c>
    </row>
    <row r="48" spans="1:15" x14ac:dyDescent="0.25">
      <c r="A48" s="3">
        <v>43776</v>
      </c>
      <c r="B48" t="s">
        <v>6166</v>
      </c>
      <c r="C48" s="2">
        <v>2</v>
      </c>
      <c r="D48" s="2" t="s">
        <v>752</v>
      </c>
      <c r="E48" s="2" t="s">
        <v>144</v>
      </c>
      <c r="F48" s="2" t="s">
        <v>19</v>
      </c>
      <c r="G48" t="s">
        <v>6190</v>
      </c>
      <c r="H48" t="str">
        <f>VLOOKUP('Combined table'!B48,products!$A$1:$G$49,2,FALSE)</f>
        <v>Exc</v>
      </c>
      <c r="I48" t="str">
        <f>VLOOKUP('Combined table'!B48,products!$A$1:$G$49,3,FALSE)</f>
        <v>M</v>
      </c>
      <c r="J48">
        <f>VLOOKUP('Combined table'!B48,products!$A$1:$G$49,4,FALSE)</f>
        <v>2.5</v>
      </c>
      <c r="K48">
        <f>VLOOKUP('Combined table'!B48,products!$A$1:$G$49,5,FALSE)</f>
        <v>31.624999999999996</v>
      </c>
      <c r="L48">
        <f>VLOOKUP('Combined table'!B48,products!$A$1:$G$49,6,FALSE)</f>
        <v>1.2649999999999999</v>
      </c>
      <c r="M48">
        <f>VLOOKUP('Combined table'!B48,products!$A$1:$G$49,7,FALSE)</f>
        <v>3.4787499999999998</v>
      </c>
      <c r="N48" t="str">
        <f>TEXT(A48,"mmm yyyy")</f>
        <v>Nov 2019</v>
      </c>
      <c r="O48">
        <f t="shared" si="0"/>
        <v>63.249999999999993</v>
      </c>
    </row>
    <row r="49" spans="1:15" x14ac:dyDescent="0.25">
      <c r="A49" s="3">
        <v>43644</v>
      </c>
      <c r="B49" t="s">
        <v>6167</v>
      </c>
      <c r="C49" s="2">
        <v>2</v>
      </c>
      <c r="D49" s="2" t="s">
        <v>757</v>
      </c>
      <c r="E49" s="2" t="s">
        <v>272</v>
      </c>
      <c r="F49" s="2" t="s">
        <v>19</v>
      </c>
      <c r="G49" t="s">
        <v>6190</v>
      </c>
      <c r="H49" t="str">
        <f>VLOOKUP('Combined table'!B49,products!$A$1:$G$49,2,FALSE)</f>
        <v>Ara</v>
      </c>
      <c r="I49" t="str">
        <f>VLOOKUP('Combined table'!B49,products!$A$1:$G$49,3,FALSE)</f>
        <v>L</v>
      </c>
      <c r="J49">
        <f>VLOOKUP('Combined table'!B49,products!$A$1:$G$49,4,FALSE)</f>
        <v>0.2</v>
      </c>
      <c r="K49">
        <f>VLOOKUP('Combined table'!B49,products!$A$1:$G$49,5,FALSE)</f>
        <v>3.8849999999999998</v>
      </c>
      <c r="L49">
        <f>VLOOKUP('Combined table'!B49,products!$A$1:$G$49,6,FALSE)</f>
        <v>1.9424999999999999</v>
      </c>
      <c r="M49">
        <f>VLOOKUP('Combined table'!B49,products!$A$1:$G$49,7,FALSE)</f>
        <v>0.34964999999999996</v>
      </c>
      <c r="N49" t="str">
        <f>TEXT(A49,"mmm yyyy")</f>
        <v>Jun 2019</v>
      </c>
      <c r="O49">
        <f t="shared" si="0"/>
        <v>7.77</v>
      </c>
    </row>
    <row r="50" spans="1:15" x14ac:dyDescent="0.25">
      <c r="A50" s="3">
        <v>44085</v>
      </c>
      <c r="B50" t="s">
        <v>6168</v>
      </c>
      <c r="C50" s="2">
        <v>4</v>
      </c>
      <c r="D50" s="2" t="s">
        <v>763</v>
      </c>
      <c r="E50" s="2" t="s">
        <v>128</v>
      </c>
      <c r="F50" s="2" t="s">
        <v>19</v>
      </c>
      <c r="G50" t="s">
        <v>6191</v>
      </c>
      <c r="H50" t="str">
        <f>VLOOKUP('Combined table'!B50,products!$A$1:$G$49,2,FALSE)</f>
        <v>Ara</v>
      </c>
      <c r="I50" t="str">
        <f>VLOOKUP('Combined table'!B50,products!$A$1:$G$49,3,FALSE)</f>
        <v>D</v>
      </c>
      <c r="J50">
        <f>VLOOKUP('Combined table'!B50,products!$A$1:$G$49,4,FALSE)</f>
        <v>2.5</v>
      </c>
      <c r="K50">
        <f>VLOOKUP('Combined table'!B50,products!$A$1:$G$49,5,FALSE)</f>
        <v>22.884999999999998</v>
      </c>
      <c r="L50">
        <f>VLOOKUP('Combined table'!B50,products!$A$1:$G$49,6,FALSE)</f>
        <v>0.91539999999999988</v>
      </c>
      <c r="M50">
        <f>VLOOKUP('Combined table'!B50,products!$A$1:$G$49,7,FALSE)</f>
        <v>2.0596499999999995</v>
      </c>
      <c r="N50" t="str">
        <f>TEXT(A50,"mmm yyyy")</f>
        <v>Sep 2020</v>
      </c>
      <c r="O50">
        <f t="shared" si="0"/>
        <v>91.539999999999992</v>
      </c>
    </row>
    <row r="51" spans="1:15" x14ac:dyDescent="0.25">
      <c r="A51" s="3">
        <v>44790</v>
      </c>
      <c r="B51" t="s">
        <v>6140</v>
      </c>
      <c r="C51" s="2">
        <v>3</v>
      </c>
      <c r="D51" s="2" t="s">
        <v>768</v>
      </c>
      <c r="E51" s="2" t="s">
        <v>47</v>
      </c>
      <c r="F51" s="2" t="s">
        <v>19</v>
      </c>
      <c r="G51" t="s">
        <v>6191</v>
      </c>
      <c r="H51" t="str">
        <f>VLOOKUP('Combined table'!B51,products!$A$1:$G$49,2,FALSE)</f>
        <v>Ara</v>
      </c>
      <c r="I51" t="str">
        <f>VLOOKUP('Combined table'!B51,products!$A$1:$G$49,3,FALSE)</f>
        <v>L</v>
      </c>
      <c r="J51">
        <f>VLOOKUP('Combined table'!B51,products!$A$1:$G$49,4,FALSE)</f>
        <v>1</v>
      </c>
      <c r="K51">
        <f>VLOOKUP('Combined table'!B51,products!$A$1:$G$49,5,FALSE)</f>
        <v>12.95</v>
      </c>
      <c r="L51">
        <f>VLOOKUP('Combined table'!B51,products!$A$1:$G$49,6,FALSE)</f>
        <v>1.2949999999999999</v>
      </c>
      <c r="M51">
        <f>VLOOKUP('Combined table'!B51,products!$A$1:$G$49,7,FALSE)</f>
        <v>1.1655</v>
      </c>
      <c r="N51" t="str">
        <f>TEXT(A51,"mmm yyyy")</f>
        <v>Aug 2022</v>
      </c>
      <c r="O51">
        <f t="shared" si="0"/>
        <v>38.849999999999994</v>
      </c>
    </row>
    <row r="52" spans="1:15" x14ac:dyDescent="0.25">
      <c r="A52" s="3">
        <v>44792</v>
      </c>
      <c r="B52" t="s">
        <v>6169</v>
      </c>
      <c r="C52" s="2">
        <v>2</v>
      </c>
      <c r="D52" s="2" t="s">
        <v>774</v>
      </c>
      <c r="E52" s="2" t="s">
        <v>271</v>
      </c>
      <c r="F52" s="2" t="s">
        <v>19</v>
      </c>
      <c r="G52" t="s">
        <v>6191</v>
      </c>
      <c r="H52" t="str">
        <f>VLOOKUP('Combined table'!B52,products!$A$1:$G$49,2,FALSE)</f>
        <v>Lib</v>
      </c>
      <c r="I52" t="str">
        <f>VLOOKUP('Combined table'!B52,products!$A$1:$G$49,3,FALSE)</f>
        <v>D</v>
      </c>
      <c r="J52">
        <f>VLOOKUP('Combined table'!B52,products!$A$1:$G$49,4,FALSE)</f>
        <v>0.5</v>
      </c>
      <c r="K52">
        <f>VLOOKUP('Combined table'!B52,products!$A$1:$G$49,5,FALSE)</f>
        <v>7.77</v>
      </c>
      <c r="L52">
        <f>VLOOKUP('Combined table'!B52,products!$A$1:$G$49,6,FALSE)</f>
        <v>1.5539999999999998</v>
      </c>
      <c r="M52">
        <f>VLOOKUP('Combined table'!B52,products!$A$1:$G$49,7,FALSE)</f>
        <v>1.0101</v>
      </c>
      <c r="N52" t="str">
        <f>TEXT(A52,"mmm yyyy")</f>
        <v>Aug 2022</v>
      </c>
      <c r="O52">
        <f t="shared" si="0"/>
        <v>15.54</v>
      </c>
    </row>
    <row r="53" spans="1:15" x14ac:dyDescent="0.25">
      <c r="A53" s="3">
        <v>43600</v>
      </c>
      <c r="B53" t="s">
        <v>6164</v>
      </c>
      <c r="C53" s="2">
        <v>4</v>
      </c>
      <c r="D53" s="2" t="s">
        <v>780</v>
      </c>
      <c r="E53" s="2" t="s">
        <v>329</v>
      </c>
      <c r="F53" s="2" t="s">
        <v>318</v>
      </c>
      <c r="G53" t="s">
        <v>6190</v>
      </c>
      <c r="H53" t="str">
        <f>VLOOKUP('Combined table'!B53,products!$A$1:$G$49,2,FALSE)</f>
        <v>Lib</v>
      </c>
      <c r="I53" t="str">
        <f>VLOOKUP('Combined table'!B53,products!$A$1:$G$49,3,FALSE)</f>
        <v>L</v>
      </c>
      <c r="J53">
        <f>VLOOKUP('Combined table'!B53,products!$A$1:$G$49,4,FALSE)</f>
        <v>2.5</v>
      </c>
      <c r="K53">
        <f>VLOOKUP('Combined table'!B53,products!$A$1:$G$49,5,FALSE)</f>
        <v>36.454999999999998</v>
      </c>
      <c r="L53">
        <f>VLOOKUP('Combined table'!B53,products!$A$1:$G$49,6,FALSE)</f>
        <v>1.4581999999999999</v>
      </c>
      <c r="M53">
        <f>VLOOKUP('Combined table'!B53,products!$A$1:$G$49,7,FALSE)</f>
        <v>4.7391499999999995</v>
      </c>
      <c r="N53" t="str">
        <f>TEXT(A53,"mmm yyyy")</f>
        <v>May 2019</v>
      </c>
      <c r="O53">
        <f t="shared" si="0"/>
        <v>145.82</v>
      </c>
    </row>
    <row r="54" spans="1:15" x14ac:dyDescent="0.25">
      <c r="A54" s="3">
        <v>43719</v>
      </c>
      <c r="B54" t="s">
        <v>6146</v>
      </c>
      <c r="C54" s="2">
        <v>5</v>
      </c>
      <c r="D54" s="2" t="s">
        <v>786</v>
      </c>
      <c r="E54" s="2" t="s">
        <v>248</v>
      </c>
      <c r="F54" s="2" t="s">
        <v>28</v>
      </c>
      <c r="G54" t="s">
        <v>6191</v>
      </c>
      <c r="H54" t="str">
        <f>VLOOKUP('Combined table'!B54,products!$A$1:$G$49,2,FALSE)</f>
        <v>Rob</v>
      </c>
      <c r="I54" t="str">
        <f>VLOOKUP('Combined table'!B54,products!$A$1:$G$49,3,FALSE)</f>
        <v>M</v>
      </c>
      <c r="J54">
        <f>VLOOKUP('Combined table'!B54,products!$A$1:$G$49,4,FALSE)</f>
        <v>0.5</v>
      </c>
      <c r="K54">
        <f>VLOOKUP('Combined table'!B54,products!$A$1:$G$49,5,FALSE)</f>
        <v>5.97</v>
      </c>
      <c r="L54">
        <f>VLOOKUP('Combined table'!B54,products!$A$1:$G$49,6,FALSE)</f>
        <v>1.194</v>
      </c>
      <c r="M54">
        <f>VLOOKUP('Combined table'!B54,products!$A$1:$G$49,7,FALSE)</f>
        <v>0.35819999999999996</v>
      </c>
      <c r="N54" t="str">
        <f>TEXT(A54,"mmm yyyy")</f>
        <v>Sep 2019</v>
      </c>
      <c r="O54">
        <f t="shared" si="0"/>
        <v>29.849999999999998</v>
      </c>
    </row>
    <row r="55" spans="1:15" x14ac:dyDescent="0.25">
      <c r="A55" s="3">
        <v>43719</v>
      </c>
      <c r="B55" t="s">
        <v>6164</v>
      </c>
      <c r="C55" s="2">
        <v>2</v>
      </c>
      <c r="D55" s="2" t="s">
        <v>790</v>
      </c>
      <c r="E55" s="2" t="s">
        <v>138</v>
      </c>
      <c r="F55" s="2" t="s">
        <v>19</v>
      </c>
      <c r="G55" t="s">
        <v>6191</v>
      </c>
      <c r="H55" t="str">
        <f>VLOOKUP('Combined table'!B55,products!$A$1:$G$49,2,FALSE)</f>
        <v>Lib</v>
      </c>
      <c r="I55" t="str">
        <f>VLOOKUP('Combined table'!B55,products!$A$1:$G$49,3,FALSE)</f>
        <v>L</v>
      </c>
      <c r="J55">
        <f>VLOOKUP('Combined table'!B55,products!$A$1:$G$49,4,FALSE)</f>
        <v>2.5</v>
      </c>
      <c r="K55">
        <f>VLOOKUP('Combined table'!B55,products!$A$1:$G$49,5,FALSE)</f>
        <v>36.454999999999998</v>
      </c>
      <c r="L55">
        <f>VLOOKUP('Combined table'!B55,products!$A$1:$G$49,6,FALSE)</f>
        <v>1.4581999999999999</v>
      </c>
      <c r="M55">
        <f>VLOOKUP('Combined table'!B55,products!$A$1:$G$49,7,FALSE)</f>
        <v>4.7391499999999995</v>
      </c>
      <c r="N55" t="str">
        <f>TEXT(A55,"mmm yyyy")</f>
        <v>Sep 2019</v>
      </c>
      <c r="O55">
        <f t="shared" si="0"/>
        <v>72.91</v>
      </c>
    </row>
    <row r="56" spans="1:15" x14ac:dyDescent="0.25">
      <c r="A56" s="3">
        <v>44271</v>
      </c>
      <c r="B56" t="s">
        <v>6162</v>
      </c>
      <c r="C56" s="2">
        <v>5</v>
      </c>
      <c r="D56" s="2" t="s">
        <v>796</v>
      </c>
      <c r="E56" s="2" t="s">
        <v>260</v>
      </c>
      <c r="F56" s="2" t="s">
        <v>19</v>
      </c>
      <c r="G56" t="s">
        <v>6191</v>
      </c>
      <c r="H56" t="str">
        <f>VLOOKUP('Combined table'!B56,products!$A$1:$G$49,2,FALSE)</f>
        <v>Lib</v>
      </c>
      <c r="I56" t="str">
        <f>VLOOKUP('Combined table'!B56,products!$A$1:$G$49,3,FALSE)</f>
        <v>M</v>
      </c>
      <c r="J56">
        <f>VLOOKUP('Combined table'!B56,products!$A$1:$G$49,4,FALSE)</f>
        <v>1</v>
      </c>
      <c r="K56">
        <f>VLOOKUP('Combined table'!B56,products!$A$1:$G$49,5,FALSE)</f>
        <v>14.55</v>
      </c>
      <c r="L56">
        <f>VLOOKUP('Combined table'!B56,products!$A$1:$G$49,6,FALSE)</f>
        <v>1.4550000000000001</v>
      </c>
      <c r="M56">
        <f>VLOOKUP('Combined table'!B56,products!$A$1:$G$49,7,FALSE)</f>
        <v>1.8915000000000002</v>
      </c>
      <c r="N56" t="str">
        <f>TEXT(A56,"mmm yyyy")</f>
        <v>Mar 2021</v>
      </c>
      <c r="O56">
        <f t="shared" si="0"/>
        <v>72.75</v>
      </c>
    </row>
    <row r="57" spans="1:15" x14ac:dyDescent="0.25">
      <c r="A57" s="3">
        <v>44168</v>
      </c>
      <c r="B57" t="s">
        <v>6170</v>
      </c>
      <c r="C57" s="2">
        <v>3</v>
      </c>
      <c r="D57" s="2" t="s">
        <v>802</v>
      </c>
      <c r="E57" s="2" t="s">
        <v>135</v>
      </c>
      <c r="F57" s="2" t="s">
        <v>19</v>
      </c>
      <c r="G57" t="s">
        <v>6191</v>
      </c>
      <c r="H57" t="str">
        <f>VLOOKUP('Combined table'!B57,products!$A$1:$G$49,2,FALSE)</f>
        <v>Lib</v>
      </c>
      <c r="I57" t="str">
        <f>VLOOKUP('Combined table'!B57,products!$A$1:$G$49,3,FALSE)</f>
        <v>L</v>
      </c>
      <c r="J57">
        <f>VLOOKUP('Combined table'!B57,products!$A$1:$G$49,4,FALSE)</f>
        <v>1</v>
      </c>
      <c r="K57">
        <f>VLOOKUP('Combined table'!B57,products!$A$1:$G$49,5,FALSE)</f>
        <v>15.85</v>
      </c>
      <c r="L57">
        <f>VLOOKUP('Combined table'!B57,products!$A$1:$G$49,6,FALSE)</f>
        <v>1.585</v>
      </c>
      <c r="M57">
        <f>VLOOKUP('Combined table'!B57,products!$A$1:$G$49,7,FALSE)</f>
        <v>2.0605000000000002</v>
      </c>
      <c r="N57" t="str">
        <f>TEXT(A57,"mmm yyyy")</f>
        <v>Dec 2020</v>
      </c>
      <c r="O57">
        <f t="shared" si="0"/>
        <v>47.55</v>
      </c>
    </row>
    <row r="58" spans="1:15" x14ac:dyDescent="0.25">
      <c r="A58" s="3">
        <v>43857</v>
      </c>
      <c r="B58" t="s">
        <v>6153</v>
      </c>
      <c r="C58" s="2">
        <v>3</v>
      </c>
      <c r="D58" s="2" t="s">
        <v>807</v>
      </c>
      <c r="E58" s="2" t="s">
        <v>137</v>
      </c>
      <c r="F58" s="2" t="s">
        <v>19</v>
      </c>
      <c r="G58" t="s">
        <v>6190</v>
      </c>
      <c r="H58" t="str">
        <f>VLOOKUP('Combined table'!B58,products!$A$1:$G$49,2,FALSE)</f>
        <v>Exc</v>
      </c>
      <c r="I58" t="str">
        <f>VLOOKUP('Combined table'!B58,products!$A$1:$G$49,3,FALSE)</f>
        <v>D</v>
      </c>
      <c r="J58">
        <f>VLOOKUP('Combined table'!B58,products!$A$1:$G$49,4,FALSE)</f>
        <v>0.2</v>
      </c>
      <c r="K58">
        <f>VLOOKUP('Combined table'!B58,products!$A$1:$G$49,5,FALSE)</f>
        <v>3.645</v>
      </c>
      <c r="L58">
        <f>VLOOKUP('Combined table'!B58,products!$A$1:$G$49,6,FALSE)</f>
        <v>1.8225</v>
      </c>
      <c r="M58">
        <f>VLOOKUP('Combined table'!B58,products!$A$1:$G$49,7,FALSE)</f>
        <v>0.40095000000000003</v>
      </c>
      <c r="N58" t="str">
        <f>TEXT(A58,"mmm yyyy")</f>
        <v>Jan 2020</v>
      </c>
      <c r="O58">
        <f t="shared" si="0"/>
        <v>10.935</v>
      </c>
    </row>
    <row r="59" spans="1:15" x14ac:dyDescent="0.25">
      <c r="A59" s="3">
        <v>44759</v>
      </c>
      <c r="B59" t="s">
        <v>6171</v>
      </c>
      <c r="C59" s="2">
        <v>4</v>
      </c>
      <c r="D59" s="2" t="s">
        <v>813</v>
      </c>
      <c r="E59" s="2" t="s">
        <v>250</v>
      </c>
      <c r="F59" s="2" t="s">
        <v>19</v>
      </c>
      <c r="G59" t="s">
        <v>6191</v>
      </c>
      <c r="H59" t="str">
        <f>VLOOKUP('Combined table'!B59,products!$A$1:$G$49,2,FALSE)</f>
        <v>Exc</v>
      </c>
      <c r="I59" t="str">
        <f>VLOOKUP('Combined table'!B59,products!$A$1:$G$49,3,FALSE)</f>
        <v>L</v>
      </c>
      <c r="J59">
        <f>VLOOKUP('Combined table'!B59,products!$A$1:$G$49,4,FALSE)</f>
        <v>1</v>
      </c>
      <c r="K59">
        <f>VLOOKUP('Combined table'!B59,products!$A$1:$G$49,5,FALSE)</f>
        <v>14.85</v>
      </c>
      <c r="L59">
        <f>VLOOKUP('Combined table'!B59,products!$A$1:$G$49,6,FALSE)</f>
        <v>1.4849999999999999</v>
      </c>
      <c r="M59">
        <f>VLOOKUP('Combined table'!B59,products!$A$1:$G$49,7,FALSE)</f>
        <v>1.6335</v>
      </c>
      <c r="N59" t="str">
        <f>TEXT(A59,"mmm yyyy")</f>
        <v>Jul 2022</v>
      </c>
      <c r="O59">
        <f t="shared" si="0"/>
        <v>59.4</v>
      </c>
    </row>
    <row r="60" spans="1:15" x14ac:dyDescent="0.25">
      <c r="A60" s="3">
        <v>44624</v>
      </c>
      <c r="B60" t="s">
        <v>6165</v>
      </c>
      <c r="C60" s="2">
        <v>3</v>
      </c>
      <c r="D60" s="2" t="s">
        <v>819</v>
      </c>
      <c r="E60" s="2" t="s">
        <v>234</v>
      </c>
      <c r="F60" s="2" t="s">
        <v>19</v>
      </c>
      <c r="G60" t="s">
        <v>6190</v>
      </c>
      <c r="H60" t="str">
        <f>VLOOKUP('Combined table'!B60,products!$A$1:$G$49,2,FALSE)</f>
        <v>Lib</v>
      </c>
      <c r="I60" t="str">
        <f>VLOOKUP('Combined table'!B60,products!$A$1:$G$49,3,FALSE)</f>
        <v>D</v>
      </c>
      <c r="J60">
        <f>VLOOKUP('Combined table'!B60,products!$A$1:$G$49,4,FALSE)</f>
        <v>2.5</v>
      </c>
      <c r="K60">
        <f>VLOOKUP('Combined table'!B60,products!$A$1:$G$49,5,FALSE)</f>
        <v>29.784999999999997</v>
      </c>
      <c r="L60">
        <f>VLOOKUP('Combined table'!B60,products!$A$1:$G$49,6,FALSE)</f>
        <v>1.1913999999999998</v>
      </c>
      <c r="M60">
        <f>VLOOKUP('Combined table'!B60,products!$A$1:$G$49,7,FALSE)</f>
        <v>3.8720499999999998</v>
      </c>
      <c r="N60" t="str">
        <f>TEXT(A60,"mmm yyyy")</f>
        <v>Mar 2022</v>
      </c>
      <c r="O60">
        <f t="shared" si="0"/>
        <v>89.35499999999999</v>
      </c>
    </row>
    <row r="61" spans="1:15" x14ac:dyDescent="0.25">
      <c r="A61" s="3">
        <v>44537</v>
      </c>
      <c r="B61" t="s">
        <v>6160</v>
      </c>
      <c r="C61" s="2">
        <v>3</v>
      </c>
      <c r="D61" s="2" t="s">
        <v>824</v>
      </c>
      <c r="E61" s="2" t="s">
        <v>173</v>
      </c>
      <c r="F61" s="2" t="s">
        <v>19</v>
      </c>
      <c r="G61" t="s">
        <v>6190</v>
      </c>
      <c r="H61" t="str">
        <f>VLOOKUP('Combined table'!B61,products!$A$1:$G$49,2,FALSE)</f>
        <v>Lib</v>
      </c>
      <c r="I61" t="str">
        <f>VLOOKUP('Combined table'!B61,products!$A$1:$G$49,3,FALSE)</f>
        <v>M</v>
      </c>
      <c r="J61">
        <f>VLOOKUP('Combined table'!B61,products!$A$1:$G$49,4,FALSE)</f>
        <v>0.5</v>
      </c>
      <c r="K61">
        <f>VLOOKUP('Combined table'!B61,products!$A$1:$G$49,5,FALSE)</f>
        <v>8.73</v>
      </c>
      <c r="L61">
        <f>VLOOKUP('Combined table'!B61,products!$A$1:$G$49,6,FALSE)</f>
        <v>1.746</v>
      </c>
      <c r="M61">
        <f>VLOOKUP('Combined table'!B61,products!$A$1:$G$49,7,FALSE)</f>
        <v>1.1349</v>
      </c>
      <c r="N61" t="str">
        <f>TEXT(A61,"mmm yyyy")</f>
        <v>Dec 2021</v>
      </c>
      <c r="O61">
        <f t="shared" si="0"/>
        <v>26.19</v>
      </c>
    </row>
    <row r="62" spans="1:15" x14ac:dyDescent="0.25">
      <c r="A62" s="3">
        <v>44252</v>
      </c>
      <c r="B62" t="s">
        <v>6168</v>
      </c>
      <c r="C62" s="2">
        <v>5</v>
      </c>
      <c r="D62" s="2" t="s">
        <v>829</v>
      </c>
      <c r="E62" s="2" t="s">
        <v>66</v>
      </c>
      <c r="F62" s="2" t="s">
        <v>19</v>
      </c>
      <c r="G62" t="s">
        <v>6191</v>
      </c>
      <c r="H62" t="str">
        <f>VLOOKUP('Combined table'!B62,products!$A$1:$G$49,2,FALSE)</f>
        <v>Ara</v>
      </c>
      <c r="I62" t="str">
        <f>VLOOKUP('Combined table'!B62,products!$A$1:$G$49,3,FALSE)</f>
        <v>D</v>
      </c>
      <c r="J62">
        <f>VLOOKUP('Combined table'!B62,products!$A$1:$G$49,4,FALSE)</f>
        <v>2.5</v>
      </c>
      <c r="K62">
        <f>VLOOKUP('Combined table'!B62,products!$A$1:$G$49,5,FALSE)</f>
        <v>22.884999999999998</v>
      </c>
      <c r="L62">
        <f>VLOOKUP('Combined table'!B62,products!$A$1:$G$49,6,FALSE)</f>
        <v>0.91539999999999988</v>
      </c>
      <c r="M62">
        <f>VLOOKUP('Combined table'!B62,products!$A$1:$G$49,7,FALSE)</f>
        <v>2.0596499999999995</v>
      </c>
      <c r="N62" t="str">
        <f>TEXT(A62,"mmm yyyy")</f>
        <v>Feb 2021</v>
      </c>
      <c r="O62">
        <f t="shared" si="0"/>
        <v>114.42499999999998</v>
      </c>
    </row>
    <row r="63" spans="1:15" x14ac:dyDescent="0.25">
      <c r="A63" s="3">
        <v>43521</v>
      </c>
      <c r="B63" t="s">
        <v>6172</v>
      </c>
      <c r="C63" s="2">
        <v>5</v>
      </c>
      <c r="D63" s="2" t="s">
        <v>835</v>
      </c>
      <c r="E63" s="2" t="s">
        <v>151</v>
      </c>
      <c r="F63" s="2" t="s">
        <v>28</v>
      </c>
      <c r="G63" t="s">
        <v>6190</v>
      </c>
      <c r="H63" t="str">
        <f>VLOOKUP('Combined table'!B63,products!$A$1:$G$49,2,FALSE)</f>
        <v>Rob</v>
      </c>
      <c r="I63" t="str">
        <f>VLOOKUP('Combined table'!B63,products!$A$1:$G$49,3,FALSE)</f>
        <v>D</v>
      </c>
      <c r="J63">
        <f>VLOOKUP('Combined table'!B63,products!$A$1:$G$49,4,FALSE)</f>
        <v>0.5</v>
      </c>
      <c r="K63">
        <f>VLOOKUP('Combined table'!B63,products!$A$1:$G$49,5,FALSE)</f>
        <v>5.3699999999999992</v>
      </c>
      <c r="L63">
        <f>VLOOKUP('Combined table'!B63,products!$A$1:$G$49,6,FALSE)</f>
        <v>1.0739999999999998</v>
      </c>
      <c r="M63">
        <f>VLOOKUP('Combined table'!B63,products!$A$1:$G$49,7,FALSE)</f>
        <v>0.32219999999999993</v>
      </c>
      <c r="N63" t="str">
        <f>TEXT(A63,"mmm yyyy")</f>
        <v>Feb 2019</v>
      </c>
      <c r="O63">
        <f t="shared" si="0"/>
        <v>26.849999999999994</v>
      </c>
    </row>
    <row r="64" spans="1:15" x14ac:dyDescent="0.25">
      <c r="A64" s="3">
        <v>43505</v>
      </c>
      <c r="B64" t="s">
        <v>6145</v>
      </c>
      <c r="C64" s="2">
        <v>5</v>
      </c>
      <c r="D64" s="2" t="s">
        <v>840</v>
      </c>
      <c r="E64" s="2" t="s">
        <v>267</v>
      </c>
      <c r="F64" s="2" t="s">
        <v>19</v>
      </c>
      <c r="G64" t="s">
        <v>6190</v>
      </c>
      <c r="H64" t="str">
        <f>VLOOKUP('Combined table'!B64,products!$A$1:$G$49,2,FALSE)</f>
        <v>Lib</v>
      </c>
      <c r="I64" t="str">
        <f>VLOOKUP('Combined table'!B64,products!$A$1:$G$49,3,FALSE)</f>
        <v>L</v>
      </c>
      <c r="J64">
        <f>VLOOKUP('Combined table'!B64,products!$A$1:$G$49,4,FALSE)</f>
        <v>0.2</v>
      </c>
      <c r="K64">
        <f>VLOOKUP('Combined table'!B64,products!$A$1:$G$49,5,FALSE)</f>
        <v>4.7549999999999999</v>
      </c>
      <c r="L64">
        <f>VLOOKUP('Combined table'!B64,products!$A$1:$G$49,6,FALSE)</f>
        <v>2.3774999999999999</v>
      </c>
      <c r="M64">
        <f>VLOOKUP('Combined table'!B64,products!$A$1:$G$49,7,FALSE)</f>
        <v>0.61814999999999998</v>
      </c>
      <c r="N64" t="str">
        <f>TEXT(A64,"mmm yyyy")</f>
        <v>Feb 2019</v>
      </c>
      <c r="O64">
        <f t="shared" si="0"/>
        <v>23.774999999999999</v>
      </c>
    </row>
    <row r="65" spans="1:15" x14ac:dyDescent="0.25">
      <c r="A65" s="3">
        <v>43868</v>
      </c>
      <c r="B65" t="s">
        <v>6157</v>
      </c>
      <c r="C65" s="2">
        <v>1</v>
      </c>
      <c r="D65" s="2" t="s">
        <v>845</v>
      </c>
      <c r="E65" s="2" t="s">
        <v>56</v>
      </c>
      <c r="F65" s="2" t="s">
        <v>19</v>
      </c>
      <c r="G65" t="s">
        <v>6191</v>
      </c>
      <c r="H65" t="str">
        <f>VLOOKUP('Combined table'!B65,products!$A$1:$G$49,2,FALSE)</f>
        <v>Ara</v>
      </c>
      <c r="I65" t="str">
        <f>VLOOKUP('Combined table'!B65,products!$A$1:$G$49,3,FALSE)</f>
        <v>M</v>
      </c>
      <c r="J65">
        <f>VLOOKUP('Combined table'!B65,products!$A$1:$G$49,4,FALSE)</f>
        <v>0.5</v>
      </c>
      <c r="K65">
        <f>VLOOKUP('Combined table'!B65,products!$A$1:$G$49,5,FALSE)</f>
        <v>6.75</v>
      </c>
      <c r="L65">
        <f>VLOOKUP('Combined table'!B65,products!$A$1:$G$49,6,FALSE)</f>
        <v>1.35</v>
      </c>
      <c r="M65">
        <f>VLOOKUP('Combined table'!B65,products!$A$1:$G$49,7,FALSE)</f>
        <v>0.60749999999999993</v>
      </c>
      <c r="N65" t="str">
        <f>TEXT(A65,"mmm yyyy")</f>
        <v>Feb 2020</v>
      </c>
      <c r="O65">
        <f t="shared" si="0"/>
        <v>6.75</v>
      </c>
    </row>
    <row r="66" spans="1:15" x14ac:dyDescent="0.25">
      <c r="A66" s="3">
        <v>43913</v>
      </c>
      <c r="B66" t="s">
        <v>6146</v>
      </c>
      <c r="C66" s="2">
        <v>6</v>
      </c>
      <c r="D66" s="2" t="s">
        <v>851</v>
      </c>
      <c r="E66" s="2" t="s">
        <v>199</v>
      </c>
      <c r="F66" s="2" t="s">
        <v>19</v>
      </c>
      <c r="G66" t="s">
        <v>6190</v>
      </c>
      <c r="H66" t="str">
        <f>VLOOKUP('Combined table'!B66,products!$A$1:$G$49,2,FALSE)</f>
        <v>Rob</v>
      </c>
      <c r="I66" t="str">
        <f>VLOOKUP('Combined table'!B66,products!$A$1:$G$49,3,FALSE)</f>
        <v>M</v>
      </c>
      <c r="J66">
        <f>VLOOKUP('Combined table'!B66,products!$A$1:$G$49,4,FALSE)</f>
        <v>0.5</v>
      </c>
      <c r="K66">
        <f>VLOOKUP('Combined table'!B66,products!$A$1:$G$49,5,FALSE)</f>
        <v>5.97</v>
      </c>
      <c r="L66">
        <f>VLOOKUP('Combined table'!B66,products!$A$1:$G$49,6,FALSE)</f>
        <v>1.194</v>
      </c>
      <c r="M66">
        <f>VLOOKUP('Combined table'!B66,products!$A$1:$G$49,7,FALSE)</f>
        <v>0.35819999999999996</v>
      </c>
      <c r="N66" t="str">
        <f>TEXT(A66,"mmm yyyy")</f>
        <v>Mar 2020</v>
      </c>
      <c r="O66">
        <f t="shared" si="0"/>
        <v>35.82</v>
      </c>
    </row>
    <row r="67" spans="1:15" x14ac:dyDescent="0.25">
      <c r="A67" s="3">
        <v>44626</v>
      </c>
      <c r="B67" t="s">
        <v>6149</v>
      </c>
      <c r="C67" s="2">
        <v>4</v>
      </c>
      <c r="D67" s="2" t="s">
        <v>856</v>
      </c>
      <c r="E67" s="2" t="s">
        <v>364</v>
      </c>
      <c r="F67" s="2" t="s">
        <v>19</v>
      </c>
      <c r="G67" t="s">
        <v>6190</v>
      </c>
      <c r="H67" t="str">
        <f>VLOOKUP('Combined table'!B67,products!$A$1:$G$49,2,FALSE)</f>
        <v>Rob</v>
      </c>
      <c r="I67" t="str">
        <f>VLOOKUP('Combined table'!B67,products!$A$1:$G$49,3,FALSE)</f>
        <v>D</v>
      </c>
      <c r="J67">
        <f>VLOOKUP('Combined table'!B67,products!$A$1:$G$49,4,FALSE)</f>
        <v>2.5</v>
      </c>
      <c r="K67">
        <f>VLOOKUP('Combined table'!B67,products!$A$1:$G$49,5,FALSE)</f>
        <v>20.584999999999997</v>
      </c>
      <c r="L67">
        <f>VLOOKUP('Combined table'!B67,products!$A$1:$G$49,6,FALSE)</f>
        <v>0.82339999999999991</v>
      </c>
      <c r="M67">
        <f>VLOOKUP('Combined table'!B67,products!$A$1:$G$49,7,FALSE)</f>
        <v>1.2350999999999999</v>
      </c>
      <c r="N67" t="str">
        <f>TEXT(A67,"mmm yyyy")</f>
        <v>Mar 2022</v>
      </c>
      <c r="O67">
        <f t="shared" ref="O67:O130" si="1">C67*K67</f>
        <v>82.339999999999989</v>
      </c>
    </row>
    <row r="68" spans="1:15" x14ac:dyDescent="0.25">
      <c r="A68" s="3">
        <v>44666</v>
      </c>
      <c r="B68" t="s">
        <v>6173</v>
      </c>
      <c r="C68" s="2">
        <v>1</v>
      </c>
      <c r="D68" s="2" t="s">
        <v>862</v>
      </c>
      <c r="E68" s="2" t="s">
        <v>106</v>
      </c>
      <c r="F68" s="2" t="s">
        <v>19</v>
      </c>
      <c r="G68" t="s">
        <v>6190</v>
      </c>
      <c r="H68" t="str">
        <f>VLOOKUP('Combined table'!B68,products!$A$1:$G$49,2,FALSE)</f>
        <v>Rob</v>
      </c>
      <c r="I68" t="str">
        <f>VLOOKUP('Combined table'!B68,products!$A$1:$G$49,3,FALSE)</f>
        <v>L</v>
      </c>
      <c r="J68">
        <f>VLOOKUP('Combined table'!B68,products!$A$1:$G$49,4,FALSE)</f>
        <v>0.5</v>
      </c>
      <c r="K68">
        <f>VLOOKUP('Combined table'!B68,products!$A$1:$G$49,5,FALSE)</f>
        <v>7.169999999999999</v>
      </c>
      <c r="L68">
        <f>VLOOKUP('Combined table'!B68,products!$A$1:$G$49,6,FALSE)</f>
        <v>1.4339999999999997</v>
      </c>
      <c r="M68">
        <f>VLOOKUP('Combined table'!B68,products!$A$1:$G$49,7,FALSE)</f>
        <v>0.43019999999999992</v>
      </c>
      <c r="N68" t="str">
        <f>TEXT(A68,"mmm yyyy")</f>
        <v>Apr 2022</v>
      </c>
      <c r="O68">
        <f t="shared" si="1"/>
        <v>7.169999999999999</v>
      </c>
    </row>
    <row r="69" spans="1:15" x14ac:dyDescent="0.25">
      <c r="A69" s="3">
        <v>44519</v>
      </c>
      <c r="B69" t="s">
        <v>6145</v>
      </c>
      <c r="C69" s="2">
        <v>2</v>
      </c>
      <c r="D69" s="2" t="s">
        <v>868</v>
      </c>
      <c r="E69" s="2" t="s">
        <v>118</v>
      </c>
      <c r="F69" s="2" t="s">
        <v>19</v>
      </c>
      <c r="G69" t="s">
        <v>6191</v>
      </c>
      <c r="H69" t="str">
        <f>VLOOKUP('Combined table'!B69,products!$A$1:$G$49,2,FALSE)</f>
        <v>Lib</v>
      </c>
      <c r="I69" t="str">
        <f>VLOOKUP('Combined table'!B69,products!$A$1:$G$49,3,FALSE)</f>
        <v>L</v>
      </c>
      <c r="J69">
        <f>VLOOKUP('Combined table'!B69,products!$A$1:$G$49,4,FALSE)</f>
        <v>0.2</v>
      </c>
      <c r="K69">
        <f>VLOOKUP('Combined table'!B69,products!$A$1:$G$49,5,FALSE)</f>
        <v>4.7549999999999999</v>
      </c>
      <c r="L69">
        <f>VLOOKUP('Combined table'!B69,products!$A$1:$G$49,6,FALSE)</f>
        <v>2.3774999999999999</v>
      </c>
      <c r="M69">
        <f>VLOOKUP('Combined table'!B69,products!$A$1:$G$49,7,FALSE)</f>
        <v>0.61814999999999998</v>
      </c>
      <c r="N69" t="str">
        <f>TEXT(A69,"mmm yyyy")</f>
        <v>Nov 2021</v>
      </c>
      <c r="O69">
        <f t="shared" si="1"/>
        <v>9.51</v>
      </c>
    </row>
    <row r="70" spans="1:15" x14ac:dyDescent="0.25">
      <c r="A70" s="3">
        <v>43754</v>
      </c>
      <c r="B70" t="s">
        <v>6174</v>
      </c>
      <c r="C70" s="2">
        <v>1</v>
      </c>
      <c r="D70" s="2" t="s">
        <v>874</v>
      </c>
      <c r="E70" s="2" t="s">
        <v>268</v>
      </c>
      <c r="F70" s="2" t="s">
        <v>19</v>
      </c>
      <c r="G70" t="s">
        <v>6191</v>
      </c>
      <c r="H70" t="str">
        <f>VLOOKUP('Combined table'!B70,products!$A$1:$G$49,2,FALSE)</f>
        <v>Rob</v>
      </c>
      <c r="I70" t="str">
        <f>VLOOKUP('Combined table'!B70,products!$A$1:$G$49,3,FALSE)</f>
        <v>M</v>
      </c>
      <c r="J70">
        <f>VLOOKUP('Combined table'!B70,products!$A$1:$G$49,4,FALSE)</f>
        <v>0.2</v>
      </c>
      <c r="K70">
        <f>VLOOKUP('Combined table'!B70,products!$A$1:$G$49,5,FALSE)</f>
        <v>2.9849999999999999</v>
      </c>
      <c r="L70">
        <f>VLOOKUP('Combined table'!B70,products!$A$1:$G$49,6,FALSE)</f>
        <v>1.4924999999999999</v>
      </c>
      <c r="M70">
        <f>VLOOKUP('Combined table'!B70,products!$A$1:$G$49,7,FALSE)</f>
        <v>0.17909999999999998</v>
      </c>
      <c r="N70" t="str">
        <f>TEXT(A70,"mmm yyyy")</f>
        <v>Oct 2019</v>
      </c>
      <c r="O70">
        <f t="shared" si="1"/>
        <v>2.9849999999999999</v>
      </c>
    </row>
    <row r="71" spans="1:15" x14ac:dyDescent="0.25">
      <c r="A71" s="3">
        <v>43795</v>
      </c>
      <c r="B71" t="s">
        <v>6138</v>
      </c>
      <c r="C71" s="2">
        <v>6</v>
      </c>
      <c r="D71" s="2" t="s">
        <v>880</v>
      </c>
      <c r="E71" s="2" t="s">
        <v>284</v>
      </c>
      <c r="F71" s="2" t="s">
        <v>28</v>
      </c>
      <c r="G71" t="s">
        <v>6190</v>
      </c>
      <c r="H71" t="str">
        <f>VLOOKUP('Combined table'!B71,products!$A$1:$G$49,2,FALSE)</f>
        <v>Rob</v>
      </c>
      <c r="I71" t="str">
        <f>VLOOKUP('Combined table'!B71,products!$A$1:$G$49,3,FALSE)</f>
        <v>M</v>
      </c>
      <c r="J71">
        <f>VLOOKUP('Combined table'!B71,products!$A$1:$G$49,4,FALSE)</f>
        <v>1</v>
      </c>
      <c r="K71">
        <f>VLOOKUP('Combined table'!B71,products!$A$1:$G$49,5,FALSE)</f>
        <v>9.9499999999999993</v>
      </c>
      <c r="L71">
        <f>VLOOKUP('Combined table'!B71,products!$A$1:$G$49,6,FALSE)</f>
        <v>0.99499999999999988</v>
      </c>
      <c r="M71">
        <f>VLOOKUP('Combined table'!B71,products!$A$1:$G$49,7,FALSE)</f>
        <v>0.59699999999999998</v>
      </c>
      <c r="N71" t="str">
        <f>TEXT(A71,"mmm yyyy")</f>
        <v>Nov 2019</v>
      </c>
      <c r="O71">
        <f t="shared" si="1"/>
        <v>59.699999999999996</v>
      </c>
    </row>
    <row r="72" spans="1:15" x14ac:dyDescent="0.25">
      <c r="A72" s="3">
        <v>43646</v>
      </c>
      <c r="B72" t="s">
        <v>6148</v>
      </c>
      <c r="C72" s="2">
        <v>4</v>
      </c>
      <c r="D72" s="2" t="s">
        <v>887</v>
      </c>
      <c r="E72" s="2" t="s">
        <v>39</v>
      </c>
      <c r="F72" s="2" t="s">
        <v>19</v>
      </c>
      <c r="G72" t="s">
        <v>6191</v>
      </c>
      <c r="H72" t="str">
        <f>VLOOKUP('Combined table'!B72,products!$A$1:$G$49,2,FALSE)</f>
        <v>Exc</v>
      </c>
      <c r="I72" t="str">
        <f>VLOOKUP('Combined table'!B72,products!$A$1:$G$49,3,FALSE)</f>
        <v>L</v>
      </c>
      <c r="J72">
        <f>VLOOKUP('Combined table'!B72,products!$A$1:$G$49,4,FALSE)</f>
        <v>2.5</v>
      </c>
      <c r="K72">
        <f>VLOOKUP('Combined table'!B72,products!$A$1:$G$49,5,FALSE)</f>
        <v>34.154999999999994</v>
      </c>
      <c r="L72">
        <f>VLOOKUP('Combined table'!B72,products!$A$1:$G$49,6,FALSE)</f>
        <v>1.3661999999999999</v>
      </c>
      <c r="M72">
        <f>VLOOKUP('Combined table'!B72,products!$A$1:$G$49,7,FALSE)</f>
        <v>3.7570499999999996</v>
      </c>
      <c r="N72" t="str">
        <f>TEXT(A72,"mmm yyyy")</f>
        <v>Jun 2019</v>
      </c>
      <c r="O72">
        <f t="shared" si="1"/>
        <v>136.61999999999998</v>
      </c>
    </row>
    <row r="73" spans="1:15" x14ac:dyDescent="0.25">
      <c r="A73" s="3">
        <v>44200</v>
      </c>
      <c r="B73" t="s">
        <v>6145</v>
      </c>
      <c r="C73" s="2">
        <v>2</v>
      </c>
      <c r="D73" s="2" t="s">
        <v>893</v>
      </c>
      <c r="E73" s="2" t="s">
        <v>408</v>
      </c>
      <c r="F73" s="2" t="s">
        <v>318</v>
      </c>
      <c r="G73" t="s">
        <v>6191</v>
      </c>
      <c r="H73" t="str">
        <f>VLOOKUP('Combined table'!B73,products!$A$1:$G$49,2,FALSE)</f>
        <v>Lib</v>
      </c>
      <c r="I73" t="str">
        <f>VLOOKUP('Combined table'!B73,products!$A$1:$G$49,3,FALSE)</f>
        <v>L</v>
      </c>
      <c r="J73">
        <f>VLOOKUP('Combined table'!B73,products!$A$1:$G$49,4,FALSE)</f>
        <v>0.2</v>
      </c>
      <c r="K73">
        <f>VLOOKUP('Combined table'!B73,products!$A$1:$G$49,5,FALSE)</f>
        <v>4.7549999999999999</v>
      </c>
      <c r="L73">
        <f>VLOOKUP('Combined table'!B73,products!$A$1:$G$49,6,FALSE)</f>
        <v>2.3774999999999999</v>
      </c>
      <c r="M73">
        <f>VLOOKUP('Combined table'!B73,products!$A$1:$G$49,7,FALSE)</f>
        <v>0.61814999999999998</v>
      </c>
      <c r="N73" t="str">
        <f>TEXT(A73,"mmm yyyy")</f>
        <v>Jan 2021</v>
      </c>
      <c r="O73">
        <f t="shared" si="1"/>
        <v>9.51</v>
      </c>
    </row>
    <row r="74" spans="1:15" x14ac:dyDescent="0.25">
      <c r="A74" s="3">
        <v>44131</v>
      </c>
      <c r="B74" t="s">
        <v>6175</v>
      </c>
      <c r="C74" s="2">
        <v>3</v>
      </c>
      <c r="D74" s="2" t="s">
        <v>899</v>
      </c>
      <c r="E74" s="2" t="s">
        <v>69</v>
      </c>
      <c r="F74" s="2" t="s">
        <v>19</v>
      </c>
      <c r="G74" t="s">
        <v>6191</v>
      </c>
      <c r="H74" t="str">
        <f>VLOOKUP('Combined table'!B74,products!$A$1:$G$49,2,FALSE)</f>
        <v>Ara</v>
      </c>
      <c r="I74" t="str">
        <f>VLOOKUP('Combined table'!B74,products!$A$1:$G$49,3,FALSE)</f>
        <v>M</v>
      </c>
      <c r="J74">
        <f>VLOOKUP('Combined table'!B74,products!$A$1:$G$49,4,FALSE)</f>
        <v>2.5</v>
      </c>
      <c r="K74">
        <f>VLOOKUP('Combined table'!B74,products!$A$1:$G$49,5,FALSE)</f>
        <v>25.874999999999996</v>
      </c>
      <c r="L74">
        <f>VLOOKUP('Combined table'!B74,products!$A$1:$G$49,6,FALSE)</f>
        <v>1.0349999999999999</v>
      </c>
      <c r="M74">
        <f>VLOOKUP('Combined table'!B74,products!$A$1:$G$49,7,FALSE)</f>
        <v>2.3287499999999994</v>
      </c>
      <c r="N74" t="str">
        <f>TEXT(A74,"mmm yyyy")</f>
        <v>Oct 2020</v>
      </c>
      <c r="O74">
        <f t="shared" si="1"/>
        <v>77.624999999999986</v>
      </c>
    </row>
    <row r="75" spans="1:15" x14ac:dyDescent="0.25">
      <c r="A75" s="3">
        <v>44362</v>
      </c>
      <c r="B75" t="s">
        <v>6159</v>
      </c>
      <c r="C75" s="2">
        <v>5</v>
      </c>
      <c r="D75" s="2" t="s">
        <v>904</v>
      </c>
      <c r="E75" s="2" t="s">
        <v>35</v>
      </c>
      <c r="F75" s="2" t="s">
        <v>19</v>
      </c>
      <c r="G75" t="s">
        <v>6190</v>
      </c>
      <c r="H75" t="str">
        <f>VLOOKUP('Combined table'!B75,products!$A$1:$G$49,2,FALSE)</f>
        <v>Lib</v>
      </c>
      <c r="I75" t="str">
        <f>VLOOKUP('Combined table'!B75,products!$A$1:$G$49,3,FALSE)</f>
        <v>M</v>
      </c>
      <c r="J75">
        <f>VLOOKUP('Combined table'!B75,products!$A$1:$G$49,4,FALSE)</f>
        <v>0.2</v>
      </c>
      <c r="K75">
        <f>VLOOKUP('Combined table'!B75,products!$A$1:$G$49,5,FALSE)</f>
        <v>4.3650000000000002</v>
      </c>
      <c r="L75">
        <f>VLOOKUP('Combined table'!B75,products!$A$1:$G$49,6,FALSE)</f>
        <v>2.1825000000000001</v>
      </c>
      <c r="M75">
        <f>VLOOKUP('Combined table'!B75,products!$A$1:$G$49,7,FALSE)</f>
        <v>0.56745000000000001</v>
      </c>
      <c r="N75" t="str">
        <f>TEXT(A75,"mmm yyyy")</f>
        <v>Jun 2021</v>
      </c>
      <c r="O75">
        <f t="shared" si="1"/>
        <v>21.825000000000003</v>
      </c>
    </row>
    <row r="76" spans="1:15" x14ac:dyDescent="0.25">
      <c r="A76" s="3">
        <v>44396</v>
      </c>
      <c r="B76" t="s">
        <v>6176</v>
      </c>
      <c r="C76" s="2">
        <v>2</v>
      </c>
      <c r="D76" s="2" t="s">
        <v>909</v>
      </c>
      <c r="E76" s="2" t="s">
        <v>83</v>
      </c>
      <c r="F76" s="2" t="s">
        <v>19</v>
      </c>
      <c r="G76" t="s">
        <v>6190</v>
      </c>
      <c r="H76" t="str">
        <f>VLOOKUP('Combined table'!B76,products!$A$1:$G$49,2,FALSE)</f>
        <v>Exc</v>
      </c>
      <c r="I76" t="str">
        <f>VLOOKUP('Combined table'!B76,products!$A$1:$G$49,3,FALSE)</f>
        <v>L</v>
      </c>
      <c r="J76">
        <f>VLOOKUP('Combined table'!B76,products!$A$1:$G$49,4,FALSE)</f>
        <v>0.5</v>
      </c>
      <c r="K76">
        <f>VLOOKUP('Combined table'!B76,products!$A$1:$G$49,5,FALSE)</f>
        <v>8.91</v>
      </c>
      <c r="L76">
        <f>VLOOKUP('Combined table'!B76,products!$A$1:$G$49,6,FALSE)</f>
        <v>1.782</v>
      </c>
      <c r="M76">
        <f>VLOOKUP('Combined table'!B76,products!$A$1:$G$49,7,FALSE)</f>
        <v>0.98009999999999997</v>
      </c>
      <c r="N76" t="str">
        <f>TEXT(A76,"mmm yyyy")</f>
        <v>Jul 2021</v>
      </c>
      <c r="O76">
        <f t="shared" si="1"/>
        <v>17.82</v>
      </c>
    </row>
    <row r="77" spans="1:15" x14ac:dyDescent="0.25">
      <c r="A77" s="3">
        <v>44400</v>
      </c>
      <c r="B77" t="s">
        <v>6177</v>
      </c>
      <c r="C77" s="2">
        <v>6</v>
      </c>
      <c r="D77" s="2" t="s">
        <v>915</v>
      </c>
      <c r="E77" s="2" t="s">
        <v>327</v>
      </c>
      <c r="F77" s="2" t="s">
        <v>318</v>
      </c>
      <c r="G77" t="s">
        <v>6190</v>
      </c>
      <c r="H77" t="str">
        <f>VLOOKUP('Combined table'!B77,products!$A$1:$G$49,2,FALSE)</f>
        <v>Rob</v>
      </c>
      <c r="I77" t="str">
        <f>VLOOKUP('Combined table'!B77,products!$A$1:$G$49,3,FALSE)</f>
        <v>D</v>
      </c>
      <c r="J77">
        <f>VLOOKUP('Combined table'!B77,products!$A$1:$G$49,4,FALSE)</f>
        <v>1</v>
      </c>
      <c r="K77">
        <f>VLOOKUP('Combined table'!B77,products!$A$1:$G$49,5,FALSE)</f>
        <v>8.9499999999999993</v>
      </c>
      <c r="L77">
        <f>VLOOKUP('Combined table'!B77,products!$A$1:$G$49,6,FALSE)</f>
        <v>0.89499999999999991</v>
      </c>
      <c r="M77">
        <f>VLOOKUP('Combined table'!B77,products!$A$1:$G$49,7,FALSE)</f>
        <v>0.53699999999999992</v>
      </c>
      <c r="N77" t="str">
        <f>TEXT(A77,"mmm yyyy")</f>
        <v>Jul 2021</v>
      </c>
      <c r="O77">
        <f t="shared" si="1"/>
        <v>53.699999999999996</v>
      </c>
    </row>
    <row r="78" spans="1:15" x14ac:dyDescent="0.25">
      <c r="A78" s="3">
        <v>43855</v>
      </c>
      <c r="B78" t="s">
        <v>6178</v>
      </c>
      <c r="C78" s="2">
        <v>1</v>
      </c>
      <c r="D78" s="2" t="s">
        <v>921</v>
      </c>
      <c r="E78" s="2" t="s">
        <v>482</v>
      </c>
      <c r="F78" s="2" t="s">
        <v>318</v>
      </c>
      <c r="G78" t="s">
        <v>6190</v>
      </c>
      <c r="H78" t="str">
        <f>VLOOKUP('Combined table'!B78,products!$A$1:$G$49,2,FALSE)</f>
        <v>Rob</v>
      </c>
      <c r="I78" t="str">
        <f>VLOOKUP('Combined table'!B78,products!$A$1:$G$49,3,FALSE)</f>
        <v>L</v>
      </c>
      <c r="J78">
        <f>VLOOKUP('Combined table'!B78,products!$A$1:$G$49,4,FALSE)</f>
        <v>0.2</v>
      </c>
      <c r="K78">
        <f>VLOOKUP('Combined table'!B78,products!$A$1:$G$49,5,FALSE)</f>
        <v>3.5849999999999995</v>
      </c>
      <c r="L78">
        <f>VLOOKUP('Combined table'!B78,products!$A$1:$G$49,6,FALSE)</f>
        <v>1.7924999999999998</v>
      </c>
      <c r="M78">
        <f>VLOOKUP('Combined table'!B78,products!$A$1:$G$49,7,FALSE)</f>
        <v>0.21509999999999996</v>
      </c>
      <c r="N78" t="str">
        <f>TEXT(A78,"mmm yyyy")</f>
        <v>Jan 2020</v>
      </c>
      <c r="O78">
        <f t="shared" si="1"/>
        <v>3.5849999999999995</v>
      </c>
    </row>
    <row r="79" spans="1:15" x14ac:dyDescent="0.25">
      <c r="A79" s="3">
        <v>43594</v>
      </c>
      <c r="B79" t="s">
        <v>6153</v>
      </c>
      <c r="C79" s="2">
        <v>2</v>
      </c>
      <c r="D79" s="2" t="s">
        <v>926</v>
      </c>
      <c r="E79" s="2" t="s">
        <v>212</v>
      </c>
      <c r="F79" s="2" t="s">
        <v>19</v>
      </c>
      <c r="G79" t="s">
        <v>6191</v>
      </c>
      <c r="H79" t="str">
        <f>VLOOKUP('Combined table'!B79,products!$A$1:$G$49,2,FALSE)</f>
        <v>Exc</v>
      </c>
      <c r="I79" t="str">
        <f>VLOOKUP('Combined table'!B79,products!$A$1:$G$49,3,FALSE)</f>
        <v>D</v>
      </c>
      <c r="J79">
        <f>VLOOKUP('Combined table'!B79,products!$A$1:$G$49,4,FALSE)</f>
        <v>0.2</v>
      </c>
      <c r="K79">
        <f>VLOOKUP('Combined table'!B79,products!$A$1:$G$49,5,FALSE)</f>
        <v>3.645</v>
      </c>
      <c r="L79">
        <f>VLOOKUP('Combined table'!B79,products!$A$1:$G$49,6,FALSE)</f>
        <v>1.8225</v>
      </c>
      <c r="M79">
        <f>VLOOKUP('Combined table'!B79,products!$A$1:$G$49,7,FALSE)</f>
        <v>0.40095000000000003</v>
      </c>
      <c r="N79" t="str">
        <f>TEXT(A79,"mmm yyyy")</f>
        <v>May 2019</v>
      </c>
      <c r="O79">
        <f t="shared" si="1"/>
        <v>7.29</v>
      </c>
    </row>
    <row r="80" spans="1:15" x14ac:dyDescent="0.25">
      <c r="A80" s="3">
        <v>43920</v>
      </c>
      <c r="B80" t="s">
        <v>6157</v>
      </c>
      <c r="C80" s="2">
        <v>6</v>
      </c>
      <c r="D80" s="2" t="s">
        <v>932</v>
      </c>
      <c r="E80" s="2" t="s">
        <v>52</v>
      </c>
      <c r="F80" s="2" t="s">
        <v>19</v>
      </c>
      <c r="G80" t="s">
        <v>6190</v>
      </c>
      <c r="H80" t="str">
        <f>VLOOKUP('Combined table'!B80,products!$A$1:$G$49,2,FALSE)</f>
        <v>Ara</v>
      </c>
      <c r="I80" t="str">
        <f>VLOOKUP('Combined table'!B80,products!$A$1:$G$49,3,FALSE)</f>
        <v>M</v>
      </c>
      <c r="J80">
        <f>VLOOKUP('Combined table'!B80,products!$A$1:$G$49,4,FALSE)</f>
        <v>0.5</v>
      </c>
      <c r="K80">
        <f>VLOOKUP('Combined table'!B80,products!$A$1:$G$49,5,FALSE)</f>
        <v>6.75</v>
      </c>
      <c r="L80">
        <f>VLOOKUP('Combined table'!B80,products!$A$1:$G$49,6,FALSE)</f>
        <v>1.35</v>
      </c>
      <c r="M80">
        <f>VLOOKUP('Combined table'!B80,products!$A$1:$G$49,7,FALSE)</f>
        <v>0.60749999999999993</v>
      </c>
      <c r="N80" t="str">
        <f>TEXT(A80,"mmm yyyy")</f>
        <v>Mar 2020</v>
      </c>
      <c r="O80">
        <f t="shared" si="1"/>
        <v>40.5</v>
      </c>
    </row>
    <row r="81" spans="1:15" x14ac:dyDescent="0.25">
      <c r="A81" s="3">
        <v>44633</v>
      </c>
      <c r="B81" t="s">
        <v>6179</v>
      </c>
      <c r="C81" s="2">
        <v>4</v>
      </c>
      <c r="D81" s="2" t="s">
        <v>938</v>
      </c>
      <c r="E81" s="2" t="s">
        <v>288</v>
      </c>
      <c r="F81" s="2" t="s">
        <v>19</v>
      </c>
      <c r="G81" t="s">
        <v>6191</v>
      </c>
      <c r="H81" t="str">
        <f>VLOOKUP('Combined table'!B81,products!$A$1:$G$49,2,FALSE)</f>
        <v>Rob</v>
      </c>
      <c r="I81" t="str">
        <f>VLOOKUP('Combined table'!B81,products!$A$1:$G$49,3,FALSE)</f>
        <v>L</v>
      </c>
      <c r="J81">
        <f>VLOOKUP('Combined table'!B81,products!$A$1:$G$49,4,FALSE)</f>
        <v>1</v>
      </c>
      <c r="K81">
        <f>VLOOKUP('Combined table'!B81,products!$A$1:$G$49,5,FALSE)</f>
        <v>11.95</v>
      </c>
      <c r="L81">
        <f>VLOOKUP('Combined table'!B81,products!$A$1:$G$49,6,FALSE)</f>
        <v>1.1949999999999998</v>
      </c>
      <c r="M81">
        <f>VLOOKUP('Combined table'!B81,products!$A$1:$G$49,7,FALSE)</f>
        <v>0.71699999999999997</v>
      </c>
      <c r="N81" t="str">
        <f>TEXT(A81,"mmm yyyy")</f>
        <v>Mar 2022</v>
      </c>
      <c r="O81">
        <f t="shared" si="1"/>
        <v>47.8</v>
      </c>
    </row>
    <row r="82" spans="1:15" x14ac:dyDescent="0.25">
      <c r="A82" s="3">
        <v>43572</v>
      </c>
      <c r="B82" t="s">
        <v>6180</v>
      </c>
      <c r="C82" s="2">
        <v>5</v>
      </c>
      <c r="D82" s="2" t="s">
        <v>944</v>
      </c>
      <c r="E82" s="2" t="s">
        <v>149</v>
      </c>
      <c r="F82" s="2" t="s">
        <v>19</v>
      </c>
      <c r="G82" t="s">
        <v>6190</v>
      </c>
      <c r="H82" t="str">
        <f>VLOOKUP('Combined table'!B82,products!$A$1:$G$49,2,FALSE)</f>
        <v>Ara</v>
      </c>
      <c r="I82" t="str">
        <f>VLOOKUP('Combined table'!B82,products!$A$1:$G$49,3,FALSE)</f>
        <v>L</v>
      </c>
      <c r="J82">
        <f>VLOOKUP('Combined table'!B82,products!$A$1:$G$49,4,FALSE)</f>
        <v>0.5</v>
      </c>
      <c r="K82">
        <f>VLOOKUP('Combined table'!B82,products!$A$1:$G$49,5,FALSE)</f>
        <v>7.77</v>
      </c>
      <c r="L82">
        <f>VLOOKUP('Combined table'!B82,products!$A$1:$G$49,6,FALSE)</f>
        <v>1.5539999999999998</v>
      </c>
      <c r="M82">
        <f>VLOOKUP('Combined table'!B82,products!$A$1:$G$49,7,FALSE)</f>
        <v>0.69929999999999992</v>
      </c>
      <c r="N82" t="str">
        <f>TEXT(A82,"mmm yyyy")</f>
        <v>Apr 2019</v>
      </c>
      <c r="O82">
        <f t="shared" si="1"/>
        <v>38.849999999999994</v>
      </c>
    </row>
    <row r="83" spans="1:15" x14ac:dyDescent="0.25">
      <c r="A83" s="3">
        <v>43763</v>
      </c>
      <c r="B83" t="s">
        <v>6164</v>
      </c>
      <c r="C83" s="2">
        <v>3</v>
      </c>
      <c r="D83" s="2" t="s">
        <v>950</v>
      </c>
      <c r="E83" s="2" t="s">
        <v>78</v>
      </c>
      <c r="F83" s="2" t="s">
        <v>19</v>
      </c>
      <c r="G83" t="s">
        <v>6190</v>
      </c>
      <c r="H83" t="str">
        <f>VLOOKUP('Combined table'!B83,products!$A$1:$G$49,2,FALSE)</f>
        <v>Lib</v>
      </c>
      <c r="I83" t="str">
        <f>VLOOKUP('Combined table'!B83,products!$A$1:$G$49,3,FALSE)</f>
        <v>L</v>
      </c>
      <c r="J83">
        <f>VLOOKUP('Combined table'!B83,products!$A$1:$G$49,4,FALSE)</f>
        <v>2.5</v>
      </c>
      <c r="K83">
        <f>VLOOKUP('Combined table'!B83,products!$A$1:$G$49,5,FALSE)</f>
        <v>36.454999999999998</v>
      </c>
      <c r="L83">
        <f>VLOOKUP('Combined table'!B83,products!$A$1:$G$49,6,FALSE)</f>
        <v>1.4581999999999999</v>
      </c>
      <c r="M83">
        <f>VLOOKUP('Combined table'!B83,products!$A$1:$G$49,7,FALSE)</f>
        <v>4.7391499999999995</v>
      </c>
      <c r="N83" t="str">
        <f>TEXT(A83,"mmm yyyy")</f>
        <v>Oct 2019</v>
      </c>
      <c r="O83">
        <f t="shared" si="1"/>
        <v>109.36499999999999</v>
      </c>
    </row>
    <row r="84" spans="1:15" x14ac:dyDescent="0.25">
      <c r="A84" s="3">
        <v>43721</v>
      </c>
      <c r="B84" t="s">
        <v>6181</v>
      </c>
      <c r="C84" s="2">
        <v>3</v>
      </c>
      <c r="D84" s="2" t="s">
        <v>956</v>
      </c>
      <c r="E84" s="2" t="s">
        <v>456</v>
      </c>
      <c r="F84" s="2" t="s">
        <v>318</v>
      </c>
      <c r="G84" t="s">
        <v>6190</v>
      </c>
      <c r="H84" t="str">
        <f>VLOOKUP('Combined table'!B84,products!$A$1:$G$49,2,FALSE)</f>
        <v>Lib</v>
      </c>
      <c r="I84" t="str">
        <f>VLOOKUP('Combined table'!B84,products!$A$1:$G$49,3,FALSE)</f>
        <v>M</v>
      </c>
      <c r="J84">
        <f>VLOOKUP('Combined table'!B84,products!$A$1:$G$49,4,FALSE)</f>
        <v>2.5</v>
      </c>
      <c r="K84">
        <f>VLOOKUP('Combined table'!B84,products!$A$1:$G$49,5,FALSE)</f>
        <v>33.464999999999996</v>
      </c>
      <c r="L84">
        <f>VLOOKUP('Combined table'!B84,products!$A$1:$G$49,6,FALSE)</f>
        <v>1.3385999999999998</v>
      </c>
      <c r="M84">
        <f>VLOOKUP('Combined table'!B84,products!$A$1:$G$49,7,FALSE)</f>
        <v>4.3504499999999995</v>
      </c>
      <c r="N84" t="str">
        <f>TEXT(A84,"mmm yyyy")</f>
        <v>Sep 2019</v>
      </c>
      <c r="O84">
        <f t="shared" si="1"/>
        <v>100.39499999999998</v>
      </c>
    </row>
    <row r="85" spans="1:15" x14ac:dyDescent="0.25">
      <c r="A85" s="3">
        <v>43933</v>
      </c>
      <c r="B85" t="s">
        <v>6149</v>
      </c>
      <c r="C85" s="2">
        <v>4</v>
      </c>
      <c r="D85" s="2" t="s">
        <v>962</v>
      </c>
      <c r="E85" s="2" t="s">
        <v>120</v>
      </c>
      <c r="F85" s="2" t="s">
        <v>19</v>
      </c>
      <c r="G85" t="s">
        <v>6190</v>
      </c>
      <c r="H85" t="str">
        <f>VLOOKUP('Combined table'!B85,products!$A$1:$G$49,2,FALSE)</f>
        <v>Rob</v>
      </c>
      <c r="I85" t="str">
        <f>VLOOKUP('Combined table'!B85,products!$A$1:$G$49,3,FALSE)</f>
        <v>D</v>
      </c>
      <c r="J85">
        <f>VLOOKUP('Combined table'!B85,products!$A$1:$G$49,4,FALSE)</f>
        <v>2.5</v>
      </c>
      <c r="K85">
        <f>VLOOKUP('Combined table'!B85,products!$A$1:$G$49,5,FALSE)</f>
        <v>20.584999999999997</v>
      </c>
      <c r="L85">
        <f>VLOOKUP('Combined table'!B85,products!$A$1:$G$49,6,FALSE)</f>
        <v>0.82339999999999991</v>
      </c>
      <c r="M85">
        <f>VLOOKUP('Combined table'!B85,products!$A$1:$G$49,7,FALSE)</f>
        <v>1.2350999999999999</v>
      </c>
      <c r="N85" t="str">
        <f>TEXT(A85,"mmm yyyy")</f>
        <v>Apr 2020</v>
      </c>
      <c r="O85">
        <f t="shared" si="1"/>
        <v>82.339999999999989</v>
      </c>
    </row>
    <row r="86" spans="1:15" x14ac:dyDescent="0.25">
      <c r="A86" s="3">
        <v>43783</v>
      </c>
      <c r="B86" t="s">
        <v>6161</v>
      </c>
      <c r="C86" s="2">
        <v>1</v>
      </c>
      <c r="D86" s="2" t="s">
        <v>967</v>
      </c>
      <c r="E86" s="2" t="s">
        <v>30</v>
      </c>
      <c r="F86" s="2" t="s">
        <v>19</v>
      </c>
      <c r="G86" t="s">
        <v>6191</v>
      </c>
      <c r="H86" t="str">
        <f>VLOOKUP('Combined table'!B86,products!$A$1:$G$49,2,FALSE)</f>
        <v>Lib</v>
      </c>
      <c r="I86" t="str">
        <f>VLOOKUP('Combined table'!B86,products!$A$1:$G$49,3,FALSE)</f>
        <v>L</v>
      </c>
      <c r="J86">
        <f>VLOOKUP('Combined table'!B86,products!$A$1:$G$49,4,FALSE)</f>
        <v>0.5</v>
      </c>
      <c r="K86">
        <f>VLOOKUP('Combined table'!B86,products!$A$1:$G$49,5,FALSE)</f>
        <v>9.51</v>
      </c>
      <c r="L86">
        <f>VLOOKUP('Combined table'!B86,products!$A$1:$G$49,6,FALSE)</f>
        <v>1.9019999999999999</v>
      </c>
      <c r="M86">
        <f>VLOOKUP('Combined table'!B86,products!$A$1:$G$49,7,FALSE)</f>
        <v>1.2363</v>
      </c>
      <c r="N86" t="str">
        <f>TEXT(A86,"mmm yyyy")</f>
        <v>Nov 2019</v>
      </c>
      <c r="O86">
        <f t="shared" si="1"/>
        <v>9.51</v>
      </c>
    </row>
    <row r="87" spans="1:15" x14ac:dyDescent="0.25">
      <c r="A87" s="3">
        <v>43664</v>
      </c>
      <c r="B87" t="s">
        <v>6182</v>
      </c>
      <c r="C87" s="2">
        <v>3</v>
      </c>
      <c r="D87" s="2" t="s">
        <v>973</v>
      </c>
      <c r="E87" s="2" t="s">
        <v>106</v>
      </c>
      <c r="F87" s="2" t="s">
        <v>19</v>
      </c>
      <c r="G87" t="s">
        <v>6191</v>
      </c>
      <c r="H87" t="str">
        <f>VLOOKUP('Combined table'!B87,products!$A$1:$G$49,2,FALSE)</f>
        <v>Ara</v>
      </c>
      <c r="I87" t="str">
        <f>VLOOKUP('Combined table'!B87,products!$A$1:$G$49,3,FALSE)</f>
        <v>L</v>
      </c>
      <c r="J87">
        <f>VLOOKUP('Combined table'!B87,products!$A$1:$G$49,4,FALSE)</f>
        <v>2.5</v>
      </c>
      <c r="K87">
        <f>VLOOKUP('Combined table'!B87,products!$A$1:$G$49,5,FALSE)</f>
        <v>29.784999999999997</v>
      </c>
      <c r="L87">
        <f>VLOOKUP('Combined table'!B87,products!$A$1:$G$49,6,FALSE)</f>
        <v>1.1913999999999998</v>
      </c>
      <c r="M87">
        <f>VLOOKUP('Combined table'!B87,products!$A$1:$G$49,7,FALSE)</f>
        <v>2.6806499999999995</v>
      </c>
      <c r="N87" t="str">
        <f>TEXT(A87,"mmm yyyy")</f>
        <v>Jul 2019</v>
      </c>
      <c r="O87">
        <f t="shared" si="1"/>
        <v>89.35499999999999</v>
      </c>
    </row>
    <row r="88" spans="1:15" x14ac:dyDescent="0.25">
      <c r="A88" s="3">
        <v>43664</v>
      </c>
      <c r="B88" t="s">
        <v>6154</v>
      </c>
      <c r="C88" s="2">
        <v>4</v>
      </c>
      <c r="D88" s="2" t="s">
        <v>977</v>
      </c>
      <c r="E88" s="2" t="s">
        <v>77</v>
      </c>
      <c r="F88" s="2" t="s">
        <v>19</v>
      </c>
      <c r="G88" t="s">
        <v>6190</v>
      </c>
      <c r="H88" t="str">
        <f>VLOOKUP('Combined table'!B88,products!$A$1:$G$49,2,FALSE)</f>
        <v>Ara</v>
      </c>
      <c r="I88" t="str">
        <f>VLOOKUP('Combined table'!B88,products!$A$1:$G$49,3,FALSE)</f>
        <v>D</v>
      </c>
      <c r="J88">
        <f>VLOOKUP('Combined table'!B88,products!$A$1:$G$49,4,FALSE)</f>
        <v>0.2</v>
      </c>
      <c r="K88">
        <f>VLOOKUP('Combined table'!B88,products!$A$1:$G$49,5,FALSE)</f>
        <v>2.9849999999999999</v>
      </c>
      <c r="L88">
        <f>VLOOKUP('Combined table'!B88,products!$A$1:$G$49,6,FALSE)</f>
        <v>1.4924999999999999</v>
      </c>
      <c r="M88">
        <f>VLOOKUP('Combined table'!B88,products!$A$1:$G$49,7,FALSE)</f>
        <v>0.26865</v>
      </c>
      <c r="N88" t="str">
        <f>TEXT(A88,"mmm yyyy")</f>
        <v>Jul 2019</v>
      </c>
      <c r="O88">
        <f t="shared" si="1"/>
        <v>11.94</v>
      </c>
    </row>
    <row r="89" spans="1:15" x14ac:dyDescent="0.25">
      <c r="A89" s="3">
        <v>44289</v>
      </c>
      <c r="B89" t="s">
        <v>6155</v>
      </c>
      <c r="C89" s="2">
        <v>3</v>
      </c>
      <c r="D89" s="2" t="s">
        <v>982</v>
      </c>
      <c r="E89" s="2" t="s">
        <v>289</v>
      </c>
      <c r="F89" s="2" t="s">
        <v>19</v>
      </c>
      <c r="G89" t="s">
        <v>6191</v>
      </c>
      <c r="H89" t="str">
        <f>VLOOKUP('Combined table'!B89,products!$A$1:$G$49,2,FALSE)</f>
        <v>Ara</v>
      </c>
      <c r="I89" t="str">
        <f>VLOOKUP('Combined table'!B89,products!$A$1:$G$49,3,FALSE)</f>
        <v>M</v>
      </c>
      <c r="J89">
        <f>VLOOKUP('Combined table'!B89,products!$A$1:$G$49,4,FALSE)</f>
        <v>1</v>
      </c>
      <c r="K89">
        <f>VLOOKUP('Combined table'!B89,products!$A$1:$G$49,5,FALSE)</f>
        <v>11.25</v>
      </c>
      <c r="L89">
        <f>VLOOKUP('Combined table'!B89,products!$A$1:$G$49,6,FALSE)</f>
        <v>1.125</v>
      </c>
      <c r="M89">
        <f>VLOOKUP('Combined table'!B89,products!$A$1:$G$49,7,FALSE)</f>
        <v>1.0125</v>
      </c>
      <c r="N89" t="str">
        <f>TEXT(A89,"mmm yyyy")</f>
        <v>Apr 2021</v>
      </c>
      <c r="O89">
        <f t="shared" si="1"/>
        <v>33.75</v>
      </c>
    </row>
    <row r="90" spans="1:15" x14ac:dyDescent="0.25">
      <c r="A90" s="3">
        <v>44284</v>
      </c>
      <c r="B90" t="s">
        <v>6179</v>
      </c>
      <c r="C90" s="2">
        <v>3</v>
      </c>
      <c r="D90" s="2" t="s">
        <v>987</v>
      </c>
      <c r="E90" s="2" t="s">
        <v>122</v>
      </c>
      <c r="F90" s="2" t="s">
        <v>19</v>
      </c>
      <c r="G90" t="s">
        <v>6191</v>
      </c>
      <c r="H90" t="str">
        <f>VLOOKUP('Combined table'!B90,products!$A$1:$G$49,2,FALSE)</f>
        <v>Rob</v>
      </c>
      <c r="I90" t="str">
        <f>VLOOKUP('Combined table'!B90,products!$A$1:$G$49,3,FALSE)</f>
        <v>L</v>
      </c>
      <c r="J90">
        <f>VLOOKUP('Combined table'!B90,products!$A$1:$G$49,4,FALSE)</f>
        <v>1</v>
      </c>
      <c r="K90">
        <f>VLOOKUP('Combined table'!B90,products!$A$1:$G$49,5,FALSE)</f>
        <v>11.95</v>
      </c>
      <c r="L90">
        <f>VLOOKUP('Combined table'!B90,products!$A$1:$G$49,6,FALSE)</f>
        <v>1.1949999999999998</v>
      </c>
      <c r="M90">
        <f>VLOOKUP('Combined table'!B90,products!$A$1:$G$49,7,FALSE)</f>
        <v>0.71699999999999997</v>
      </c>
      <c r="N90" t="str">
        <f>TEXT(A90,"mmm yyyy")</f>
        <v>Mar 2021</v>
      </c>
      <c r="O90">
        <f t="shared" si="1"/>
        <v>35.849999999999994</v>
      </c>
    </row>
    <row r="91" spans="1:15" x14ac:dyDescent="0.25">
      <c r="A91" s="3">
        <v>44545</v>
      </c>
      <c r="B91" t="s">
        <v>6140</v>
      </c>
      <c r="C91" s="2">
        <v>6</v>
      </c>
      <c r="D91" s="2" t="s">
        <v>992</v>
      </c>
      <c r="E91" s="2" t="s">
        <v>116</v>
      </c>
      <c r="F91" s="2" t="s">
        <v>19</v>
      </c>
      <c r="G91" t="s">
        <v>6191</v>
      </c>
      <c r="H91" t="str">
        <f>VLOOKUP('Combined table'!B91,products!$A$1:$G$49,2,FALSE)</f>
        <v>Ara</v>
      </c>
      <c r="I91" t="str">
        <f>VLOOKUP('Combined table'!B91,products!$A$1:$G$49,3,FALSE)</f>
        <v>L</v>
      </c>
      <c r="J91">
        <f>VLOOKUP('Combined table'!B91,products!$A$1:$G$49,4,FALSE)</f>
        <v>1</v>
      </c>
      <c r="K91">
        <f>VLOOKUP('Combined table'!B91,products!$A$1:$G$49,5,FALSE)</f>
        <v>12.95</v>
      </c>
      <c r="L91">
        <f>VLOOKUP('Combined table'!B91,products!$A$1:$G$49,6,FALSE)</f>
        <v>1.2949999999999999</v>
      </c>
      <c r="M91">
        <f>VLOOKUP('Combined table'!B91,products!$A$1:$G$49,7,FALSE)</f>
        <v>1.1655</v>
      </c>
      <c r="N91" t="str">
        <f>TEXT(A91,"mmm yyyy")</f>
        <v>Dec 2021</v>
      </c>
      <c r="O91">
        <f t="shared" si="1"/>
        <v>77.699999999999989</v>
      </c>
    </row>
    <row r="92" spans="1:15" x14ac:dyDescent="0.25">
      <c r="A92" s="3">
        <v>43971</v>
      </c>
      <c r="B92" t="s">
        <v>6140</v>
      </c>
      <c r="C92" s="2">
        <v>4</v>
      </c>
      <c r="D92" s="2" t="s">
        <v>998</v>
      </c>
      <c r="E92" s="2" t="s">
        <v>329</v>
      </c>
      <c r="F92" s="2" t="s">
        <v>318</v>
      </c>
      <c r="G92" t="s">
        <v>6190</v>
      </c>
      <c r="H92" t="str">
        <f>VLOOKUP('Combined table'!B92,products!$A$1:$G$49,2,FALSE)</f>
        <v>Ara</v>
      </c>
      <c r="I92" t="str">
        <f>VLOOKUP('Combined table'!B92,products!$A$1:$G$49,3,FALSE)</f>
        <v>L</v>
      </c>
      <c r="J92">
        <f>VLOOKUP('Combined table'!B92,products!$A$1:$G$49,4,FALSE)</f>
        <v>1</v>
      </c>
      <c r="K92">
        <f>VLOOKUP('Combined table'!B92,products!$A$1:$G$49,5,FALSE)</f>
        <v>12.95</v>
      </c>
      <c r="L92">
        <f>VLOOKUP('Combined table'!B92,products!$A$1:$G$49,6,FALSE)</f>
        <v>1.2949999999999999</v>
      </c>
      <c r="M92">
        <f>VLOOKUP('Combined table'!B92,products!$A$1:$G$49,7,FALSE)</f>
        <v>1.1655</v>
      </c>
      <c r="N92" t="str">
        <f>TEXT(A92,"mmm yyyy")</f>
        <v>May 2020</v>
      </c>
      <c r="O92">
        <f t="shared" si="1"/>
        <v>51.8</v>
      </c>
    </row>
    <row r="93" spans="1:15" x14ac:dyDescent="0.25">
      <c r="A93" s="3">
        <v>44137</v>
      </c>
      <c r="B93" t="s">
        <v>6175</v>
      </c>
      <c r="C93" s="2">
        <v>4</v>
      </c>
      <c r="D93" s="2" t="s">
        <v>1003</v>
      </c>
      <c r="E93" s="2" t="s">
        <v>153</v>
      </c>
      <c r="F93" s="2" t="s">
        <v>19</v>
      </c>
      <c r="G93" t="s">
        <v>6191</v>
      </c>
      <c r="H93" t="str">
        <f>VLOOKUP('Combined table'!B93,products!$A$1:$G$49,2,FALSE)</f>
        <v>Ara</v>
      </c>
      <c r="I93" t="str">
        <f>VLOOKUP('Combined table'!B93,products!$A$1:$G$49,3,FALSE)</f>
        <v>M</v>
      </c>
      <c r="J93">
        <f>VLOOKUP('Combined table'!B93,products!$A$1:$G$49,4,FALSE)</f>
        <v>2.5</v>
      </c>
      <c r="K93">
        <f>VLOOKUP('Combined table'!B93,products!$A$1:$G$49,5,FALSE)</f>
        <v>25.874999999999996</v>
      </c>
      <c r="L93">
        <f>VLOOKUP('Combined table'!B93,products!$A$1:$G$49,6,FALSE)</f>
        <v>1.0349999999999999</v>
      </c>
      <c r="M93">
        <f>VLOOKUP('Combined table'!B93,products!$A$1:$G$49,7,FALSE)</f>
        <v>2.3287499999999994</v>
      </c>
      <c r="N93" t="str">
        <f>TEXT(A93,"mmm yyyy")</f>
        <v>Nov 2020</v>
      </c>
      <c r="O93">
        <f t="shared" si="1"/>
        <v>103.49999999999999</v>
      </c>
    </row>
    <row r="94" spans="1:15" x14ac:dyDescent="0.25">
      <c r="A94" s="3">
        <v>44037</v>
      </c>
      <c r="B94" t="s">
        <v>6171</v>
      </c>
      <c r="C94" s="2">
        <v>3</v>
      </c>
      <c r="D94" s="2" t="s">
        <v>1009</v>
      </c>
      <c r="E94" s="2" t="s">
        <v>123</v>
      </c>
      <c r="F94" s="2" t="s">
        <v>19</v>
      </c>
      <c r="G94" t="s">
        <v>6190</v>
      </c>
      <c r="H94" t="str">
        <f>VLOOKUP('Combined table'!B94,products!$A$1:$G$49,2,FALSE)</f>
        <v>Exc</v>
      </c>
      <c r="I94" t="str">
        <f>VLOOKUP('Combined table'!B94,products!$A$1:$G$49,3,FALSE)</f>
        <v>L</v>
      </c>
      <c r="J94">
        <f>VLOOKUP('Combined table'!B94,products!$A$1:$G$49,4,FALSE)</f>
        <v>1</v>
      </c>
      <c r="K94">
        <f>VLOOKUP('Combined table'!B94,products!$A$1:$G$49,5,FALSE)</f>
        <v>14.85</v>
      </c>
      <c r="L94">
        <f>VLOOKUP('Combined table'!B94,products!$A$1:$G$49,6,FALSE)</f>
        <v>1.4849999999999999</v>
      </c>
      <c r="M94">
        <f>VLOOKUP('Combined table'!B94,products!$A$1:$G$49,7,FALSE)</f>
        <v>1.6335</v>
      </c>
      <c r="N94" t="str">
        <f>TEXT(A94,"mmm yyyy")</f>
        <v>Jul 2020</v>
      </c>
      <c r="O94">
        <f t="shared" si="1"/>
        <v>44.55</v>
      </c>
    </row>
    <row r="95" spans="1:15" x14ac:dyDescent="0.25">
      <c r="A95" s="3">
        <v>43538</v>
      </c>
      <c r="B95" t="s">
        <v>6176</v>
      </c>
      <c r="C95" s="2">
        <v>4</v>
      </c>
      <c r="D95" s="2" t="s">
        <v>1014</v>
      </c>
      <c r="E95" s="2" t="s">
        <v>113</v>
      </c>
      <c r="F95" s="2" t="s">
        <v>28</v>
      </c>
      <c r="G95" t="s">
        <v>6190</v>
      </c>
      <c r="H95" t="str">
        <f>VLOOKUP('Combined table'!B95,products!$A$1:$G$49,2,FALSE)</f>
        <v>Exc</v>
      </c>
      <c r="I95" t="str">
        <f>VLOOKUP('Combined table'!B95,products!$A$1:$G$49,3,FALSE)</f>
        <v>L</v>
      </c>
      <c r="J95">
        <f>VLOOKUP('Combined table'!B95,products!$A$1:$G$49,4,FALSE)</f>
        <v>0.5</v>
      </c>
      <c r="K95">
        <f>VLOOKUP('Combined table'!B95,products!$A$1:$G$49,5,FALSE)</f>
        <v>8.91</v>
      </c>
      <c r="L95">
        <f>VLOOKUP('Combined table'!B95,products!$A$1:$G$49,6,FALSE)</f>
        <v>1.782</v>
      </c>
      <c r="M95">
        <f>VLOOKUP('Combined table'!B95,products!$A$1:$G$49,7,FALSE)</f>
        <v>0.98009999999999997</v>
      </c>
      <c r="N95" t="str">
        <f>TEXT(A95,"mmm yyyy")</f>
        <v>Mar 2019</v>
      </c>
      <c r="O95">
        <f t="shared" si="1"/>
        <v>35.64</v>
      </c>
    </row>
    <row r="96" spans="1:15" x14ac:dyDescent="0.25">
      <c r="A96" s="3">
        <v>44014</v>
      </c>
      <c r="B96" t="s">
        <v>6154</v>
      </c>
      <c r="C96" s="2">
        <v>6</v>
      </c>
      <c r="D96" s="2" t="s">
        <v>1020</v>
      </c>
      <c r="E96" s="2" t="s">
        <v>387</v>
      </c>
      <c r="F96" s="2" t="s">
        <v>318</v>
      </c>
      <c r="G96" t="s">
        <v>6190</v>
      </c>
      <c r="H96" t="str">
        <f>VLOOKUP('Combined table'!B96,products!$A$1:$G$49,2,FALSE)</f>
        <v>Ara</v>
      </c>
      <c r="I96" t="str">
        <f>VLOOKUP('Combined table'!B96,products!$A$1:$G$49,3,FALSE)</f>
        <v>D</v>
      </c>
      <c r="J96">
        <f>VLOOKUP('Combined table'!B96,products!$A$1:$G$49,4,FALSE)</f>
        <v>0.2</v>
      </c>
      <c r="K96">
        <f>VLOOKUP('Combined table'!B96,products!$A$1:$G$49,5,FALSE)</f>
        <v>2.9849999999999999</v>
      </c>
      <c r="L96">
        <f>VLOOKUP('Combined table'!B96,products!$A$1:$G$49,6,FALSE)</f>
        <v>1.4924999999999999</v>
      </c>
      <c r="M96">
        <f>VLOOKUP('Combined table'!B96,products!$A$1:$G$49,7,FALSE)</f>
        <v>0.26865</v>
      </c>
      <c r="N96" t="str">
        <f>TEXT(A96,"mmm yyyy")</f>
        <v>Jul 2020</v>
      </c>
      <c r="O96">
        <f t="shared" si="1"/>
        <v>17.91</v>
      </c>
    </row>
    <row r="97" spans="1:15" x14ac:dyDescent="0.25">
      <c r="A97" s="3">
        <v>43816</v>
      </c>
      <c r="B97" t="s">
        <v>6175</v>
      </c>
      <c r="C97" s="2">
        <v>6</v>
      </c>
      <c r="D97" s="2" t="s">
        <v>1024</v>
      </c>
      <c r="E97" s="2" t="s">
        <v>30</v>
      </c>
      <c r="F97" s="2" t="s">
        <v>19</v>
      </c>
      <c r="G97" t="s">
        <v>6191</v>
      </c>
      <c r="H97" t="str">
        <f>VLOOKUP('Combined table'!B97,products!$A$1:$G$49,2,FALSE)</f>
        <v>Ara</v>
      </c>
      <c r="I97" t="str">
        <f>VLOOKUP('Combined table'!B97,products!$A$1:$G$49,3,FALSE)</f>
        <v>M</v>
      </c>
      <c r="J97">
        <f>VLOOKUP('Combined table'!B97,products!$A$1:$G$49,4,FALSE)</f>
        <v>2.5</v>
      </c>
      <c r="K97">
        <f>VLOOKUP('Combined table'!B97,products!$A$1:$G$49,5,FALSE)</f>
        <v>25.874999999999996</v>
      </c>
      <c r="L97">
        <f>VLOOKUP('Combined table'!B97,products!$A$1:$G$49,6,FALSE)</f>
        <v>1.0349999999999999</v>
      </c>
      <c r="M97">
        <f>VLOOKUP('Combined table'!B97,products!$A$1:$G$49,7,FALSE)</f>
        <v>2.3287499999999994</v>
      </c>
      <c r="N97" t="str">
        <f>TEXT(A97,"mmm yyyy")</f>
        <v>Dec 2019</v>
      </c>
      <c r="O97">
        <f t="shared" si="1"/>
        <v>155.24999999999997</v>
      </c>
    </row>
    <row r="98" spans="1:15" x14ac:dyDescent="0.25">
      <c r="A98" s="3">
        <v>44171</v>
      </c>
      <c r="B98" t="s">
        <v>6154</v>
      </c>
      <c r="C98" s="2">
        <v>2</v>
      </c>
      <c r="D98" s="2" t="s">
        <v>1029</v>
      </c>
      <c r="E98" s="2" t="s">
        <v>104</v>
      </c>
      <c r="F98" s="2" t="s">
        <v>19</v>
      </c>
      <c r="G98" t="s">
        <v>6191</v>
      </c>
      <c r="H98" t="str">
        <f>VLOOKUP('Combined table'!B98,products!$A$1:$G$49,2,FALSE)</f>
        <v>Ara</v>
      </c>
      <c r="I98" t="str">
        <f>VLOOKUP('Combined table'!B98,products!$A$1:$G$49,3,FALSE)</f>
        <v>D</v>
      </c>
      <c r="J98">
        <f>VLOOKUP('Combined table'!B98,products!$A$1:$G$49,4,FALSE)</f>
        <v>0.2</v>
      </c>
      <c r="K98">
        <f>VLOOKUP('Combined table'!B98,products!$A$1:$G$49,5,FALSE)</f>
        <v>2.9849999999999999</v>
      </c>
      <c r="L98">
        <f>VLOOKUP('Combined table'!B98,products!$A$1:$G$49,6,FALSE)</f>
        <v>1.4924999999999999</v>
      </c>
      <c r="M98">
        <f>VLOOKUP('Combined table'!B98,products!$A$1:$G$49,7,FALSE)</f>
        <v>0.26865</v>
      </c>
      <c r="N98" t="str">
        <f>TEXT(A98,"mmm yyyy")</f>
        <v>Dec 2020</v>
      </c>
      <c r="O98">
        <f t="shared" si="1"/>
        <v>5.97</v>
      </c>
    </row>
    <row r="99" spans="1:15" x14ac:dyDescent="0.25">
      <c r="A99" s="3">
        <v>44259</v>
      </c>
      <c r="B99" t="s">
        <v>6157</v>
      </c>
      <c r="C99" s="2">
        <v>2</v>
      </c>
      <c r="D99" s="2" t="s">
        <v>1034</v>
      </c>
      <c r="E99" s="2" t="s">
        <v>30</v>
      </c>
      <c r="F99" s="2" t="s">
        <v>19</v>
      </c>
      <c r="G99" t="s">
        <v>6191</v>
      </c>
      <c r="H99" t="str">
        <f>VLOOKUP('Combined table'!B99,products!$A$1:$G$49,2,FALSE)</f>
        <v>Ara</v>
      </c>
      <c r="I99" t="str">
        <f>VLOOKUP('Combined table'!B99,products!$A$1:$G$49,3,FALSE)</f>
        <v>M</v>
      </c>
      <c r="J99">
        <f>VLOOKUP('Combined table'!B99,products!$A$1:$G$49,4,FALSE)</f>
        <v>0.5</v>
      </c>
      <c r="K99">
        <f>VLOOKUP('Combined table'!B99,products!$A$1:$G$49,5,FALSE)</f>
        <v>6.75</v>
      </c>
      <c r="L99">
        <f>VLOOKUP('Combined table'!B99,products!$A$1:$G$49,6,FALSE)</f>
        <v>1.35</v>
      </c>
      <c r="M99">
        <f>VLOOKUP('Combined table'!B99,products!$A$1:$G$49,7,FALSE)</f>
        <v>0.60749999999999993</v>
      </c>
      <c r="N99" t="str">
        <f>TEXT(A99,"mmm yyyy")</f>
        <v>Mar 2021</v>
      </c>
      <c r="O99">
        <f t="shared" si="1"/>
        <v>13.5</v>
      </c>
    </row>
    <row r="100" spans="1:15" x14ac:dyDescent="0.25">
      <c r="A100" s="3">
        <v>44394</v>
      </c>
      <c r="B100" t="s">
        <v>6154</v>
      </c>
      <c r="C100" s="2">
        <v>1</v>
      </c>
      <c r="D100" s="2" t="s">
        <v>1040</v>
      </c>
      <c r="E100" s="2" t="s">
        <v>384</v>
      </c>
      <c r="F100" s="2" t="s">
        <v>318</v>
      </c>
      <c r="G100" t="s">
        <v>6191</v>
      </c>
      <c r="H100" t="str">
        <f>VLOOKUP('Combined table'!B100,products!$A$1:$G$49,2,FALSE)</f>
        <v>Ara</v>
      </c>
      <c r="I100" t="str">
        <f>VLOOKUP('Combined table'!B100,products!$A$1:$G$49,3,FALSE)</f>
        <v>D</v>
      </c>
      <c r="J100">
        <f>VLOOKUP('Combined table'!B100,products!$A$1:$G$49,4,FALSE)</f>
        <v>0.2</v>
      </c>
      <c r="K100">
        <f>VLOOKUP('Combined table'!B100,products!$A$1:$G$49,5,FALSE)</f>
        <v>2.9849999999999999</v>
      </c>
      <c r="L100">
        <f>VLOOKUP('Combined table'!B100,products!$A$1:$G$49,6,FALSE)</f>
        <v>1.4924999999999999</v>
      </c>
      <c r="M100">
        <f>VLOOKUP('Combined table'!B100,products!$A$1:$G$49,7,FALSE)</f>
        <v>0.26865</v>
      </c>
      <c r="N100" t="str">
        <f>TEXT(A100,"mmm yyyy")</f>
        <v>Jul 2021</v>
      </c>
      <c r="O100">
        <f t="shared" si="1"/>
        <v>2.9849999999999999</v>
      </c>
    </row>
    <row r="101" spans="1:15" x14ac:dyDescent="0.25">
      <c r="A101" s="3">
        <v>44139</v>
      </c>
      <c r="B101" t="s">
        <v>6159</v>
      </c>
      <c r="C101" s="2">
        <v>3</v>
      </c>
      <c r="D101" s="2" t="s">
        <v>1045</v>
      </c>
      <c r="E101" s="2" t="s">
        <v>39</v>
      </c>
      <c r="F101" s="2" t="s">
        <v>19</v>
      </c>
      <c r="G101" t="s">
        <v>6190</v>
      </c>
      <c r="H101" t="str">
        <f>VLOOKUP('Combined table'!B101,products!$A$1:$G$49,2,FALSE)</f>
        <v>Lib</v>
      </c>
      <c r="I101" t="str">
        <f>VLOOKUP('Combined table'!B101,products!$A$1:$G$49,3,FALSE)</f>
        <v>M</v>
      </c>
      <c r="J101">
        <f>VLOOKUP('Combined table'!B101,products!$A$1:$G$49,4,FALSE)</f>
        <v>0.2</v>
      </c>
      <c r="K101">
        <f>VLOOKUP('Combined table'!B101,products!$A$1:$G$49,5,FALSE)</f>
        <v>4.3650000000000002</v>
      </c>
      <c r="L101">
        <f>VLOOKUP('Combined table'!B101,products!$A$1:$G$49,6,FALSE)</f>
        <v>2.1825000000000001</v>
      </c>
      <c r="M101">
        <f>VLOOKUP('Combined table'!B101,products!$A$1:$G$49,7,FALSE)</f>
        <v>0.56745000000000001</v>
      </c>
      <c r="N101" t="str">
        <f>TEXT(A101,"mmm yyyy")</f>
        <v>Nov 2020</v>
      </c>
      <c r="O101">
        <f t="shared" si="1"/>
        <v>13.095000000000001</v>
      </c>
    </row>
    <row r="102" spans="1:15" x14ac:dyDescent="0.25">
      <c r="A102" s="3">
        <v>44291</v>
      </c>
      <c r="B102" t="s">
        <v>6167</v>
      </c>
      <c r="C102" s="2">
        <v>2</v>
      </c>
      <c r="D102" s="2" t="s">
        <v>1050</v>
      </c>
      <c r="E102" s="2" t="s">
        <v>291</v>
      </c>
      <c r="F102" s="2" t="s">
        <v>19</v>
      </c>
      <c r="G102" t="s">
        <v>6190</v>
      </c>
      <c r="H102" t="str">
        <f>VLOOKUP('Combined table'!B102,products!$A$1:$G$49,2,FALSE)</f>
        <v>Ara</v>
      </c>
      <c r="I102" t="str">
        <f>VLOOKUP('Combined table'!B102,products!$A$1:$G$49,3,FALSE)</f>
        <v>L</v>
      </c>
      <c r="J102">
        <f>VLOOKUP('Combined table'!B102,products!$A$1:$G$49,4,FALSE)</f>
        <v>0.2</v>
      </c>
      <c r="K102">
        <f>VLOOKUP('Combined table'!B102,products!$A$1:$G$49,5,FALSE)</f>
        <v>3.8849999999999998</v>
      </c>
      <c r="L102">
        <f>VLOOKUP('Combined table'!B102,products!$A$1:$G$49,6,FALSE)</f>
        <v>1.9424999999999999</v>
      </c>
      <c r="M102">
        <f>VLOOKUP('Combined table'!B102,products!$A$1:$G$49,7,FALSE)</f>
        <v>0.34964999999999996</v>
      </c>
      <c r="N102" t="str">
        <f>TEXT(A102,"mmm yyyy")</f>
        <v>Apr 2021</v>
      </c>
      <c r="O102">
        <f t="shared" si="1"/>
        <v>7.77</v>
      </c>
    </row>
    <row r="103" spans="1:15" x14ac:dyDescent="0.25">
      <c r="A103" s="3">
        <v>43891</v>
      </c>
      <c r="B103" t="s">
        <v>6165</v>
      </c>
      <c r="C103" s="2">
        <v>5</v>
      </c>
      <c r="D103" s="2" t="s">
        <v>1055</v>
      </c>
      <c r="E103" s="2" t="s">
        <v>437</v>
      </c>
      <c r="F103" s="2" t="s">
        <v>318</v>
      </c>
      <c r="G103" t="s">
        <v>6190</v>
      </c>
      <c r="H103" t="str">
        <f>VLOOKUP('Combined table'!B103,products!$A$1:$G$49,2,FALSE)</f>
        <v>Lib</v>
      </c>
      <c r="I103" t="str">
        <f>VLOOKUP('Combined table'!B103,products!$A$1:$G$49,3,FALSE)</f>
        <v>D</v>
      </c>
      <c r="J103">
        <f>VLOOKUP('Combined table'!B103,products!$A$1:$G$49,4,FALSE)</f>
        <v>2.5</v>
      </c>
      <c r="K103">
        <f>VLOOKUP('Combined table'!B103,products!$A$1:$G$49,5,FALSE)</f>
        <v>29.784999999999997</v>
      </c>
      <c r="L103">
        <f>VLOOKUP('Combined table'!B103,products!$A$1:$G$49,6,FALSE)</f>
        <v>1.1913999999999998</v>
      </c>
      <c r="M103">
        <f>VLOOKUP('Combined table'!B103,products!$A$1:$G$49,7,FALSE)</f>
        <v>3.8720499999999998</v>
      </c>
      <c r="N103" t="str">
        <f>TEXT(A103,"mmm yyyy")</f>
        <v>Mar 2020</v>
      </c>
      <c r="O103">
        <f t="shared" si="1"/>
        <v>148.92499999999998</v>
      </c>
    </row>
    <row r="104" spans="1:15" x14ac:dyDescent="0.25">
      <c r="A104" s="3">
        <v>44488</v>
      </c>
      <c r="B104" t="s">
        <v>6143</v>
      </c>
      <c r="C104" s="2">
        <v>3</v>
      </c>
      <c r="D104" s="2" t="s">
        <v>1061</v>
      </c>
      <c r="E104" s="2" t="s">
        <v>417</v>
      </c>
      <c r="F104" s="2" t="s">
        <v>318</v>
      </c>
      <c r="G104" t="s">
        <v>6190</v>
      </c>
      <c r="H104" t="str">
        <f>VLOOKUP('Combined table'!B104,products!$A$1:$G$49,2,FALSE)</f>
        <v>Lib</v>
      </c>
      <c r="I104" t="str">
        <f>VLOOKUP('Combined table'!B104,products!$A$1:$G$49,3,FALSE)</f>
        <v>D</v>
      </c>
      <c r="J104">
        <f>VLOOKUP('Combined table'!B104,products!$A$1:$G$49,4,FALSE)</f>
        <v>1</v>
      </c>
      <c r="K104">
        <f>VLOOKUP('Combined table'!B104,products!$A$1:$G$49,5,FALSE)</f>
        <v>12.95</v>
      </c>
      <c r="L104">
        <f>VLOOKUP('Combined table'!B104,products!$A$1:$G$49,6,FALSE)</f>
        <v>1.2949999999999999</v>
      </c>
      <c r="M104">
        <f>VLOOKUP('Combined table'!B104,products!$A$1:$G$49,7,FALSE)</f>
        <v>1.6835</v>
      </c>
      <c r="N104" t="str">
        <f>TEXT(A104,"mmm yyyy")</f>
        <v>Oct 2021</v>
      </c>
      <c r="O104">
        <f t="shared" si="1"/>
        <v>38.849999999999994</v>
      </c>
    </row>
    <row r="105" spans="1:15" x14ac:dyDescent="0.25">
      <c r="A105" s="3">
        <v>44750</v>
      </c>
      <c r="B105" t="s">
        <v>6174</v>
      </c>
      <c r="C105" s="2">
        <v>4</v>
      </c>
      <c r="D105" s="2" t="s">
        <v>1067</v>
      </c>
      <c r="E105" s="2" t="s">
        <v>219</v>
      </c>
      <c r="F105" s="2" t="s">
        <v>19</v>
      </c>
      <c r="G105" t="s">
        <v>6191</v>
      </c>
      <c r="H105" t="str">
        <f>VLOOKUP('Combined table'!B105,products!$A$1:$G$49,2,FALSE)</f>
        <v>Rob</v>
      </c>
      <c r="I105" t="str">
        <f>VLOOKUP('Combined table'!B105,products!$A$1:$G$49,3,FALSE)</f>
        <v>M</v>
      </c>
      <c r="J105">
        <f>VLOOKUP('Combined table'!B105,products!$A$1:$G$49,4,FALSE)</f>
        <v>0.2</v>
      </c>
      <c r="K105">
        <f>VLOOKUP('Combined table'!B105,products!$A$1:$G$49,5,FALSE)</f>
        <v>2.9849999999999999</v>
      </c>
      <c r="L105">
        <f>VLOOKUP('Combined table'!B105,products!$A$1:$G$49,6,FALSE)</f>
        <v>1.4924999999999999</v>
      </c>
      <c r="M105">
        <f>VLOOKUP('Combined table'!B105,products!$A$1:$G$49,7,FALSE)</f>
        <v>0.17909999999999998</v>
      </c>
      <c r="N105" t="str">
        <f>TEXT(A105,"mmm yyyy")</f>
        <v>Jul 2022</v>
      </c>
      <c r="O105">
        <f t="shared" si="1"/>
        <v>11.94</v>
      </c>
    </row>
    <row r="106" spans="1:15" x14ac:dyDescent="0.25">
      <c r="A106" s="3">
        <v>43694</v>
      </c>
      <c r="B106" t="s">
        <v>6162</v>
      </c>
      <c r="C106" s="2">
        <v>6</v>
      </c>
      <c r="D106" s="2" t="s">
        <v>1073</v>
      </c>
      <c r="E106" s="2" t="s">
        <v>142</v>
      </c>
      <c r="F106" s="2" t="s">
        <v>19</v>
      </c>
      <c r="G106" t="s">
        <v>6191</v>
      </c>
      <c r="H106" t="str">
        <f>VLOOKUP('Combined table'!B106,products!$A$1:$G$49,2,FALSE)</f>
        <v>Lib</v>
      </c>
      <c r="I106" t="str">
        <f>VLOOKUP('Combined table'!B106,products!$A$1:$G$49,3,FALSE)</f>
        <v>M</v>
      </c>
      <c r="J106">
        <f>VLOOKUP('Combined table'!B106,products!$A$1:$G$49,4,FALSE)</f>
        <v>1</v>
      </c>
      <c r="K106">
        <f>VLOOKUP('Combined table'!B106,products!$A$1:$G$49,5,FALSE)</f>
        <v>14.55</v>
      </c>
      <c r="L106">
        <f>VLOOKUP('Combined table'!B106,products!$A$1:$G$49,6,FALSE)</f>
        <v>1.4550000000000001</v>
      </c>
      <c r="M106">
        <f>VLOOKUP('Combined table'!B106,products!$A$1:$G$49,7,FALSE)</f>
        <v>1.8915000000000002</v>
      </c>
      <c r="N106" t="str">
        <f>TEXT(A106,"mmm yyyy")</f>
        <v>Aug 2019</v>
      </c>
      <c r="O106">
        <f t="shared" si="1"/>
        <v>87.300000000000011</v>
      </c>
    </row>
    <row r="107" spans="1:15" x14ac:dyDescent="0.25">
      <c r="A107" s="3">
        <v>43982</v>
      </c>
      <c r="B107" t="s">
        <v>6157</v>
      </c>
      <c r="C107" s="2">
        <v>6</v>
      </c>
      <c r="D107" s="2" t="s">
        <v>1079</v>
      </c>
      <c r="E107" s="2" t="s">
        <v>63</v>
      </c>
      <c r="F107" s="2" t="s">
        <v>19</v>
      </c>
      <c r="G107" t="s">
        <v>6190</v>
      </c>
      <c r="H107" t="str">
        <f>VLOOKUP('Combined table'!B107,products!$A$1:$G$49,2,FALSE)</f>
        <v>Ara</v>
      </c>
      <c r="I107" t="str">
        <f>VLOOKUP('Combined table'!B107,products!$A$1:$G$49,3,FALSE)</f>
        <v>M</v>
      </c>
      <c r="J107">
        <f>VLOOKUP('Combined table'!B107,products!$A$1:$G$49,4,FALSE)</f>
        <v>0.5</v>
      </c>
      <c r="K107">
        <f>VLOOKUP('Combined table'!B107,products!$A$1:$G$49,5,FALSE)</f>
        <v>6.75</v>
      </c>
      <c r="L107">
        <f>VLOOKUP('Combined table'!B107,products!$A$1:$G$49,6,FALSE)</f>
        <v>1.35</v>
      </c>
      <c r="M107">
        <f>VLOOKUP('Combined table'!B107,products!$A$1:$G$49,7,FALSE)</f>
        <v>0.60749999999999993</v>
      </c>
      <c r="N107" t="str">
        <f>TEXT(A107,"mmm yyyy")</f>
        <v>May 2020</v>
      </c>
      <c r="O107">
        <f t="shared" si="1"/>
        <v>40.5</v>
      </c>
    </row>
    <row r="108" spans="1:15" x14ac:dyDescent="0.25">
      <c r="A108" s="3">
        <v>43956</v>
      </c>
      <c r="B108" t="s">
        <v>6183</v>
      </c>
      <c r="C108" s="2">
        <v>2</v>
      </c>
      <c r="D108" s="2" t="s">
        <v>1085</v>
      </c>
      <c r="E108" s="2" t="s">
        <v>50</v>
      </c>
      <c r="F108" s="2" t="s">
        <v>19</v>
      </c>
      <c r="G108" t="s">
        <v>6191</v>
      </c>
      <c r="H108" t="str">
        <f>VLOOKUP('Combined table'!B108,products!$A$1:$G$49,2,FALSE)</f>
        <v>Exc</v>
      </c>
      <c r="I108" t="str">
        <f>VLOOKUP('Combined table'!B108,products!$A$1:$G$49,3,FALSE)</f>
        <v>D</v>
      </c>
      <c r="J108">
        <f>VLOOKUP('Combined table'!B108,products!$A$1:$G$49,4,FALSE)</f>
        <v>1</v>
      </c>
      <c r="K108">
        <f>VLOOKUP('Combined table'!B108,products!$A$1:$G$49,5,FALSE)</f>
        <v>12.15</v>
      </c>
      <c r="L108">
        <f>VLOOKUP('Combined table'!B108,products!$A$1:$G$49,6,FALSE)</f>
        <v>1.2150000000000001</v>
      </c>
      <c r="M108">
        <f>VLOOKUP('Combined table'!B108,products!$A$1:$G$49,7,FALSE)</f>
        <v>1.3365</v>
      </c>
      <c r="N108" t="str">
        <f>TEXT(A108,"mmm yyyy")</f>
        <v>May 2020</v>
      </c>
      <c r="O108">
        <f t="shared" si="1"/>
        <v>24.3</v>
      </c>
    </row>
    <row r="109" spans="1:15" x14ac:dyDescent="0.25">
      <c r="A109" s="3">
        <v>43569</v>
      </c>
      <c r="B109" t="s">
        <v>6146</v>
      </c>
      <c r="C109" s="2">
        <v>3</v>
      </c>
      <c r="D109" s="2" t="s">
        <v>1091</v>
      </c>
      <c r="E109" s="2" t="s">
        <v>78</v>
      </c>
      <c r="F109" s="2" t="s">
        <v>19</v>
      </c>
      <c r="G109" t="s">
        <v>6190</v>
      </c>
      <c r="H109" t="str">
        <f>VLOOKUP('Combined table'!B109,products!$A$1:$G$49,2,FALSE)</f>
        <v>Rob</v>
      </c>
      <c r="I109" t="str">
        <f>VLOOKUP('Combined table'!B109,products!$A$1:$G$49,3,FALSE)</f>
        <v>M</v>
      </c>
      <c r="J109">
        <f>VLOOKUP('Combined table'!B109,products!$A$1:$G$49,4,FALSE)</f>
        <v>0.5</v>
      </c>
      <c r="K109">
        <f>VLOOKUP('Combined table'!B109,products!$A$1:$G$49,5,FALSE)</f>
        <v>5.97</v>
      </c>
      <c r="L109">
        <f>VLOOKUP('Combined table'!B109,products!$A$1:$G$49,6,FALSE)</f>
        <v>1.194</v>
      </c>
      <c r="M109">
        <f>VLOOKUP('Combined table'!B109,products!$A$1:$G$49,7,FALSE)</f>
        <v>0.35819999999999996</v>
      </c>
      <c r="N109" t="str">
        <f>TEXT(A109,"mmm yyyy")</f>
        <v>Apr 2019</v>
      </c>
      <c r="O109">
        <f t="shared" si="1"/>
        <v>17.91</v>
      </c>
    </row>
    <row r="110" spans="1:15" x14ac:dyDescent="0.25">
      <c r="A110" s="3">
        <v>44041</v>
      </c>
      <c r="B110" t="s">
        <v>6157</v>
      </c>
      <c r="C110" s="2">
        <v>4</v>
      </c>
      <c r="D110" s="2" t="s">
        <v>1097</v>
      </c>
      <c r="E110" s="2" t="s">
        <v>66</v>
      </c>
      <c r="F110" s="2" t="s">
        <v>19</v>
      </c>
      <c r="G110" t="s">
        <v>6191</v>
      </c>
      <c r="H110" t="str">
        <f>VLOOKUP('Combined table'!B110,products!$A$1:$G$49,2,FALSE)</f>
        <v>Ara</v>
      </c>
      <c r="I110" t="str">
        <f>VLOOKUP('Combined table'!B110,products!$A$1:$G$49,3,FALSE)</f>
        <v>M</v>
      </c>
      <c r="J110">
        <f>VLOOKUP('Combined table'!B110,products!$A$1:$G$49,4,FALSE)</f>
        <v>0.5</v>
      </c>
      <c r="K110">
        <f>VLOOKUP('Combined table'!B110,products!$A$1:$G$49,5,FALSE)</f>
        <v>6.75</v>
      </c>
      <c r="L110">
        <f>VLOOKUP('Combined table'!B110,products!$A$1:$G$49,6,FALSE)</f>
        <v>1.35</v>
      </c>
      <c r="M110">
        <f>VLOOKUP('Combined table'!B110,products!$A$1:$G$49,7,FALSE)</f>
        <v>0.60749999999999993</v>
      </c>
      <c r="N110" t="str">
        <f>TEXT(A110,"mmm yyyy")</f>
        <v>Jul 2020</v>
      </c>
      <c r="O110">
        <f t="shared" si="1"/>
        <v>27</v>
      </c>
    </row>
    <row r="111" spans="1:15" x14ac:dyDescent="0.25">
      <c r="A111" s="3">
        <v>43811</v>
      </c>
      <c r="B111" t="s">
        <v>6169</v>
      </c>
      <c r="C111" s="2">
        <v>1</v>
      </c>
      <c r="D111" s="2" t="s">
        <v>1102</v>
      </c>
      <c r="E111" s="2" t="s">
        <v>235</v>
      </c>
      <c r="F111" s="2" t="s">
        <v>19</v>
      </c>
      <c r="G111" t="s">
        <v>6190</v>
      </c>
      <c r="H111" t="str">
        <f>VLOOKUP('Combined table'!B111,products!$A$1:$G$49,2,FALSE)</f>
        <v>Lib</v>
      </c>
      <c r="I111" t="str">
        <f>VLOOKUP('Combined table'!B111,products!$A$1:$G$49,3,FALSE)</f>
        <v>D</v>
      </c>
      <c r="J111">
        <f>VLOOKUP('Combined table'!B111,products!$A$1:$G$49,4,FALSE)</f>
        <v>0.5</v>
      </c>
      <c r="K111">
        <f>VLOOKUP('Combined table'!B111,products!$A$1:$G$49,5,FALSE)</f>
        <v>7.77</v>
      </c>
      <c r="L111">
        <f>VLOOKUP('Combined table'!B111,products!$A$1:$G$49,6,FALSE)</f>
        <v>1.5539999999999998</v>
      </c>
      <c r="M111">
        <f>VLOOKUP('Combined table'!B111,products!$A$1:$G$49,7,FALSE)</f>
        <v>1.0101</v>
      </c>
      <c r="N111" t="str">
        <f>TEXT(A111,"mmm yyyy")</f>
        <v>Dec 2019</v>
      </c>
      <c r="O111">
        <f t="shared" si="1"/>
        <v>7.77</v>
      </c>
    </row>
    <row r="112" spans="1:15" x14ac:dyDescent="0.25">
      <c r="A112" s="3">
        <v>44727</v>
      </c>
      <c r="B112" t="s">
        <v>6184</v>
      </c>
      <c r="C112" s="2">
        <v>3</v>
      </c>
      <c r="D112" s="2" t="s">
        <v>1108</v>
      </c>
      <c r="E112" s="2" t="s">
        <v>83</v>
      </c>
      <c r="F112" s="2" t="s">
        <v>19</v>
      </c>
      <c r="G112" t="s">
        <v>6190</v>
      </c>
      <c r="H112" t="str">
        <f>VLOOKUP('Combined table'!B112,products!$A$1:$G$49,2,FALSE)</f>
        <v>Exc</v>
      </c>
      <c r="I112" t="str">
        <f>VLOOKUP('Combined table'!B112,products!$A$1:$G$49,3,FALSE)</f>
        <v>L</v>
      </c>
      <c r="J112">
        <f>VLOOKUP('Combined table'!B112,products!$A$1:$G$49,4,FALSE)</f>
        <v>0.2</v>
      </c>
      <c r="K112">
        <f>VLOOKUP('Combined table'!B112,products!$A$1:$G$49,5,FALSE)</f>
        <v>4.4550000000000001</v>
      </c>
      <c r="L112">
        <f>VLOOKUP('Combined table'!B112,products!$A$1:$G$49,6,FALSE)</f>
        <v>2.2275</v>
      </c>
      <c r="M112">
        <f>VLOOKUP('Combined table'!B112,products!$A$1:$G$49,7,FALSE)</f>
        <v>0.49004999999999999</v>
      </c>
      <c r="N112" t="str">
        <f>TEXT(A112,"mmm yyyy")</f>
        <v>Jun 2022</v>
      </c>
      <c r="O112">
        <f t="shared" si="1"/>
        <v>13.365</v>
      </c>
    </row>
    <row r="113" spans="1:15" x14ac:dyDescent="0.25">
      <c r="A113" s="3">
        <v>43642</v>
      </c>
      <c r="B113" t="s">
        <v>6172</v>
      </c>
      <c r="C113" s="2">
        <v>5</v>
      </c>
      <c r="D113" s="2" t="s">
        <v>1114</v>
      </c>
      <c r="E113" s="2" t="s">
        <v>250</v>
      </c>
      <c r="F113" s="2" t="s">
        <v>19</v>
      </c>
      <c r="G113" t="s">
        <v>6191</v>
      </c>
      <c r="H113" t="str">
        <f>VLOOKUP('Combined table'!B113,products!$A$1:$G$49,2,FALSE)</f>
        <v>Rob</v>
      </c>
      <c r="I113" t="str">
        <f>VLOOKUP('Combined table'!B113,products!$A$1:$G$49,3,FALSE)</f>
        <v>D</v>
      </c>
      <c r="J113">
        <f>VLOOKUP('Combined table'!B113,products!$A$1:$G$49,4,FALSE)</f>
        <v>0.5</v>
      </c>
      <c r="K113">
        <f>VLOOKUP('Combined table'!B113,products!$A$1:$G$49,5,FALSE)</f>
        <v>5.3699999999999992</v>
      </c>
      <c r="L113">
        <f>VLOOKUP('Combined table'!B113,products!$A$1:$G$49,6,FALSE)</f>
        <v>1.0739999999999998</v>
      </c>
      <c r="M113">
        <f>VLOOKUP('Combined table'!B113,products!$A$1:$G$49,7,FALSE)</f>
        <v>0.32219999999999993</v>
      </c>
      <c r="N113" t="str">
        <f>TEXT(A113,"mmm yyyy")</f>
        <v>Jun 2019</v>
      </c>
      <c r="O113">
        <f t="shared" si="1"/>
        <v>26.849999999999994</v>
      </c>
    </row>
    <row r="114" spans="1:15" x14ac:dyDescent="0.25">
      <c r="A114" s="3">
        <v>44481</v>
      </c>
      <c r="B114" t="s">
        <v>6155</v>
      </c>
      <c r="C114" s="2">
        <v>1</v>
      </c>
      <c r="D114" s="2" t="s">
        <v>1119</v>
      </c>
      <c r="E114" s="2" t="s">
        <v>38</v>
      </c>
      <c r="F114" s="2" t="s">
        <v>19</v>
      </c>
      <c r="G114" t="s">
        <v>6191</v>
      </c>
      <c r="H114" t="str">
        <f>VLOOKUP('Combined table'!B114,products!$A$1:$G$49,2,FALSE)</f>
        <v>Ara</v>
      </c>
      <c r="I114" t="str">
        <f>VLOOKUP('Combined table'!B114,products!$A$1:$G$49,3,FALSE)</f>
        <v>M</v>
      </c>
      <c r="J114">
        <f>VLOOKUP('Combined table'!B114,products!$A$1:$G$49,4,FALSE)</f>
        <v>1</v>
      </c>
      <c r="K114">
        <f>VLOOKUP('Combined table'!B114,products!$A$1:$G$49,5,FALSE)</f>
        <v>11.25</v>
      </c>
      <c r="L114">
        <f>VLOOKUP('Combined table'!B114,products!$A$1:$G$49,6,FALSE)</f>
        <v>1.125</v>
      </c>
      <c r="M114">
        <f>VLOOKUP('Combined table'!B114,products!$A$1:$G$49,7,FALSE)</f>
        <v>1.0125</v>
      </c>
      <c r="N114" t="str">
        <f>TEXT(A114,"mmm yyyy")</f>
        <v>Oct 2021</v>
      </c>
      <c r="O114">
        <f t="shared" si="1"/>
        <v>11.25</v>
      </c>
    </row>
    <row r="115" spans="1:15" x14ac:dyDescent="0.25">
      <c r="A115" s="3">
        <v>43556</v>
      </c>
      <c r="B115" t="s">
        <v>6162</v>
      </c>
      <c r="C115" s="2">
        <v>1</v>
      </c>
      <c r="D115" s="2" t="s">
        <v>1125</v>
      </c>
      <c r="E115" s="2" t="s">
        <v>432</v>
      </c>
      <c r="F115" s="2" t="s">
        <v>318</v>
      </c>
      <c r="G115" t="s">
        <v>6191</v>
      </c>
      <c r="H115" t="str">
        <f>VLOOKUP('Combined table'!B115,products!$A$1:$G$49,2,FALSE)</f>
        <v>Lib</v>
      </c>
      <c r="I115" t="str">
        <f>VLOOKUP('Combined table'!B115,products!$A$1:$G$49,3,FALSE)</f>
        <v>M</v>
      </c>
      <c r="J115">
        <f>VLOOKUP('Combined table'!B115,products!$A$1:$G$49,4,FALSE)</f>
        <v>1</v>
      </c>
      <c r="K115">
        <f>VLOOKUP('Combined table'!B115,products!$A$1:$G$49,5,FALSE)</f>
        <v>14.55</v>
      </c>
      <c r="L115">
        <f>VLOOKUP('Combined table'!B115,products!$A$1:$G$49,6,FALSE)</f>
        <v>1.4550000000000001</v>
      </c>
      <c r="M115">
        <f>VLOOKUP('Combined table'!B115,products!$A$1:$G$49,7,FALSE)</f>
        <v>1.8915000000000002</v>
      </c>
      <c r="N115" t="str">
        <f>TEXT(A115,"mmm yyyy")</f>
        <v>Apr 2019</v>
      </c>
      <c r="O115">
        <f t="shared" si="1"/>
        <v>14.55</v>
      </c>
    </row>
    <row r="116" spans="1:15" x14ac:dyDescent="0.25">
      <c r="A116" s="3">
        <v>44265</v>
      </c>
      <c r="B116" t="s">
        <v>6178</v>
      </c>
      <c r="C116" s="2">
        <v>4</v>
      </c>
      <c r="D116" s="2" t="s">
        <v>1131</v>
      </c>
      <c r="E116" s="2" t="s">
        <v>26</v>
      </c>
      <c r="F116" s="2" t="s">
        <v>19</v>
      </c>
      <c r="G116" t="s">
        <v>6191</v>
      </c>
      <c r="H116" t="str">
        <f>VLOOKUP('Combined table'!B116,products!$A$1:$G$49,2,FALSE)</f>
        <v>Rob</v>
      </c>
      <c r="I116" t="str">
        <f>VLOOKUP('Combined table'!B116,products!$A$1:$G$49,3,FALSE)</f>
        <v>L</v>
      </c>
      <c r="J116">
        <f>VLOOKUP('Combined table'!B116,products!$A$1:$G$49,4,FALSE)</f>
        <v>0.2</v>
      </c>
      <c r="K116">
        <f>VLOOKUP('Combined table'!B116,products!$A$1:$G$49,5,FALSE)</f>
        <v>3.5849999999999995</v>
      </c>
      <c r="L116">
        <f>VLOOKUP('Combined table'!B116,products!$A$1:$G$49,6,FALSE)</f>
        <v>1.7924999999999998</v>
      </c>
      <c r="M116">
        <f>VLOOKUP('Combined table'!B116,products!$A$1:$G$49,7,FALSE)</f>
        <v>0.21509999999999996</v>
      </c>
      <c r="N116" t="str">
        <f>TEXT(A116,"mmm yyyy")</f>
        <v>Mar 2021</v>
      </c>
      <c r="O116">
        <f t="shared" si="1"/>
        <v>14.339999999999998</v>
      </c>
    </row>
    <row r="117" spans="1:15" x14ac:dyDescent="0.25">
      <c r="A117" s="3">
        <v>43693</v>
      </c>
      <c r="B117" t="s">
        <v>6170</v>
      </c>
      <c r="C117" s="2">
        <v>1</v>
      </c>
      <c r="D117" s="2" t="s">
        <v>1136</v>
      </c>
      <c r="E117" s="2" t="s">
        <v>144</v>
      </c>
      <c r="F117" s="2" t="s">
        <v>28</v>
      </c>
      <c r="G117" t="s">
        <v>6191</v>
      </c>
      <c r="H117" t="str">
        <f>VLOOKUP('Combined table'!B117,products!$A$1:$G$49,2,FALSE)</f>
        <v>Lib</v>
      </c>
      <c r="I117" t="str">
        <f>VLOOKUP('Combined table'!B117,products!$A$1:$G$49,3,FALSE)</f>
        <v>L</v>
      </c>
      <c r="J117">
        <f>VLOOKUP('Combined table'!B117,products!$A$1:$G$49,4,FALSE)</f>
        <v>1</v>
      </c>
      <c r="K117">
        <f>VLOOKUP('Combined table'!B117,products!$A$1:$G$49,5,FALSE)</f>
        <v>15.85</v>
      </c>
      <c r="L117">
        <f>VLOOKUP('Combined table'!B117,products!$A$1:$G$49,6,FALSE)</f>
        <v>1.585</v>
      </c>
      <c r="M117">
        <f>VLOOKUP('Combined table'!B117,products!$A$1:$G$49,7,FALSE)</f>
        <v>2.0605000000000002</v>
      </c>
      <c r="N117" t="str">
        <f>TEXT(A117,"mmm yyyy")</f>
        <v>Aug 2019</v>
      </c>
      <c r="O117">
        <f t="shared" si="1"/>
        <v>15.85</v>
      </c>
    </row>
    <row r="118" spans="1:15" x14ac:dyDescent="0.25">
      <c r="A118" s="3">
        <v>44054</v>
      </c>
      <c r="B118" t="s">
        <v>6145</v>
      </c>
      <c r="C118" s="2">
        <v>4</v>
      </c>
      <c r="D118" s="2" t="s">
        <v>1142</v>
      </c>
      <c r="E118" s="2" t="s">
        <v>411</v>
      </c>
      <c r="F118" s="2" t="s">
        <v>318</v>
      </c>
      <c r="G118" t="s">
        <v>6190</v>
      </c>
      <c r="H118" t="str">
        <f>VLOOKUP('Combined table'!B118,products!$A$1:$G$49,2,FALSE)</f>
        <v>Lib</v>
      </c>
      <c r="I118" t="str">
        <f>VLOOKUP('Combined table'!B118,products!$A$1:$G$49,3,FALSE)</f>
        <v>L</v>
      </c>
      <c r="J118">
        <f>VLOOKUP('Combined table'!B118,products!$A$1:$G$49,4,FALSE)</f>
        <v>0.2</v>
      </c>
      <c r="K118">
        <f>VLOOKUP('Combined table'!B118,products!$A$1:$G$49,5,FALSE)</f>
        <v>4.7549999999999999</v>
      </c>
      <c r="L118">
        <f>VLOOKUP('Combined table'!B118,products!$A$1:$G$49,6,FALSE)</f>
        <v>2.3774999999999999</v>
      </c>
      <c r="M118">
        <f>VLOOKUP('Combined table'!B118,products!$A$1:$G$49,7,FALSE)</f>
        <v>0.61814999999999998</v>
      </c>
      <c r="N118" t="str">
        <f>TEXT(A118,"mmm yyyy")</f>
        <v>Aug 2020</v>
      </c>
      <c r="O118">
        <f t="shared" si="1"/>
        <v>19.02</v>
      </c>
    </row>
    <row r="119" spans="1:15" x14ac:dyDescent="0.25">
      <c r="A119" s="3">
        <v>44656</v>
      </c>
      <c r="B119" t="s">
        <v>6161</v>
      </c>
      <c r="C119" s="2">
        <v>4</v>
      </c>
      <c r="D119" s="2" t="s">
        <v>1148</v>
      </c>
      <c r="E119" s="2" t="s">
        <v>203</v>
      </c>
      <c r="F119" s="2" t="s">
        <v>19</v>
      </c>
      <c r="G119" t="s">
        <v>6191</v>
      </c>
      <c r="H119" t="str">
        <f>VLOOKUP('Combined table'!B119,products!$A$1:$G$49,2,FALSE)</f>
        <v>Lib</v>
      </c>
      <c r="I119" t="str">
        <f>VLOOKUP('Combined table'!B119,products!$A$1:$G$49,3,FALSE)</f>
        <v>L</v>
      </c>
      <c r="J119">
        <f>VLOOKUP('Combined table'!B119,products!$A$1:$G$49,4,FALSE)</f>
        <v>0.5</v>
      </c>
      <c r="K119">
        <f>VLOOKUP('Combined table'!B119,products!$A$1:$G$49,5,FALSE)</f>
        <v>9.51</v>
      </c>
      <c r="L119">
        <f>VLOOKUP('Combined table'!B119,products!$A$1:$G$49,6,FALSE)</f>
        <v>1.9019999999999999</v>
      </c>
      <c r="M119">
        <f>VLOOKUP('Combined table'!B119,products!$A$1:$G$49,7,FALSE)</f>
        <v>1.2363</v>
      </c>
      <c r="N119" t="str">
        <f>TEXT(A119,"mmm yyyy")</f>
        <v>Apr 2022</v>
      </c>
      <c r="O119">
        <f t="shared" si="1"/>
        <v>38.04</v>
      </c>
    </row>
    <row r="120" spans="1:15" x14ac:dyDescent="0.25">
      <c r="A120" s="3">
        <v>43760</v>
      </c>
      <c r="B120" t="s">
        <v>6144</v>
      </c>
      <c r="C120" s="2">
        <v>3</v>
      </c>
      <c r="D120" s="2" t="s">
        <v>1154</v>
      </c>
      <c r="E120" s="2" t="s">
        <v>72</v>
      </c>
      <c r="F120" s="2" t="s">
        <v>19</v>
      </c>
      <c r="G120" t="s">
        <v>6190</v>
      </c>
      <c r="H120" t="str">
        <f>VLOOKUP('Combined table'!B120,products!$A$1:$G$49,2,FALSE)</f>
        <v>Exc</v>
      </c>
      <c r="I120" t="str">
        <f>VLOOKUP('Combined table'!B120,products!$A$1:$G$49,3,FALSE)</f>
        <v>D</v>
      </c>
      <c r="J120">
        <f>VLOOKUP('Combined table'!B120,products!$A$1:$G$49,4,FALSE)</f>
        <v>0.5</v>
      </c>
      <c r="K120">
        <f>VLOOKUP('Combined table'!B120,products!$A$1:$G$49,5,FALSE)</f>
        <v>7.29</v>
      </c>
      <c r="L120">
        <f>VLOOKUP('Combined table'!B120,products!$A$1:$G$49,6,FALSE)</f>
        <v>1.458</v>
      </c>
      <c r="M120">
        <f>VLOOKUP('Combined table'!B120,products!$A$1:$G$49,7,FALSE)</f>
        <v>0.80190000000000006</v>
      </c>
      <c r="N120" t="str">
        <f>TEXT(A120,"mmm yyyy")</f>
        <v>Oct 2019</v>
      </c>
      <c r="O120">
        <f t="shared" si="1"/>
        <v>21.87</v>
      </c>
    </row>
    <row r="121" spans="1:15" x14ac:dyDescent="0.25">
      <c r="A121" s="3">
        <v>44471</v>
      </c>
      <c r="B121" t="s">
        <v>6156</v>
      </c>
      <c r="C121" s="2">
        <v>1</v>
      </c>
      <c r="D121" s="2" t="s">
        <v>1160</v>
      </c>
      <c r="E121" s="2" t="s">
        <v>130</v>
      </c>
      <c r="F121" s="2" t="s">
        <v>19</v>
      </c>
      <c r="G121" t="s">
        <v>6191</v>
      </c>
      <c r="H121" t="str">
        <f>VLOOKUP('Combined table'!B121,products!$A$1:$G$49,2,FALSE)</f>
        <v>Exc</v>
      </c>
      <c r="I121" t="str">
        <f>VLOOKUP('Combined table'!B121,products!$A$1:$G$49,3,FALSE)</f>
        <v>M</v>
      </c>
      <c r="J121">
        <f>VLOOKUP('Combined table'!B121,products!$A$1:$G$49,4,FALSE)</f>
        <v>0.2</v>
      </c>
      <c r="K121">
        <f>VLOOKUP('Combined table'!B121,products!$A$1:$G$49,5,FALSE)</f>
        <v>4.125</v>
      </c>
      <c r="L121">
        <f>VLOOKUP('Combined table'!B121,products!$A$1:$G$49,6,FALSE)</f>
        <v>2.0625</v>
      </c>
      <c r="M121">
        <f>VLOOKUP('Combined table'!B121,products!$A$1:$G$49,7,FALSE)</f>
        <v>0.45374999999999999</v>
      </c>
      <c r="N121" t="str">
        <f>TEXT(A121,"mmm yyyy")</f>
        <v>Oct 2021</v>
      </c>
      <c r="O121">
        <f t="shared" si="1"/>
        <v>4.125</v>
      </c>
    </row>
    <row r="122" spans="1:15" x14ac:dyDescent="0.25">
      <c r="A122" s="3">
        <v>44471</v>
      </c>
      <c r="B122" t="s">
        <v>6167</v>
      </c>
      <c r="C122" s="2">
        <v>1</v>
      </c>
      <c r="D122" s="2" t="s">
        <v>1165</v>
      </c>
      <c r="E122" s="2" t="s">
        <v>27</v>
      </c>
      <c r="F122" s="2" t="s">
        <v>19</v>
      </c>
      <c r="G122" t="s">
        <v>6190</v>
      </c>
      <c r="H122" t="str">
        <f>VLOOKUP('Combined table'!B122,products!$A$1:$G$49,2,FALSE)</f>
        <v>Ara</v>
      </c>
      <c r="I122" t="str">
        <f>VLOOKUP('Combined table'!B122,products!$A$1:$G$49,3,FALSE)</f>
        <v>L</v>
      </c>
      <c r="J122">
        <f>VLOOKUP('Combined table'!B122,products!$A$1:$G$49,4,FALSE)</f>
        <v>0.2</v>
      </c>
      <c r="K122">
        <f>VLOOKUP('Combined table'!B122,products!$A$1:$G$49,5,FALSE)</f>
        <v>3.8849999999999998</v>
      </c>
      <c r="L122">
        <f>VLOOKUP('Combined table'!B122,products!$A$1:$G$49,6,FALSE)</f>
        <v>1.9424999999999999</v>
      </c>
      <c r="M122">
        <f>VLOOKUP('Combined table'!B122,products!$A$1:$G$49,7,FALSE)</f>
        <v>0.34964999999999996</v>
      </c>
      <c r="N122" t="str">
        <f>TEXT(A122,"mmm yyyy")</f>
        <v>Oct 2021</v>
      </c>
      <c r="O122">
        <f t="shared" si="1"/>
        <v>3.8849999999999998</v>
      </c>
    </row>
    <row r="123" spans="1:15" x14ac:dyDescent="0.25">
      <c r="A123" s="3">
        <v>44471</v>
      </c>
      <c r="B123" t="s">
        <v>6141</v>
      </c>
      <c r="C123" s="2">
        <v>5</v>
      </c>
      <c r="D123" s="2" t="s">
        <v>1170</v>
      </c>
      <c r="E123" s="2" t="s">
        <v>35</v>
      </c>
      <c r="F123" s="2" t="s">
        <v>19</v>
      </c>
      <c r="G123" t="s">
        <v>6191</v>
      </c>
      <c r="H123" t="str">
        <f>VLOOKUP('Combined table'!B123,products!$A$1:$G$49,2,FALSE)</f>
        <v>Exc</v>
      </c>
      <c r="I123" t="str">
        <f>VLOOKUP('Combined table'!B123,products!$A$1:$G$49,3,FALSE)</f>
        <v>M</v>
      </c>
      <c r="J123">
        <f>VLOOKUP('Combined table'!B123,products!$A$1:$G$49,4,FALSE)</f>
        <v>1</v>
      </c>
      <c r="K123">
        <f>VLOOKUP('Combined table'!B123,products!$A$1:$G$49,5,FALSE)</f>
        <v>13.75</v>
      </c>
      <c r="L123">
        <f>VLOOKUP('Combined table'!B123,products!$A$1:$G$49,6,FALSE)</f>
        <v>1.375</v>
      </c>
      <c r="M123">
        <f>VLOOKUP('Combined table'!B123,products!$A$1:$G$49,7,FALSE)</f>
        <v>1.5125</v>
      </c>
      <c r="N123" t="str">
        <f>TEXT(A123,"mmm yyyy")</f>
        <v>Oct 2021</v>
      </c>
      <c r="O123">
        <f t="shared" si="1"/>
        <v>68.75</v>
      </c>
    </row>
    <row r="124" spans="1:15" x14ac:dyDescent="0.25">
      <c r="A124" s="3">
        <v>44268</v>
      </c>
      <c r="B124" t="s">
        <v>6158</v>
      </c>
      <c r="C124" s="2">
        <v>4</v>
      </c>
      <c r="D124" s="2" t="s">
        <v>1176</v>
      </c>
      <c r="E124" s="2" t="s">
        <v>42</v>
      </c>
      <c r="F124" s="2" t="s">
        <v>19</v>
      </c>
      <c r="G124" t="s">
        <v>6190</v>
      </c>
      <c r="H124" t="str">
        <f>VLOOKUP('Combined table'!B124,products!$A$1:$G$49,2,FALSE)</f>
        <v>Ara</v>
      </c>
      <c r="I124" t="str">
        <f>VLOOKUP('Combined table'!B124,products!$A$1:$G$49,3,FALSE)</f>
        <v>D</v>
      </c>
      <c r="J124">
        <f>VLOOKUP('Combined table'!B124,products!$A$1:$G$49,4,FALSE)</f>
        <v>0.5</v>
      </c>
      <c r="K124">
        <f>VLOOKUP('Combined table'!B124,products!$A$1:$G$49,5,FALSE)</f>
        <v>5.97</v>
      </c>
      <c r="L124">
        <f>VLOOKUP('Combined table'!B124,products!$A$1:$G$49,6,FALSE)</f>
        <v>1.194</v>
      </c>
      <c r="M124">
        <f>VLOOKUP('Combined table'!B124,products!$A$1:$G$49,7,FALSE)</f>
        <v>0.5373</v>
      </c>
      <c r="N124" t="str">
        <f>TEXT(A124,"mmm yyyy")</f>
        <v>Mar 2021</v>
      </c>
      <c r="O124">
        <f t="shared" si="1"/>
        <v>23.88</v>
      </c>
    </row>
    <row r="125" spans="1:15" x14ac:dyDescent="0.25">
      <c r="A125" s="3">
        <v>44724</v>
      </c>
      <c r="B125" t="s">
        <v>6164</v>
      </c>
      <c r="C125" s="2">
        <v>4</v>
      </c>
      <c r="D125" s="2" t="s">
        <v>1182</v>
      </c>
      <c r="E125" s="2" t="s">
        <v>165</v>
      </c>
      <c r="F125" s="2" t="s">
        <v>19</v>
      </c>
      <c r="G125" t="s">
        <v>6191</v>
      </c>
      <c r="H125" t="str">
        <f>VLOOKUP('Combined table'!B125,products!$A$1:$G$49,2,FALSE)</f>
        <v>Lib</v>
      </c>
      <c r="I125" t="str">
        <f>VLOOKUP('Combined table'!B125,products!$A$1:$G$49,3,FALSE)</f>
        <v>L</v>
      </c>
      <c r="J125">
        <f>VLOOKUP('Combined table'!B125,products!$A$1:$G$49,4,FALSE)</f>
        <v>2.5</v>
      </c>
      <c r="K125">
        <f>VLOOKUP('Combined table'!B125,products!$A$1:$G$49,5,FALSE)</f>
        <v>36.454999999999998</v>
      </c>
      <c r="L125">
        <f>VLOOKUP('Combined table'!B125,products!$A$1:$G$49,6,FALSE)</f>
        <v>1.4581999999999999</v>
      </c>
      <c r="M125">
        <f>VLOOKUP('Combined table'!B125,products!$A$1:$G$49,7,FALSE)</f>
        <v>4.7391499999999995</v>
      </c>
      <c r="N125" t="str">
        <f>TEXT(A125,"mmm yyyy")</f>
        <v>Jun 2022</v>
      </c>
      <c r="O125">
        <f t="shared" si="1"/>
        <v>145.82</v>
      </c>
    </row>
    <row r="126" spans="1:15" x14ac:dyDescent="0.25">
      <c r="A126" s="3">
        <v>43582</v>
      </c>
      <c r="B126" t="s">
        <v>6159</v>
      </c>
      <c r="C126" s="2">
        <v>5</v>
      </c>
      <c r="D126" s="2" t="s">
        <v>1188</v>
      </c>
      <c r="E126" s="2" t="s">
        <v>311</v>
      </c>
      <c r="F126" s="2" t="s">
        <v>19</v>
      </c>
      <c r="G126" t="s">
        <v>6190</v>
      </c>
      <c r="H126" t="str">
        <f>VLOOKUP('Combined table'!B126,products!$A$1:$G$49,2,FALSE)</f>
        <v>Lib</v>
      </c>
      <c r="I126" t="str">
        <f>VLOOKUP('Combined table'!B126,products!$A$1:$G$49,3,FALSE)</f>
        <v>M</v>
      </c>
      <c r="J126">
        <f>VLOOKUP('Combined table'!B126,products!$A$1:$G$49,4,FALSE)</f>
        <v>0.2</v>
      </c>
      <c r="K126">
        <f>VLOOKUP('Combined table'!B126,products!$A$1:$G$49,5,FALSE)</f>
        <v>4.3650000000000002</v>
      </c>
      <c r="L126">
        <f>VLOOKUP('Combined table'!B126,products!$A$1:$G$49,6,FALSE)</f>
        <v>2.1825000000000001</v>
      </c>
      <c r="M126">
        <f>VLOOKUP('Combined table'!B126,products!$A$1:$G$49,7,FALSE)</f>
        <v>0.56745000000000001</v>
      </c>
      <c r="N126" t="str">
        <f>TEXT(A126,"mmm yyyy")</f>
        <v>Apr 2019</v>
      </c>
      <c r="O126">
        <f t="shared" si="1"/>
        <v>21.825000000000003</v>
      </c>
    </row>
    <row r="127" spans="1:15" x14ac:dyDescent="0.25">
      <c r="A127" s="3">
        <v>43608</v>
      </c>
      <c r="B127" t="s">
        <v>6160</v>
      </c>
      <c r="C127" s="2">
        <v>3</v>
      </c>
      <c r="D127" s="2" t="s">
        <v>1194</v>
      </c>
      <c r="E127" s="2" t="s">
        <v>447</v>
      </c>
      <c r="F127" s="2" t="s">
        <v>318</v>
      </c>
      <c r="G127" t="s">
        <v>6190</v>
      </c>
      <c r="H127" t="str">
        <f>VLOOKUP('Combined table'!B127,products!$A$1:$G$49,2,FALSE)</f>
        <v>Lib</v>
      </c>
      <c r="I127" t="str">
        <f>VLOOKUP('Combined table'!B127,products!$A$1:$G$49,3,FALSE)</f>
        <v>M</v>
      </c>
      <c r="J127">
        <f>VLOOKUP('Combined table'!B127,products!$A$1:$G$49,4,FALSE)</f>
        <v>0.5</v>
      </c>
      <c r="K127">
        <f>VLOOKUP('Combined table'!B127,products!$A$1:$G$49,5,FALSE)</f>
        <v>8.73</v>
      </c>
      <c r="L127">
        <f>VLOOKUP('Combined table'!B127,products!$A$1:$G$49,6,FALSE)</f>
        <v>1.746</v>
      </c>
      <c r="M127">
        <f>VLOOKUP('Combined table'!B127,products!$A$1:$G$49,7,FALSE)</f>
        <v>1.1349</v>
      </c>
      <c r="N127" t="str">
        <f>TEXT(A127,"mmm yyyy")</f>
        <v>May 2019</v>
      </c>
      <c r="O127">
        <f t="shared" si="1"/>
        <v>26.19</v>
      </c>
    </row>
    <row r="128" spans="1:15" x14ac:dyDescent="0.25">
      <c r="A128" s="3">
        <v>44026</v>
      </c>
      <c r="B128" t="s">
        <v>6155</v>
      </c>
      <c r="C128" s="2">
        <v>1</v>
      </c>
      <c r="D128" s="2" t="s">
        <v>1200</v>
      </c>
      <c r="E128" s="2" t="s">
        <v>72</v>
      </c>
      <c r="F128" s="2" t="s">
        <v>19</v>
      </c>
      <c r="G128" t="s">
        <v>6191</v>
      </c>
      <c r="H128" t="str">
        <f>VLOOKUP('Combined table'!B128,products!$A$1:$G$49,2,FALSE)</f>
        <v>Ara</v>
      </c>
      <c r="I128" t="str">
        <f>VLOOKUP('Combined table'!B128,products!$A$1:$G$49,3,FALSE)</f>
        <v>M</v>
      </c>
      <c r="J128">
        <f>VLOOKUP('Combined table'!B128,products!$A$1:$G$49,4,FALSE)</f>
        <v>1</v>
      </c>
      <c r="K128">
        <f>VLOOKUP('Combined table'!B128,products!$A$1:$G$49,5,FALSE)</f>
        <v>11.25</v>
      </c>
      <c r="L128">
        <f>VLOOKUP('Combined table'!B128,products!$A$1:$G$49,6,FALSE)</f>
        <v>1.125</v>
      </c>
      <c r="M128">
        <f>VLOOKUP('Combined table'!B128,products!$A$1:$G$49,7,FALSE)</f>
        <v>1.0125</v>
      </c>
      <c r="N128" t="str">
        <f>TEXT(A128,"mmm yyyy")</f>
        <v>Jul 2020</v>
      </c>
      <c r="O128">
        <f t="shared" si="1"/>
        <v>11.25</v>
      </c>
    </row>
    <row r="129" spans="1:15" x14ac:dyDescent="0.25">
      <c r="A129" s="3">
        <v>44510</v>
      </c>
      <c r="B129" t="s">
        <v>6143</v>
      </c>
      <c r="C129" s="2">
        <v>6</v>
      </c>
      <c r="D129" s="2" t="s">
        <v>1206</v>
      </c>
      <c r="E129" s="2" t="s">
        <v>289</v>
      </c>
      <c r="F129" s="2" t="s">
        <v>318</v>
      </c>
      <c r="G129" t="s">
        <v>6191</v>
      </c>
      <c r="H129" t="str">
        <f>VLOOKUP('Combined table'!B129,products!$A$1:$G$49,2,FALSE)</f>
        <v>Lib</v>
      </c>
      <c r="I129" t="str">
        <f>VLOOKUP('Combined table'!B129,products!$A$1:$G$49,3,FALSE)</f>
        <v>D</v>
      </c>
      <c r="J129">
        <f>VLOOKUP('Combined table'!B129,products!$A$1:$G$49,4,FALSE)</f>
        <v>1</v>
      </c>
      <c r="K129">
        <f>VLOOKUP('Combined table'!B129,products!$A$1:$G$49,5,FALSE)</f>
        <v>12.95</v>
      </c>
      <c r="L129">
        <f>VLOOKUP('Combined table'!B129,products!$A$1:$G$49,6,FALSE)</f>
        <v>1.2949999999999999</v>
      </c>
      <c r="M129">
        <f>VLOOKUP('Combined table'!B129,products!$A$1:$G$49,7,FALSE)</f>
        <v>1.6835</v>
      </c>
      <c r="N129" t="str">
        <f>TEXT(A129,"mmm yyyy")</f>
        <v>Nov 2021</v>
      </c>
      <c r="O129">
        <f t="shared" si="1"/>
        <v>77.699999999999989</v>
      </c>
    </row>
    <row r="130" spans="1:15" x14ac:dyDescent="0.25">
      <c r="A130" s="3">
        <v>44439</v>
      </c>
      <c r="B130" t="s">
        <v>6157</v>
      </c>
      <c r="C130" s="2">
        <v>1</v>
      </c>
      <c r="D130" s="2" t="s">
        <v>1212</v>
      </c>
      <c r="E130" s="2" t="s">
        <v>97</v>
      </c>
      <c r="F130" s="2" t="s">
        <v>19</v>
      </c>
      <c r="G130" t="s">
        <v>6191</v>
      </c>
      <c r="H130" t="str">
        <f>VLOOKUP('Combined table'!B130,products!$A$1:$G$49,2,FALSE)</f>
        <v>Ara</v>
      </c>
      <c r="I130" t="str">
        <f>VLOOKUP('Combined table'!B130,products!$A$1:$G$49,3,FALSE)</f>
        <v>M</v>
      </c>
      <c r="J130">
        <f>VLOOKUP('Combined table'!B130,products!$A$1:$G$49,4,FALSE)</f>
        <v>0.5</v>
      </c>
      <c r="K130">
        <f>VLOOKUP('Combined table'!B130,products!$A$1:$G$49,5,FALSE)</f>
        <v>6.75</v>
      </c>
      <c r="L130">
        <f>VLOOKUP('Combined table'!B130,products!$A$1:$G$49,6,FALSE)</f>
        <v>1.35</v>
      </c>
      <c r="M130">
        <f>VLOOKUP('Combined table'!B130,products!$A$1:$G$49,7,FALSE)</f>
        <v>0.60749999999999993</v>
      </c>
      <c r="N130" t="str">
        <f>TEXT(A130,"mmm yyyy")</f>
        <v>Aug 2021</v>
      </c>
      <c r="O130">
        <f t="shared" si="1"/>
        <v>6.75</v>
      </c>
    </row>
    <row r="131" spans="1:15" x14ac:dyDescent="0.25">
      <c r="A131" s="3">
        <v>43652</v>
      </c>
      <c r="B131" t="s">
        <v>6183</v>
      </c>
      <c r="C131" s="2">
        <v>1</v>
      </c>
      <c r="D131" s="2" t="s">
        <v>1218</v>
      </c>
      <c r="E131" s="2" t="s">
        <v>95</v>
      </c>
      <c r="F131" s="2" t="s">
        <v>19</v>
      </c>
      <c r="G131" t="s">
        <v>6190</v>
      </c>
      <c r="H131" t="str">
        <f>VLOOKUP('Combined table'!B131,products!$A$1:$G$49,2,FALSE)</f>
        <v>Exc</v>
      </c>
      <c r="I131" t="str">
        <f>VLOOKUP('Combined table'!B131,products!$A$1:$G$49,3,FALSE)</f>
        <v>D</v>
      </c>
      <c r="J131">
        <f>VLOOKUP('Combined table'!B131,products!$A$1:$G$49,4,FALSE)</f>
        <v>1</v>
      </c>
      <c r="K131">
        <f>VLOOKUP('Combined table'!B131,products!$A$1:$G$49,5,FALSE)</f>
        <v>12.15</v>
      </c>
      <c r="L131">
        <f>VLOOKUP('Combined table'!B131,products!$A$1:$G$49,6,FALSE)</f>
        <v>1.2150000000000001</v>
      </c>
      <c r="M131">
        <f>VLOOKUP('Combined table'!B131,products!$A$1:$G$49,7,FALSE)</f>
        <v>1.3365</v>
      </c>
      <c r="N131" t="str">
        <f>TEXT(A131,"mmm yyyy")</f>
        <v>Jul 2019</v>
      </c>
      <c r="O131">
        <f t="shared" ref="O131:O194" si="2">C131*K131</f>
        <v>12.15</v>
      </c>
    </row>
    <row r="132" spans="1:15" x14ac:dyDescent="0.25">
      <c r="A132" s="3">
        <v>44624</v>
      </c>
      <c r="B132" t="s">
        <v>6182</v>
      </c>
      <c r="C132" s="2">
        <v>5</v>
      </c>
      <c r="D132" s="2" t="s">
        <v>1224</v>
      </c>
      <c r="E132" s="2" t="s">
        <v>432</v>
      </c>
      <c r="F132" s="2" t="s">
        <v>318</v>
      </c>
      <c r="G132" t="s">
        <v>6190</v>
      </c>
      <c r="H132" t="str">
        <f>VLOOKUP('Combined table'!B132,products!$A$1:$G$49,2,FALSE)</f>
        <v>Ara</v>
      </c>
      <c r="I132" t="str">
        <f>VLOOKUP('Combined table'!B132,products!$A$1:$G$49,3,FALSE)</f>
        <v>L</v>
      </c>
      <c r="J132">
        <f>VLOOKUP('Combined table'!B132,products!$A$1:$G$49,4,FALSE)</f>
        <v>2.5</v>
      </c>
      <c r="K132">
        <f>VLOOKUP('Combined table'!B132,products!$A$1:$G$49,5,FALSE)</f>
        <v>29.784999999999997</v>
      </c>
      <c r="L132">
        <f>VLOOKUP('Combined table'!B132,products!$A$1:$G$49,6,FALSE)</f>
        <v>1.1913999999999998</v>
      </c>
      <c r="M132">
        <f>VLOOKUP('Combined table'!B132,products!$A$1:$G$49,7,FALSE)</f>
        <v>2.6806499999999995</v>
      </c>
      <c r="N132" t="str">
        <f>TEXT(A132,"mmm yyyy")</f>
        <v>Mar 2022</v>
      </c>
      <c r="O132">
        <f t="shared" si="2"/>
        <v>148.92499999999998</v>
      </c>
    </row>
    <row r="133" spans="1:15" x14ac:dyDescent="0.25">
      <c r="A133" s="3">
        <v>44196</v>
      </c>
      <c r="B133" t="s">
        <v>6144</v>
      </c>
      <c r="C133" s="2">
        <v>2</v>
      </c>
      <c r="D133" s="2" t="s">
        <v>1229</v>
      </c>
      <c r="E133" s="2" t="s">
        <v>35</v>
      </c>
      <c r="F133" s="2" t="s">
        <v>19</v>
      </c>
      <c r="G133" t="s">
        <v>6190</v>
      </c>
      <c r="H133" t="str">
        <f>VLOOKUP('Combined table'!B133,products!$A$1:$G$49,2,FALSE)</f>
        <v>Exc</v>
      </c>
      <c r="I133" t="str">
        <f>VLOOKUP('Combined table'!B133,products!$A$1:$G$49,3,FALSE)</f>
        <v>D</v>
      </c>
      <c r="J133">
        <f>VLOOKUP('Combined table'!B133,products!$A$1:$G$49,4,FALSE)</f>
        <v>0.5</v>
      </c>
      <c r="K133">
        <f>VLOOKUP('Combined table'!B133,products!$A$1:$G$49,5,FALSE)</f>
        <v>7.29</v>
      </c>
      <c r="L133">
        <f>VLOOKUP('Combined table'!B133,products!$A$1:$G$49,6,FALSE)</f>
        <v>1.458</v>
      </c>
      <c r="M133">
        <f>VLOOKUP('Combined table'!B133,products!$A$1:$G$49,7,FALSE)</f>
        <v>0.80190000000000006</v>
      </c>
      <c r="N133" t="str">
        <f>TEXT(A133,"mmm yyyy")</f>
        <v>Dec 2020</v>
      </c>
      <c r="O133">
        <f t="shared" si="2"/>
        <v>14.58</v>
      </c>
    </row>
    <row r="134" spans="1:15" x14ac:dyDescent="0.25">
      <c r="A134" s="3">
        <v>44043</v>
      </c>
      <c r="B134" t="s">
        <v>6182</v>
      </c>
      <c r="C134" s="2">
        <v>5</v>
      </c>
      <c r="D134" s="2" t="s">
        <v>1235</v>
      </c>
      <c r="E134" s="2" t="s">
        <v>223</v>
      </c>
      <c r="F134" s="2" t="s">
        <v>19</v>
      </c>
      <c r="G134" t="s">
        <v>6190</v>
      </c>
      <c r="H134" t="str">
        <f>VLOOKUP('Combined table'!B134,products!$A$1:$G$49,2,FALSE)</f>
        <v>Ara</v>
      </c>
      <c r="I134" t="str">
        <f>VLOOKUP('Combined table'!B134,products!$A$1:$G$49,3,FALSE)</f>
        <v>L</v>
      </c>
      <c r="J134">
        <f>VLOOKUP('Combined table'!B134,products!$A$1:$G$49,4,FALSE)</f>
        <v>2.5</v>
      </c>
      <c r="K134">
        <f>VLOOKUP('Combined table'!B134,products!$A$1:$G$49,5,FALSE)</f>
        <v>29.784999999999997</v>
      </c>
      <c r="L134">
        <f>VLOOKUP('Combined table'!B134,products!$A$1:$G$49,6,FALSE)</f>
        <v>1.1913999999999998</v>
      </c>
      <c r="M134">
        <f>VLOOKUP('Combined table'!B134,products!$A$1:$G$49,7,FALSE)</f>
        <v>2.6806499999999995</v>
      </c>
      <c r="N134" t="str">
        <f>TEXT(A134,"mmm yyyy")</f>
        <v>Jul 2020</v>
      </c>
      <c r="O134">
        <f t="shared" si="2"/>
        <v>148.92499999999998</v>
      </c>
    </row>
    <row r="135" spans="1:15" x14ac:dyDescent="0.25">
      <c r="A135" s="3">
        <v>44340</v>
      </c>
      <c r="B135" t="s">
        <v>6143</v>
      </c>
      <c r="C135" s="2">
        <v>1</v>
      </c>
      <c r="D135" s="2" t="s">
        <v>1241</v>
      </c>
      <c r="E135" s="2" t="s">
        <v>178</v>
      </c>
      <c r="F135" s="2" t="s">
        <v>19</v>
      </c>
      <c r="G135" t="s">
        <v>6191</v>
      </c>
      <c r="H135" t="str">
        <f>VLOOKUP('Combined table'!B135,products!$A$1:$G$49,2,FALSE)</f>
        <v>Lib</v>
      </c>
      <c r="I135" t="str">
        <f>VLOOKUP('Combined table'!B135,products!$A$1:$G$49,3,FALSE)</f>
        <v>D</v>
      </c>
      <c r="J135">
        <f>VLOOKUP('Combined table'!B135,products!$A$1:$G$49,4,FALSE)</f>
        <v>1</v>
      </c>
      <c r="K135">
        <f>VLOOKUP('Combined table'!B135,products!$A$1:$G$49,5,FALSE)</f>
        <v>12.95</v>
      </c>
      <c r="L135">
        <f>VLOOKUP('Combined table'!B135,products!$A$1:$G$49,6,FALSE)</f>
        <v>1.2949999999999999</v>
      </c>
      <c r="M135">
        <f>VLOOKUP('Combined table'!B135,products!$A$1:$G$49,7,FALSE)</f>
        <v>1.6835</v>
      </c>
      <c r="N135" t="str">
        <f>TEXT(A135,"mmm yyyy")</f>
        <v>May 2021</v>
      </c>
      <c r="O135">
        <f t="shared" si="2"/>
        <v>12.95</v>
      </c>
    </row>
    <row r="136" spans="1:15" x14ac:dyDescent="0.25">
      <c r="A136" s="3">
        <v>44758</v>
      </c>
      <c r="B136" t="s">
        <v>6166</v>
      </c>
      <c r="C136" s="2">
        <v>3</v>
      </c>
      <c r="D136" s="2" t="s">
        <v>1247</v>
      </c>
      <c r="E136" s="2" t="s">
        <v>47</v>
      </c>
      <c r="F136" s="2" t="s">
        <v>19</v>
      </c>
      <c r="G136" t="s">
        <v>6190</v>
      </c>
      <c r="H136" t="str">
        <f>VLOOKUP('Combined table'!B136,products!$A$1:$G$49,2,FALSE)</f>
        <v>Exc</v>
      </c>
      <c r="I136" t="str">
        <f>VLOOKUP('Combined table'!B136,products!$A$1:$G$49,3,FALSE)</f>
        <v>M</v>
      </c>
      <c r="J136">
        <f>VLOOKUP('Combined table'!B136,products!$A$1:$G$49,4,FALSE)</f>
        <v>2.5</v>
      </c>
      <c r="K136">
        <f>VLOOKUP('Combined table'!B136,products!$A$1:$G$49,5,FALSE)</f>
        <v>31.624999999999996</v>
      </c>
      <c r="L136">
        <f>VLOOKUP('Combined table'!B136,products!$A$1:$G$49,6,FALSE)</f>
        <v>1.2649999999999999</v>
      </c>
      <c r="M136">
        <f>VLOOKUP('Combined table'!B136,products!$A$1:$G$49,7,FALSE)</f>
        <v>3.4787499999999998</v>
      </c>
      <c r="N136" t="str">
        <f>TEXT(A136,"mmm yyyy")</f>
        <v>Jul 2022</v>
      </c>
      <c r="O136">
        <f t="shared" si="2"/>
        <v>94.874999999999986</v>
      </c>
    </row>
    <row r="137" spans="1:15" x14ac:dyDescent="0.25">
      <c r="A137" s="3">
        <v>44232</v>
      </c>
      <c r="B137" t="s">
        <v>6180</v>
      </c>
      <c r="C137" s="2">
        <v>5</v>
      </c>
      <c r="D137" s="2" t="s">
        <v>1251</v>
      </c>
      <c r="E137" s="2" t="s">
        <v>476</v>
      </c>
      <c r="F137" s="2" t="s">
        <v>318</v>
      </c>
      <c r="G137" t="s">
        <v>6191</v>
      </c>
      <c r="H137" t="str">
        <f>VLOOKUP('Combined table'!B137,products!$A$1:$G$49,2,FALSE)</f>
        <v>Ara</v>
      </c>
      <c r="I137" t="str">
        <f>VLOOKUP('Combined table'!B137,products!$A$1:$G$49,3,FALSE)</f>
        <v>L</v>
      </c>
      <c r="J137">
        <f>VLOOKUP('Combined table'!B137,products!$A$1:$G$49,4,FALSE)</f>
        <v>0.5</v>
      </c>
      <c r="K137">
        <f>VLOOKUP('Combined table'!B137,products!$A$1:$G$49,5,FALSE)</f>
        <v>7.77</v>
      </c>
      <c r="L137">
        <f>VLOOKUP('Combined table'!B137,products!$A$1:$G$49,6,FALSE)</f>
        <v>1.5539999999999998</v>
      </c>
      <c r="M137">
        <f>VLOOKUP('Combined table'!B137,products!$A$1:$G$49,7,FALSE)</f>
        <v>0.69929999999999992</v>
      </c>
      <c r="N137" t="str">
        <f>TEXT(A137,"mmm yyyy")</f>
        <v>Feb 2021</v>
      </c>
      <c r="O137">
        <f t="shared" si="2"/>
        <v>38.849999999999994</v>
      </c>
    </row>
    <row r="138" spans="1:15" x14ac:dyDescent="0.25">
      <c r="A138" s="3">
        <v>44406</v>
      </c>
      <c r="B138" t="s">
        <v>6154</v>
      </c>
      <c r="C138" s="2">
        <v>4</v>
      </c>
      <c r="D138" s="2" t="s">
        <v>1257</v>
      </c>
      <c r="E138" s="2" t="s">
        <v>104</v>
      </c>
      <c r="F138" s="2" t="s">
        <v>19</v>
      </c>
      <c r="G138" t="s">
        <v>6191</v>
      </c>
      <c r="H138" t="str">
        <f>VLOOKUP('Combined table'!B138,products!$A$1:$G$49,2,FALSE)</f>
        <v>Ara</v>
      </c>
      <c r="I138" t="str">
        <f>VLOOKUP('Combined table'!B138,products!$A$1:$G$49,3,FALSE)</f>
        <v>D</v>
      </c>
      <c r="J138">
        <f>VLOOKUP('Combined table'!B138,products!$A$1:$G$49,4,FALSE)</f>
        <v>0.2</v>
      </c>
      <c r="K138">
        <f>VLOOKUP('Combined table'!B138,products!$A$1:$G$49,5,FALSE)</f>
        <v>2.9849999999999999</v>
      </c>
      <c r="L138">
        <f>VLOOKUP('Combined table'!B138,products!$A$1:$G$49,6,FALSE)</f>
        <v>1.4924999999999999</v>
      </c>
      <c r="M138">
        <f>VLOOKUP('Combined table'!B138,products!$A$1:$G$49,7,FALSE)</f>
        <v>0.26865</v>
      </c>
      <c r="N138" t="str">
        <f>TEXT(A138,"mmm yyyy")</f>
        <v>Jul 2021</v>
      </c>
      <c r="O138">
        <f t="shared" si="2"/>
        <v>11.94</v>
      </c>
    </row>
    <row r="139" spans="1:15" x14ac:dyDescent="0.25">
      <c r="A139" s="3">
        <v>44637</v>
      </c>
      <c r="B139" t="s">
        <v>6148</v>
      </c>
      <c r="C139" s="2">
        <v>3</v>
      </c>
      <c r="D139" s="2" t="s">
        <v>1263</v>
      </c>
      <c r="E139" s="2" t="s">
        <v>349</v>
      </c>
      <c r="F139" s="2" t="s">
        <v>318</v>
      </c>
      <c r="G139" t="s">
        <v>6191</v>
      </c>
      <c r="H139" t="str">
        <f>VLOOKUP('Combined table'!B139,products!$A$1:$G$49,2,FALSE)</f>
        <v>Exc</v>
      </c>
      <c r="I139" t="str">
        <f>VLOOKUP('Combined table'!B139,products!$A$1:$G$49,3,FALSE)</f>
        <v>L</v>
      </c>
      <c r="J139">
        <f>VLOOKUP('Combined table'!B139,products!$A$1:$G$49,4,FALSE)</f>
        <v>2.5</v>
      </c>
      <c r="K139">
        <f>VLOOKUP('Combined table'!B139,products!$A$1:$G$49,5,FALSE)</f>
        <v>34.154999999999994</v>
      </c>
      <c r="L139">
        <f>VLOOKUP('Combined table'!B139,products!$A$1:$G$49,6,FALSE)</f>
        <v>1.3661999999999999</v>
      </c>
      <c r="M139">
        <f>VLOOKUP('Combined table'!B139,products!$A$1:$G$49,7,FALSE)</f>
        <v>3.7570499999999996</v>
      </c>
      <c r="N139" t="str">
        <f>TEXT(A139,"mmm yyyy")</f>
        <v>Mar 2022</v>
      </c>
      <c r="O139">
        <f t="shared" si="2"/>
        <v>102.46499999999997</v>
      </c>
    </row>
    <row r="140" spans="1:15" x14ac:dyDescent="0.25">
      <c r="A140" s="3">
        <v>44238</v>
      </c>
      <c r="B140" t="s">
        <v>6183</v>
      </c>
      <c r="C140" s="2">
        <v>4</v>
      </c>
      <c r="D140" s="2" t="s">
        <v>1268</v>
      </c>
      <c r="E140" s="2" t="s">
        <v>73</v>
      </c>
      <c r="F140" s="2" t="s">
        <v>19</v>
      </c>
      <c r="G140" t="s">
        <v>6191</v>
      </c>
      <c r="H140" t="str">
        <f>VLOOKUP('Combined table'!B140,products!$A$1:$G$49,2,FALSE)</f>
        <v>Exc</v>
      </c>
      <c r="I140" t="str">
        <f>VLOOKUP('Combined table'!B140,products!$A$1:$G$49,3,FALSE)</f>
        <v>D</v>
      </c>
      <c r="J140">
        <f>VLOOKUP('Combined table'!B140,products!$A$1:$G$49,4,FALSE)</f>
        <v>1</v>
      </c>
      <c r="K140">
        <f>VLOOKUP('Combined table'!B140,products!$A$1:$G$49,5,FALSE)</f>
        <v>12.15</v>
      </c>
      <c r="L140">
        <f>VLOOKUP('Combined table'!B140,products!$A$1:$G$49,6,FALSE)</f>
        <v>1.2150000000000001</v>
      </c>
      <c r="M140">
        <f>VLOOKUP('Combined table'!B140,products!$A$1:$G$49,7,FALSE)</f>
        <v>1.3365</v>
      </c>
      <c r="N140" t="str">
        <f>TEXT(A140,"mmm yyyy")</f>
        <v>Feb 2021</v>
      </c>
      <c r="O140">
        <f t="shared" si="2"/>
        <v>48.6</v>
      </c>
    </row>
    <row r="141" spans="1:15" x14ac:dyDescent="0.25">
      <c r="A141" s="3">
        <v>43509</v>
      </c>
      <c r="B141" t="s">
        <v>6143</v>
      </c>
      <c r="C141" s="2">
        <v>6</v>
      </c>
      <c r="D141" s="2" t="s">
        <v>1273</v>
      </c>
      <c r="E141" s="2" t="s">
        <v>153</v>
      </c>
      <c r="F141" s="2" t="s">
        <v>19</v>
      </c>
      <c r="G141" t="s">
        <v>6190</v>
      </c>
      <c r="H141" t="str">
        <f>VLOOKUP('Combined table'!B141,products!$A$1:$G$49,2,FALSE)</f>
        <v>Lib</v>
      </c>
      <c r="I141" t="str">
        <f>VLOOKUP('Combined table'!B141,products!$A$1:$G$49,3,FALSE)</f>
        <v>D</v>
      </c>
      <c r="J141">
        <f>VLOOKUP('Combined table'!B141,products!$A$1:$G$49,4,FALSE)</f>
        <v>1</v>
      </c>
      <c r="K141">
        <f>VLOOKUP('Combined table'!B141,products!$A$1:$G$49,5,FALSE)</f>
        <v>12.95</v>
      </c>
      <c r="L141">
        <f>VLOOKUP('Combined table'!B141,products!$A$1:$G$49,6,FALSE)</f>
        <v>1.2949999999999999</v>
      </c>
      <c r="M141">
        <f>VLOOKUP('Combined table'!B141,products!$A$1:$G$49,7,FALSE)</f>
        <v>1.6835</v>
      </c>
      <c r="N141" t="str">
        <f>TEXT(A141,"mmm yyyy")</f>
        <v>Feb 2019</v>
      </c>
      <c r="O141">
        <f t="shared" si="2"/>
        <v>77.699999999999989</v>
      </c>
    </row>
    <row r="142" spans="1:15" x14ac:dyDescent="0.25">
      <c r="A142" s="3">
        <v>44694</v>
      </c>
      <c r="B142" t="s">
        <v>6165</v>
      </c>
      <c r="C142" s="2">
        <v>1</v>
      </c>
      <c r="D142" s="2" t="s">
        <v>1278</v>
      </c>
      <c r="E142" s="2" t="s">
        <v>1282</v>
      </c>
      <c r="F142" s="2" t="s">
        <v>318</v>
      </c>
      <c r="G142" t="s">
        <v>6190</v>
      </c>
      <c r="H142" t="str">
        <f>VLOOKUP('Combined table'!B142,products!$A$1:$G$49,2,FALSE)</f>
        <v>Lib</v>
      </c>
      <c r="I142" t="str">
        <f>VLOOKUP('Combined table'!B142,products!$A$1:$G$49,3,FALSE)</f>
        <v>D</v>
      </c>
      <c r="J142">
        <f>VLOOKUP('Combined table'!B142,products!$A$1:$G$49,4,FALSE)</f>
        <v>2.5</v>
      </c>
      <c r="K142">
        <f>VLOOKUP('Combined table'!B142,products!$A$1:$G$49,5,FALSE)</f>
        <v>29.784999999999997</v>
      </c>
      <c r="L142">
        <f>VLOOKUP('Combined table'!B142,products!$A$1:$G$49,6,FALSE)</f>
        <v>1.1913999999999998</v>
      </c>
      <c r="M142">
        <f>VLOOKUP('Combined table'!B142,products!$A$1:$G$49,7,FALSE)</f>
        <v>3.8720499999999998</v>
      </c>
      <c r="N142" t="str">
        <f>TEXT(A142,"mmm yyyy")</f>
        <v>May 2022</v>
      </c>
      <c r="O142">
        <f t="shared" si="2"/>
        <v>29.784999999999997</v>
      </c>
    </row>
    <row r="143" spans="1:15" x14ac:dyDescent="0.25">
      <c r="A143" s="3">
        <v>43970</v>
      </c>
      <c r="B143" t="s">
        <v>6167</v>
      </c>
      <c r="C143" s="2">
        <v>4</v>
      </c>
      <c r="D143" s="2" t="s">
        <v>1285</v>
      </c>
      <c r="E143" s="2" t="s">
        <v>47</v>
      </c>
      <c r="F143" s="2" t="s">
        <v>19</v>
      </c>
      <c r="G143" t="s">
        <v>6190</v>
      </c>
      <c r="H143" t="str">
        <f>VLOOKUP('Combined table'!B143,products!$A$1:$G$49,2,FALSE)</f>
        <v>Ara</v>
      </c>
      <c r="I143" t="str">
        <f>VLOOKUP('Combined table'!B143,products!$A$1:$G$49,3,FALSE)</f>
        <v>L</v>
      </c>
      <c r="J143">
        <f>VLOOKUP('Combined table'!B143,products!$A$1:$G$49,4,FALSE)</f>
        <v>0.2</v>
      </c>
      <c r="K143">
        <f>VLOOKUP('Combined table'!B143,products!$A$1:$G$49,5,FALSE)</f>
        <v>3.8849999999999998</v>
      </c>
      <c r="L143">
        <f>VLOOKUP('Combined table'!B143,products!$A$1:$G$49,6,FALSE)</f>
        <v>1.9424999999999999</v>
      </c>
      <c r="M143">
        <f>VLOOKUP('Combined table'!B143,products!$A$1:$G$49,7,FALSE)</f>
        <v>0.34964999999999996</v>
      </c>
      <c r="N143" t="str">
        <f>TEXT(A143,"mmm yyyy")</f>
        <v>May 2020</v>
      </c>
      <c r="O143">
        <f t="shared" si="2"/>
        <v>15.54</v>
      </c>
    </row>
    <row r="144" spans="1:15" x14ac:dyDescent="0.25">
      <c r="A144" s="3">
        <v>44678</v>
      </c>
      <c r="B144" t="s">
        <v>6148</v>
      </c>
      <c r="C144" s="2">
        <v>4</v>
      </c>
      <c r="D144" s="2" t="s">
        <v>1291</v>
      </c>
      <c r="E144" s="2" t="s">
        <v>320</v>
      </c>
      <c r="F144" s="2" t="s">
        <v>318</v>
      </c>
      <c r="G144" t="s">
        <v>6190</v>
      </c>
      <c r="H144" t="str">
        <f>VLOOKUP('Combined table'!B144,products!$A$1:$G$49,2,FALSE)</f>
        <v>Exc</v>
      </c>
      <c r="I144" t="str">
        <f>VLOOKUP('Combined table'!B144,products!$A$1:$G$49,3,FALSE)</f>
        <v>L</v>
      </c>
      <c r="J144">
        <f>VLOOKUP('Combined table'!B144,products!$A$1:$G$49,4,FALSE)</f>
        <v>2.5</v>
      </c>
      <c r="K144">
        <f>VLOOKUP('Combined table'!B144,products!$A$1:$G$49,5,FALSE)</f>
        <v>34.154999999999994</v>
      </c>
      <c r="L144">
        <f>VLOOKUP('Combined table'!B144,products!$A$1:$G$49,6,FALSE)</f>
        <v>1.3661999999999999</v>
      </c>
      <c r="M144">
        <f>VLOOKUP('Combined table'!B144,products!$A$1:$G$49,7,FALSE)</f>
        <v>3.7570499999999996</v>
      </c>
      <c r="N144" t="str">
        <f>TEXT(A144,"mmm yyyy")</f>
        <v>Apr 2022</v>
      </c>
      <c r="O144">
        <f t="shared" si="2"/>
        <v>136.61999999999998</v>
      </c>
    </row>
    <row r="145" spans="1:15" x14ac:dyDescent="0.25">
      <c r="A145" s="3">
        <v>44083</v>
      </c>
      <c r="B145" t="s">
        <v>6160</v>
      </c>
      <c r="C145" s="2">
        <v>2</v>
      </c>
      <c r="D145" s="2" t="s">
        <v>1295</v>
      </c>
      <c r="E145" s="2" t="s">
        <v>63</v>
      </c>
      <c r="F145" s="2" t="s">
        <v>19</v>
      </c>
      <c r="G145" t="s">
        <v>6191</v>
      </c>
      <c r="H145" t="str">
        <f>VLOOKUP('Combined table'!B145,products!$A$1:$G$49,2,FALSE)</f>
        <v>Lib</v>
      </c>
      <c r="I145" t="str">
        <f>VLOOKUP('Combined table'!B145,products!$A$1:$G$49,3,FALSE)</f>
        <v>M</v>
      </c>
      <c r="J145">
        <f>VLOOKUP('Combined table'!B145,products!$A$1:$G$49,4,FALSE)</f>
        <v>0.5</v>
      </c>
      <c r="K145">
        <f>VLOOKUP('Combined table'!B145,products!$A$1:$G$49,5,FALSE)</f>
        <v>8.73</v>
      </c>
      <c r="L145">
        <f>VLOOKUP('Combined table'!B145,products!$A$1:$G$49,6,FALSE)</f>
        <v>1.746</v>
      </c>
      <c r="M145">
        <f>VLOOKUP('Combined table'!B145,products!$A$1:$G$49,7,FALSE)</f>
        <v>1.1349</v>
      </c>
      <c r="N145" t="str">
        <f>TEXT(A145,"mmm yyyy")</f>
        <v>Sep 2020</v>
      </c>
      <c r="O145">
        <f t="shared" si="2"/>
        <v>17.46</v>
      </c>
    </row>
    <row r="146" spans="1:15" x14ac:dyDescent="0.25">
      <c r="A146" s="3">
        <v>44265</v>
      </c>
      <c r="B146" t="s">
        <v>6148</v>
      </c>
      <c r="C146" s="2">
        <v>2</v>
      </c>
      <c r="D146" s="2" t="s">
        <v>1301</v>
      </c>
      <c r="E146" s="2" t="s">
        <v>161</v>
      </c>
      <c r="F146" s="2" t="s">
        <v>19</v>
      </c>
      <c r="G146" t="s">
        <v>6190</v>
      </c>
      <c r="H146" t="str">
        <f>VLOOKUP('Combined table'!B146,products!$A$1:$G$49,2,FALSE)</f>
        <v>Exc</v>
      </c>
      <c r="I146" t="str">
        <f>VLOOKUP('Combined table'!B146,products!$A$1:$G$49,3,FALSE)</f>
        <v>L</v>
      </c>
      <c r="J146">
        <f>VLOOKUP('Combined table'!B146,products!$A$1:$G$49,4,FALSE)</f>
        <v>2.5</v>
      </c>
      <c r="K146">
        <f>VLOOKUP('Combined table'!B146,products!$A$1:$G$49,5,FALSE)</f>
        <v>34.154999999999994</v>
      </c>
      <c r="L146">
        <f>VLOOKUP('Combined table'!B146,products!$A$1:$G$49,6,FALSE)</f>
        <v>1.3661999999999999</v>
      </c>
      <c r="M146">
        <f>VLOOKUP('Combined table'!B146,products!$A$1:$G$49,7,FALSE)</f>
        <v>3.7570499999999996</v>
      </c>
      <c r="N146" t="str">
        <f>TEXT(A146,"mmm yyyy")</f>
        <v>Mar 2021</v>
      </c>
      <c r="O146">
        <f t="shared" si="2"/>
        <v>68.309999999999988</v>
      </c>
    </row>
    <row r="147" spans="1:15" x14ac:dyDescent="0.25">
      <c r="A147" s="3">
        <v>43562</v>
      </c>
      <c r="B147" t="s">
        <v>6159</v>
      </c>
      <c r="C147" s="2">
        <v>4</v>
      </c>
      <c r="D147" s="2" t="s">
        <v>1307</v>
      </c>
      <c r="E147" s="2" t="s">
        <v>50</v>
      </c>
      <c r="F147" s="2" t="s">
        <v>19</v>
      </c>
      <c r="G147" t="s">
        <v>6191</v>
      </c>
      <c r="H147" t="str">
        <f>VLOOKUP('Combined table'!B147,products!$A$1:$G$49,2,FALSE)</f>
        <v>Lib</v>
      </c>
      <c r="I147" t="str">
        <f>VLOOKUP('Combined table'!B147,products!$A$1:$G$49,3,FALSE)</f>
        <v>M</v>
      </c>
      <c r="J147">
        <f>VLOOKUP('Combined table'!B147,products!$A$1:$G$49,4,FALSE)</f>
        <v>0.2</v>
      </c>
      <c r="K147">
        <f>VLOOKUP('Combined table'!B147,products!$A$1:$G$49,5,FALSE)</f>
        <v>4.3650000000000002</v>
      </c>
      <c r="L147">
        <f>VLOOKUP('Combined table'!B147,products!$A$1:$G$49,6,FALSE)</f>
        <v>2.1825000000000001</v>
      </c>
      <c r="M147">
        <f>VLOOKUP('Combined table'!B147,products!$A$1:$G$49,7,FALSE)</f>
        <v>0.56745000000000001</v>
      </c>
      <c r="N147" t="str">
        <f>TEXT(A147,"mmm yyyy")</f>
        <v>Apr 2019</v>
      </c>
      <c r="O147">
        <f t="shared" si="2"/>
        <v>17.46</v>
      </c>
    </row>
    <row r="148" spans="1:15" x14ac:dyDescent="0.25">
      <c r="A148" s="3">
        <v>44024</v>
      </c>
      <c r="B148" t="s">
        <v>6162</v>
      </c>
      <c r="C148" s="2">
        <v>3</v>
      </c>
      <c r="D148" s="2" t="s">
        <v>1313</v>
      </c>
      <c r="E148" s="2" t="s">
        <v>352</v>
      </c>
      <c r="F148" s="2" t="s">
        <v>19</v>
      </c>
      <c r="G148" t="s">
        <v>6191</v>
      </c>
      <c r="H148" t="str">
        <f>VLOOKUP('Combined table'!B148,products!$A$1:$G$49,2,FALSE)</f>
        <v>Lib</v>
      </c>
      <c r="I148" t="str">
        <f>VLOOKUP('Combined table'!B148,products!$A$1:$G$49,3,FALSE)</f>
        <v>M</v>
      </c>
      <c r="J148">
        <f>VLOOKUP('Combined table'!B148,products!$A$1:$G$49,4,FALSE)</f>
        <v>1</v>
      </c>
      <c r="K148">
        <f>VLOOKUP('Combined table'!B148,products!$A$1:$G$49,5,FALSE)</f>
        <v>14.55</v>
      </c>
      <c r="L148">
        <f>VLOOKUP('Combined table'!B148,products!$A$1:$G$49,6,FALSE)</f>
        <v>1.4550000000000001</v>
      </c>
      <c r="M148">
        <f>VLOOKUP('Combined table'!B148,products!$A$1:$G$49,7,FALSE)</f>
        <v>1.8915000000000002</v>
      </c>
      <c r="N148" t="str">
        <f>TEXT(A148,"mmm yyyy")</f>
        <v>Jul 2020</v>
      </c>
      <c r="O148">
        <f t="shared" si="2"/>
        <v>43.650000000000006</v>
      </c>
    </row>
    <row r="149" spans="1:15" x14ac:dyDescent="0.25">
      <c r="A149" s="3">
        <v>44024</v>
      </c>
      <c r="B149" t="s">
        <v>6141</v>
      </c>
      <c r="C149" s="2">
        <v>2</v>
      </c>
      <c r="D149" s="2" t="s">
        <v>1318</v>
      </c>
      <c r="E149" s="2" t="s">
        <v>106</v>
      </c>
      <c r="F149" s="2" t="s">
        <v>19</v>
      </c>
      <c r="G149" t="s">
        <v>6190</v>
      </c>
      <c r="H149" t="str">
        <f>VLOOKUP('Combined table'!B149,products!$A$1:$G$49,2,FALSE)</f>
        <v>Exc</v>
      </c>
      <c r="I149" t="str">
        <f>VLOOKUP('Combined table'!B149,products!$A$1:$G$49,3,FALSE)</f>
        <v>M</v>
      </c>
      <c r="J149">
        <f>VLOOKUP('Combined table'!B149,products!$A$1:$G$49,4,FALSE)</f>
        <v>1</v>
      </c>
      <c r="K149">
        <f>VLOOKUP('Combined table'!B149,products!$A$1:$G$49,5,FALSE)</f>
        <v>13.75</v>
      </c>
      <c r="L149">
        <f>VLOOKUP('Combined table'!B149,products!$A$1:$G$49,6,FALSE)</f>
        <v>1.375</v>
      </c>
      <c r="M149">
        <f>VLOOKUP('Combined table'!B149,products!$A$1:$G$49,7,FALSE)</f>
        <v>1.5125</v>
      </c>
      <c r="N149" t="str">
        <f>TEXT(A149,"mmm yyyy")</f>
        <v>Jul 2020</v>
      </c>
      <c r="O149">
        <f t="shared" si="2"/>
        <v>27.5</v>
      </c>
    </row>
    <row r="150" spans="1:15" x14ac:dyDescent="0.25">
      <c r="A150" s="3">
        <v>44551</v>
      </c>
      <c r="B150" t="s">
        <v>6153</v>
      </c>
      <c r="C150" s="2">
        <v>5</v>
      </c>
      <c r="D150" s="2" t="s">
        <v>1324</v>
      </c>
      <c r="E150" s="2" t="s">
        <v>138</v>
      </c>
      <c r="F150" s="2" t="s">
        <v>19</v>
      </c>
      <c r="G150" t="s">
        <v>6190</v>
      </c>
      <c r="H150" t="str">
        <f>VLOOKUP('Combined table'!B150,products!$A$1:$G$49,2,FALSE)</f>
        <v>Exc</v>
      </c>
      <c r="I150" t="str">
        <f>VLOOKUP('Combined table'!B150,products!$A$1:$G$49,3,FALSE)</f>
        <v>D</v>
      </c>
      <c r="J150">
        <f>VLOOKUP('Combined table'!B150,products!$A$1:$G$49,4,FALSE)</f>
        <v>0.2</v>
      </c>
      <c r="K150">
        <f>VLOOKUP('Combined table'!B150,products!$A$1:$G$49,5,FALSE)</f>
        <v>3.645</v>
      </c>
      <c r="L150">
        <f>VLOOKUP('Combined table'!B150,products!$A$1:$G$49,6,FALSE)</f>
        <v>1.8225</v>
      </c>
      <c r="M150">
        <f>VLOOKUP('Combined table'!B150,products!$A$1:$G$49,7,FALSE)</f>
        <v>0.40095000000000003</v>
      </c>
      <c r="N150" t="str">
        <f>TEXT(A150,"mmm yyyy")</f>
        <v>Dec 2021</v>
      </c>
      <c r="O150">
        <f t="shared" si="2"/>
        <v>18.225000000000001</v>
      </c>
    </row>
    <row r="151" spans="1:15" x14ac:dyDescent="0.25">
      <c r="A151" s="3">
        <v>44108</v>
      </c>
      <c r="B151" t="s">
        <v>6175</v>
      </c>
      <c r="C151" s="2">
        <v>2</v>
      </c>
      <c r="D151" s="2" t="s">
        <v>1330</v>
      </c>
      <c r="E151" s="2" t="s">
        <v>197</v>
      </c>
      <c r="F151" s="2" t="s">
        <v>19</v>
      </c>
      <c r="G151" t="s">
        <v>6190</v>
      </c>
      <c r="H151" t="str">
        <f>VLOOKUP('Combined table'!B151,products!$A$1:$G$49,2,FALSE)</f>
        <v>Ara</v>
      </c>
      <c r="I151" t="str">
        <f>VLOOKUP('Combined table'!B151,products!$A$1:$G$49,3,FALSE)</f>
        <v>M</v>
      </c>
      <c r="J151">
        <f>VLOOKUP('Combined table'!B151,products!$A$1:$G$49,4,FALSE)</f>
        <v>2.5</v>
      </c>
      <c r="K151">
        <f>VLOOKUP('Combined table'!B151,products!$A$1:$G$49,5,FALSE)</f>
        <v>25.874999999999996</v>
      </c>
      <c r="L151">
        <f>VLOOKUP('Combined table'!B151,products!$A$1:$G$49,6,FALSE)</f>
        <v>1.0349999999999999</v>
      </c>
      <c r="M151">
        <f>VLOOKUP('Combined table'!B151,products!$A$1:$G$49,7,FALSE)</f>
        <v>2.3287499999999994</v>
      </c>
      <c r="N151" t="str">
        <f>TEXT(A151,"mmm yyyy")</f>
        <v>Oct 2020</v>
      </c>
      <c r="O151">
        <f t="shared" si="2"/>
        <v>51.749999999999993</v>
      </c>
    </row>
    <row r="152" spans="1:15" x14ac:dyDescent="0.25">
      <c r="A152" s="3">
        <v>44051</v>
      </c>
      <c r="B152" t="s">
        <v>6143</v>
      </c>
      <c r="C152" s="2">
        <v>1</v>
      </c>
      <c r="D152" s="2" t="s">
        <v>1335</v>
      </c>
      <c r="E152" s="2" t="s">
        <v>24</v>
      </c>
      <c r="F152" s="2" t="s">
        <v>19</v>
      </c>
      <c r="G152" t="s">
        <v>6190</v>
      </c>
      <c r="H152" t="str">
        <f>VLOOKUP('Combined table'!B152,products!$A$1:$G$49,2,FALSE)</f>
        <v>Lib</v>
      </c>
      <c r="I152" t="str">
        <f>VLOOKUP('Combined table'!B152,products!$A$1:$G$49,3,FALSE)</f>
        <v>D</v>
      </c>
      <c r="J152">
        <f>VLOOKUP('Combined table'!B152,products!$A$1:$G$49,4,FALSE)</f>
        <v>1</v>
      </c>
      <c r="K152">
        <f>VLOOKUP('Combined table'!B152,products!$A$1:$G$49,5,FALSE)</f>
        <v>12.95</v>
      </c>
      <c r="L152">
        <f>VLOOKUP('Combined table'!B152,products!$A$1:$G$49,6,FALSE)</f>
        <v>1.2949999999999999</v>
      </c>
      <c r="M152">
        <f>VLOOKUP('Combined table'!B152,products!$A$1:$G$49,7,FALSE)</f>
        <v>1.6835</v>
      </c>
      <c r="N152" t="str">
        <f>TEXT(A152,"mmm yyyy")</f>
        <v>Aug 2020</v>
      </c>
      <c r="O152">
        <f t="shared" si="2"/>
        <v>12.95</v>
      </c>
    </row>
    <row r="153" spans="1:15" x14ac:dyDescent="0.25">
      <c r="A153" s="3">
        <v>44115</v>
      </c>
      <c r="B153" t="s">
        <v>6155</v>
      </c>
      <c r="C153" s="2">
        <v>3</v>
      </c>
      <c r="D153" s="2" t="s">
        <v>1341</v>
      </c>
      <c r="E153" s="2" t="s">
        <v>169</v>
      </c>
      <c r="F153" s="2" t="s">
        <v>19</v>
      </c>
      <c r="G153" t="s">
        <v>6190</v>
      </c>
      <c r="H153" t="str">
        <f>VLOOKUP('Combined table'!B153,products!$A$1:$G$49,2,FALSE)</f>
        <v>Ara</v>
      </c>
      <c r="I153" t="str">
        <f>VLOOKUP('Combined table'!B153,products!$A$1:$G$49,3,FALSE)</f>
        <v>M</v>
      </c>
      <c r="J153">
        <f>VLOOKUP('Combined table'!B153,products!$A$1:$G$49,4,FALSE)</f>
        <v>1</v>
      </c>
      <c r="K153">
        <f>VLOOKUP('Combined table'!B153,products!$A$1:$G$49,5,FALSE)</f>
        <v>11.25</v>
      </c>
      <c r="L153">
        <f>VLOOKUP('Combined table'!B153,products!$A$1:$G$49,6,FALSE)</f>
        <v>1.125</v>
      </c>
      <c r="M153">
        <f>VLOOKUP('Combined table'!B153,products!$A$1:$G$49,7,FALSE)</f>
        <v>1.0125</v>
      </c>
      <c r="N153" t="str">
        <f>TEXT(A153,"mmm yyyy")</f>
        <v>Oct 2020</v>
      </c>
      <c r="O153">
        <f t="shared" si="2"/>
        <v>33.75</v>
      </c>
    </row>
    <row r="154" spans="1:15" x14ac:dyDescent="0.25">
      <c r="A154" s="3">
        <v>44510</v>
      </c>
      <c r="B154" t="s">
        <v>6151</v>
      </c>
      <c r="C154" s="2">
        <v>3</v>
      </c>
      <c r="D154" s="2" t="s">
        <v>1346</v>
      </c>
      <c r="E154" s="2" t="s">
        <v>73</v>
      </c>
      <c r="F154" s="2" t="s">
        <v>19</v>
      </c>
      <c r="G154" t="s">
        <v>6190</v>
      </c>
      <c r="H154" t="str">
        <f>VLOOKUP('Combined table'!B154,products!$A$1:$G$49,2,FALSE)</f>
        <v>Rob</v>
      </c>
      <c r="I154" t="str">
        <f>VLOOKUP('Combined table'!B154,products!$A$1:$G$49,3,FALSE)</f>
        <v>M</v>
      </c>
      <c r="J154">
        <f>VLOOKUP('Combined table'!B154,products!$A$1:$G$49,4,FALSE)</f>
        <v>2.5</v>
      </c>
      <c r="K154">
        <f>VLOOKUP('Combined table'!B154,products!$A$1:$G$49,5,FALSE)</f>
        <v>22.884999999999998</v>
      </c>
      <c r="L154">
        <f>VLOOKUP('Combined table'!B154,products!$A$1:$G$49,6,FALSE)</f>
        <v>0.91539999999999988</v>
      </c>
      <c r="M154">
        <f>VLOOKUP('Combined table'!B154,products!$A$1:$G$49,7,FALSE)</f>
        <v>1.3730999999999998</v>
      </c>
      <c r="N154" t="str">
        <f>TEXT(A154,"mmm yyyy")</f>
        <v>Nov 2021</v>
      </c>
      <c r="O154">
        <f t="shared" si="2"/>
        <v>68.655000000000001</v>
      </c>
    </row>
    <row r="155" spans="1:15" x14ac:dyDescent="0.25">
      <c r="A155" s="3">
        <v>44367</v>
      </c>
      <c r="B155" t="s">
        <v>6163</v>
      </c>
      <c r="C155" s="2">
        <v>1</v>
      </c>
      <c r="D155" s="2" t="s">
        <v>1352</v>
      </c>
      <c r="E155" s="2" t="s">
        <v>271</v>
      </c>
      <c r="F155" s="2" t="s">
        <v>19</v>
      </c>
      <c r="G155" t="s">
        <v>6191</v>
      </c>
      <c r="H155" t="str">
        <f>VLOOKUP('Combined table'!B155,products!$A$1:$G$49,2,FALSE)</f>
        <v>Rob</v>
      </c>
      <c r="I155" t="str">
        <f>VLOOKUP('Combined table'!B155,products!$A$1:$G$49,3,FALSE)</f>
        <v>D</v>
      </c>
      <c r="J155">
        <f>VLOOKUP('Combined table'!B155,products!$A$1:$G$49,4,FALSE)</f>
        <v>0.2</v>
      </c>
      <c r="K155">
        <f>VLOOKUP('Combined table'!B155,products!$A$1:$G$49,5,FALSE)</f>
        <v>2.6849999999999996</v>
      </c>
      <c r="L155">
        <f>VLOOKUP('Combined table'!B155,products!$A$1:$G$49,6,FALSE)</f>
        <v>1.3424999999999998</v>
      </c>
      <c r="M155">
        <f>VLOOKUP('Combined table'!B155,products!$A$1:$G$49,7,FALSE)</f>
        <v>0.16109999999999997</v>
      </c>
      <c r="N155" t="str">
        <f>TEXT(A155,"mmm yyyy")</f>
        <v>Jun 2021</v>
      </c>
      <c r="O155">
        <f t="shared" si="2"/>
        <v>2.6849999999999996</v>
      </c>
    </row>
    <row r="156" spans="1:15" x14ac:dyDescent="0.25">
      <c r="A156" s="3">
        <v>44473</v>
      </c>
      <c r="B156" t="s">
        <v>6168</v>
      </c>
      <c r="C156" s="2">
        <v>5</v>
      </c>
      <c r="D156" s="2" t="s">
        <v>1357</v>
      </c>
      <c r="E156" s="2" t="s">
        <v>46</v>
      </c>
      <c r="F156" s="2" t="s">
        <v>19</v>
      </c>
      <c r="G156" t="s">
        <v>6191</v>
      </c>
      <c r="H156" t="str">
        <f>VLOOKUP('Combined table'!B156,products!$A$1:$G$49,2,FALSE)</f>
        <v>Ara</v>
      </c>
      <c r="I156" t="str">
        <f>VLOOKUP('Combined table'!B156,products!$A$1:$G$49,3,FALSE)</f>
        <v>D</v>
      </c>
      <c r="J156">
        <f>VLOOKUP('Combined table'!B156,products!$A$1:$G$49,4,FALSE)</f>
        <v>2.5</v>
      </c>
      <c r="K156">
        <f>VLOOKUP('Combined table'!B156,products!$A$1:$G$49,5,FALSE)</f>
        <v>22.884999999999998</v>
      </c>
      <c r="L156">
        <f>VLOOKUP('Combined table'!B156,products!$A$1:$G$49,6,FALSE)</f>
        <v>0.91539999999999988</v>
      </c>
      <c r="M156">
        <f>VLOOKUP('Combined table'!B156,products!$A$1:$G$49,7,FALSE)</f>
        <v>2.0596499999999995</v>
      </c>
      <c r="N156" t="str">
        <f>TEXT(A156,"mmm yyyy")</f>
        <v>Oct 2021</v>
      </c>
      <c r="O156">
        <f t="shared" si="2"/>
        <v>114.42499999999998</v>
      </c>
    </row>
    <row r="157" spans="1:15" x14ac:dyDescent="0.25">
      <c r="A157" s="3">
        <v>43640</v>
      </c>
      <c r="B157" t="s">
        <v>6175</v>
      </c>
      <c r="C157" s="2">
        <v>6</v>
      </c>
      <c r="D157" s="2" t="s">
        <v>1363</v>
      </c>
      <c r="E157" s="2" t="s">
        <v>124</v>
      </c>
      <c r="F157" s="2" t="s">
        <v>19</v>
      </c>
      <c r="G157" t="s">
        <v>6190</v>
      </c>
      <c r="H157" t="str">
        <f>VLOOKUP('Combined table'!B157,products!$A$1:$G$49,2,FALSE)</f>
        <v>Ara</v>
      </c>
      <c r="I157" t="str">
        <f>VLOOKUP('Combined table'!B157,products!$A$1:$G$49,3,FALSE)</f>
        <v>M</v>
      </c>
      <c r="J157">
        <f>VLOOKUP('Combined table'!B157,products!$A$1:$G$49,4,FALSE)</f>
        <v>2.5</v>
      </c>
      <c r="K157">
        <f>VLOOKUP('Combined table'!B157,products!$A$1:$G$49,5,FALSE)</f>
        <v>25.874999999999996</v>
      </c>
      <c r="L157">
        <f>VLOOKUP('Combined table'!B157,products!$A$1:$G$49,6,FALSE)</f>
        <v>1.0349999999999999</v>
      </c>
      <c r="M157">
        <f>VLOOKUP('Combined table'!B157,products!$A$1:$G$49,7,FALSE)</f>
        <v>2.3287499999999994</v>
      </c>
      <c r="N157" t="str">
        <f>TEXT(A157,"mmm yyyy")</f>
        <v>Jun 2019</v>
      </c>
      <c r="O157">
        <f t="shared" si="2"/>
        <v>155.24999999999997</v>
      </c>
    </row>
    <row r="158" spans="1:15" x14ac:dyDescent="0.25">
      <c r="A158" s="3">
        <v>43764</v>
      </c>
      <c r="B158" t="s">
        <v>6175</v>
      </c>
      <c r="C158" s="2">
        <v>3</v>
      </c>
      <c r="D158" s="2" t="s">
        <v>1369</v>
      </c>
      <c r="E158" s="2" t="s">
        <v>59</v>
      </c>
      <c r="F158" s="2" t="s">
        <v>19</v>
      </c>
      <c r="G158" t="s">
        <v>6190</v>
      </c>
      <c r="H158" t="str">
        <f>VLOOKUP('Combined table'!B158,products!$A$1:$G$49,2,FALSE)</f>
        <v>Ara</v>
      </c>
      <c r="I158" t="str">
        <f>VLOOKUP('Combined table'!B158,products!$A$1:$G$49,3,FALSE)</f>
        <v>M</v>
      </c>
      <c r="J158">
        <f>VLOOKUP('Combined table'!B158,products!$A$1:$G$49,4,FALSE)</f>
        <v>2.5</v>
      </c>
      <c r="K158">
        <f>VLOOKUP('Combined table'!B158,products!$A$1:$G$49,5,FALSE)</f>
        <v>25.874999999999996</v>
      </c>
      <c r="L158">
        <f>VLOOKUP('Combined table'!B158,products!$A$1:$G$49,6,FALSE)</f>
        <v>1.0349999999999999</v>
      </c>
      <c r="M158">
        <f>VLOOKUP('Combined table'!B158,products!$A$1:$G$49,7,FALSE)</f>
        <v>2.3287499999999994</v>
      </c>
      <c r="N158" t="str">
        <f>TEXT(A158,"mmm yyyy")</f>
        <v>Oct 2019</v>
      </c>
      <c r="O158">
        <f t="shared" si="2"/>
        <v>77.624999999999986</v>
      </c>
    </row>
    <row r="159" spans="1:15" x14ac:dyDescent="0.25">
      <c r="A159" s="3">
        <v>44374</v>
      </c>
      <c r="B159" t="s">
        <v>6149</v>
      </c>
      <c r="C159" s="2">
        <v>3</v>
      </c>
      <c r="D159" s="2" t="s">
        <v>1375</v>
      </c>
      <c r="E159" s="2" t="s">
        <v>360</v>
      </c>
      <c r="F159" s="2" t="s">
        <v>318</v>
      </c>
      <c r="G159" t="s">
        <v>6191</v>
      </c>
      <c r="H159" t="str">
        <f>VLOOKUP('Combined table'!B159,products!$A$1:$G$49,2,FALSE)</f>
        <v>Rob</v>
      </c>
      <c r="I159" t="str">
        <f>VLOOKUP('Combined table'!B159,products!$A$1:$G$49,3,FALSE)</f>
        <v>D</v>
      </c>
      <c r="J159">
        <f>VLOOKUP('Combined table'!B159,products!$A$1:$G$49,4,FALSE)</f>
        <v>2.5</v>
      </c>
      <c r="K159">
        <f>VLOOKUP('Combined table'!B159,products!$A$1:$G$49,5,FALSE)</f>
        <v>20.584999999999997</v>
      </c>
      <c r="L159">
        <f>VLOOKUP('Combined table'!B159,products!$A$1:$G$49,6,FALSE)</f>
        <v>0.82339999999999991</v>
      </c>
      <c r="M159">
        <f>VLOOKUP('Combined table'!B159,products!$A$1:$G$49,7,FALSE)</f>
        <v>1.2350999999999999</v>
      </c>
      <c r="N159" t="str">
        <f>TEXT(A159,"mmm yyyy")</f>
        <v>Jun 2021</v>
      </c>
      <c r="O159">
        <f t="shared" si="2"/>
        <v>61.754999999999995</v>
      </c>
    </row>
    <row r="160" spans="1:15" x14ac:dyDescent="0.25">
      <c r="A160" s="3">
        <v>43714</v>
      </c>
      <c r="B160" t="s">
        <v>6149</v>
      </c>
      <c r="C160" s="2">
        <v>6</v>
      </c>
      <c r="D160" s="2" t="s">
        <v>1381</v>
      </c>
      <c r="E160" s="2" t="s">
        <v>65</v>
      </c>
      <c r="F160" s="2" t="s">
        <v>19</v>
      </c>
      <c r="G160" t="s">
        <v>6190</v>
      </c>
      <c r="H160" t="str">
        <f>VLOOKUP('Combined table'!B160,products!$A$1:$G$49,2,FALSE)</f>
        <v>Rob</v>
      </c>
      <c r="I160" t="str">
        <f>VLOOKUP('Combined table'!B160,products!$A$1:$G$49,3,FALSE)</f>
        <v>D</v>
      </c>
      <c r="J160">
        <f>VLOOKUP('Combined table'!B160,products!$A$1:$G$49,4,FALSE)</f>
        <v>2.5</v>
      </c>
      <c r="K160">
        <f>VLOOKUP('Combined table'!B160,products!$A$1:$G$49,5,FALSE)</f>
        <v>20.584999999999997</v>
      </c>
      <c r="L160">
        <f>VLOOKUP('Combined table'!B160,products!$A$1:$G$49,6,FALSE)</f>
        <v>0.82339999999999991</v>
      </c>
      <c r="M160">
        <f>VLOOKUP('Combined table'!B160,products!$A$1:$G$49,7,FALSE)</f>
        <v>1.2350999999999999</v>
      </c>
      <c r="N160" t="str">
        <f>TEXT(A160,"mmm yyyy")</f>
        <v>Sep 2019</v>
      </c>
      <c r="O160">
        <f t="shared" si="2"/>
        <v>123.50999999999999</v>
      </c>
    </row>
    <row r="161" spans="1:15" x14ac:dyDescent="0.25">
      <c r="A161" s="3">
        <v>44316</v>
      </c>
      <c r="B161" t="s">
        <v>6164</v>
      </c>
      <c r="C161" s="2">
        <v>6</v>
      </c>
      <c r="D161" s="2" t="s">
        <v>1386</v>
      </c>
      <c r="E161" s="2" t="s">
        <v>189</v>
      </c>
      <c r="F161" s="2" t="s">
        <v>19</v>
      </c>
      <c r="G161" t="s">
        <v>6191</v>
      </c>
      <c r="H161" t="str">
        <f>VLOOKUP('Combined table'!B161,products!$A$1:$G$49,2,FALSE)</f>
        <v>Lib</v>
      </c>
      <c r="I161" t="str">
        <f>VLOOKUP('Combined table'!B161,products!$A$1:$G$49,3,FALSE)</f>
        <v>L</v>
      </c>
      <c r="J161">
        <f>VLOOKUP('Combined table'!B161,products!$A$1:$G$49,4,FALSE)</f>
        <v>2.5</v>
      </c>
      <c r="K161">
        <f>VLOOKUP('Combined table'!B161,products!$A$1:$G$49,5,FALSE)</f>
        <v>36.454999999999998</v>
      </c>
      <c r="L161">
        <f>VLOOKUP('Combined table'!B161,products!$A$1:$G$49,6,FALSE)</f>
        <v>1.4581999999999999</v>
      </c>
      <c r="M161">
        <f>VLOOKUP('Combined table'!B161,products!$A$1:$G$49,7,FALSE)</f>
        <v>4.7391499999999995</v>
      </c>
      <c r="N161" t="str">
        <f>TEXT(A161,"mmm yyyy")</f>
        <v>Apr 2021</v>
      </c>
      <c r="O161">
        <f t="shared" si="2"/>
        <v>218.73</v>
      </c>
    </row>
    <row r="162" spans="1:15" x14ac:dyDescent="0.25">
      <c r="A162" s="3">
        <v>43837</v>
      </c>
      <c r="B162" t="s">
        <v>6139</v>
      </c>
      <c r="C162" s="2">
        <v>4</v>
      </c>
      <c r="D162" s="2" t="s">
        <v>1391</v>
      </c>
      <c r="E162" s="2" t="s">
        <v>77</v>
      </c>
      <c r="F162" s="2" t="s">
        <v>19</v>
      </c>
      <c r="G162" t="s">
        <v>6191</v>
      </c>
      <c r="H162" t="str">
        <f>VLOOKUP('Combined table'!B162,products!$A$1:$G$49,2,FALSE)</f>
        <v>Exc</v>
      </c>
      <c r="I162" t="str">
        <f>VLOOKUP('Combined table'!B162,products!$A$1:$G$49,3,FALSE)</f>
        <v>M</v>
      </c>
      <c r="J162">
        <f>VLOOKUP('Combined table'!B162,products!$A$1:$G$49,4,FALSE)</f>
        <v>0.5</v>
      </c>
      <c r="K162">
        <f>VLOOKUP('Combined table'!B162,products!$A$1:$G$49,5,FALSE)</f>
        <v>8.25</v>
      </c>
      <c r="L162">
        <f>VLOOKUP('Combined table'!B162,products!$A$1:$G$49,6,FALSE)</f>
        <v>1.65</v>
      </c>
      <c r="M162">
        <f>VLOOKUP('Combined table'!B162,products!$A$1:$G$49,7,FALSE)</f>
        <v>0.90749999999999997</v>
      </c>
      <c r="N162" t="str">
        <f>TEXT(A162,"mmm yyyy")</f>
        <v>Jan 2020</v>
      </c>
      <c r="O162">
        <f t="shared" si="2"/>
        <v>33</v>
      </c>
    </row>
    <row r="163" spans="1:15" x14ac:dyDescent="0.25">
      <c r="A163" s="3">
        <v>44207</v>
      </c>
      <c r="B163" t="s">
        <v>6180</v>
      </c>
      <c r="C163" s="2">
        <v>3</v>
      </c>
      <c r="D163" s="2" t="s">
        <v>1397</v>
      </c>
      <c r="E163" s="2" t="s">
        <v>47</v>
      </c>
      <c r="F163" s="2" t="s">
        <v>19</v>
      </c>
      <c r="G163" t="s">
        <v>6191</v>
      </c>
      <c r="H163" t="str">
        <f>VLOOKUP('Combined table'!B163,products!$A$1:$G$49,2,FALSE)</f>
        <v>Ara</v>
      </c>
      <c r="I163" t="str">
        <f>VLOOKUP('Combined table'!B163,products!$A$1:$G$49,3,FALSE)</f>
        <v>L</v>
      </c>
      <c r="J163">
        <f>VLOOKUP('Combined table'!B163,products!$A$1:$G$49,4,FALSE)</f>
        <v>0.5</v>
      </c>
      <c r="K163">
        <f>VLOOKUP('Combined table'!B163,products!$A$1:$G$49,5,FALSE)</f>
        <v>7.77</v>
      </c>
      <c r="L163">
        <f>VLOOKUP('Combined table'!B163,products!$A$1:$G$49,6,FALSE)</f>
        <v>1.5539999999999998</v>
      </c>
      <c r="M163">
        <f>VLOOKUP('Combined table'!B163,products!$A$1:$G$49,7,FALSE)</f>
        <v>0.69929999999999992</v>
      </c>
      <c r="N163" t="str">
        <f>TEXT(A163,"mmm yyyy")</f>
        <v>Jan 2021</v>
      </c>
      <c r="O163">
        <f t="shared" si="2"/>
        <v>23.31</v>
      </c>
    </row>
    <row r="164" spans="1:15" x14ac:dyDescent="0.25">
      <c r="A164" s="3">
        <v>44515</v>
      </c>
      <c r="B164" t="s">
        <v>6144</v>
      </c>
      <c r="C164" s="2">
        <v>3</v>
      </c>
      <c r="D164" s="2" t="s">
        <v>1403</v>
      </c>
      <c r="E164" s="2" t="s">
        <v>82</v>
      </c>
      <c r="F164" s="2" t="s">
        <v>19</v>
      </c>
      <c r="G164" t="s">
        <v>6190</v>
      </c>
      <c r="H164" t="str">
        <f>VLOOKUP('Combined table'!B164,products!$A$1:$G$49,2,FALSE)</f>
        <v>Exc</v>
      </c>
      <c r="I164" t="str">
        <f>VLOOKUP('Combined table'!B164,products!$A$1:$G$49,3,FALSE)</f>
        <v>D</v>
      </c>
      <c r="J164">
        <f>VLOOKUP('Combined table'!B164,products!$A$1:$G$49,4,FALSE)</f>
        <v>0.5</v>
      </c>
      <c r="K164">
        <f>VLOOKUP('Combined table'!B164,products!$A$1:$G$49,5,FALSE)</f>
        <v>7.29</v>
      </c>
      <c r="L164">
        <f>VLOOKUP('Combined table'!B164,products!$A$1:$G$49,6,FALSE)</f>
        <v>1.458</v>
      </c>
      <c r="M164">
        <f>VLOOKUP('Combined table'!B164,products!$A$1:$G$49,7,FALSE)</f>
        <v>0.80190000000000006</v>
      </c>
      <c r="N164" t="str">
        <f>TEXT(A164,"mmm yyyy")</f>
        <v>Nov 2021</v>
      </c>
      <c r="O164">
        <f t="shared" si="2"/>
        <v>21.87</v>
      </c>
    </row>
    <row r="165" spans="1:15" x14ac:dyDescent="0.25">
      <c r="A165" s="3">
        <v>43619</v>
      </c>
      <c r="B165" t="s">
        <v>6163</v>
      </c>
      <c r="C165" s="2">
        <v>6</v>
      </c>
      <c r="D165" s="2" t="s">
        <v>1409</v>
      </c>
      <c r="E165" s="2" t="s">
        <v>164</v>
      </c>
      <c r="F165" s="2" t="s">
        <v>19</v>
      </c>
      <c r="G165" t="s">
        <v>6191</v>
      </c>
      <c r="H165" t="str">
        <f>VLOOKUP('Combined table'!B165,products!$A$1:$G$49,2,FALSE)</f>
        <v>Rob</v>
      </c>
      <c r="I165" t="str">
        <f>VLOOKUP('Combined table'!B165,products!$A$1:$G$49,3,FALSE)</f>
        <v>D</v>
      </c>
      <c r="J165">
        <f>VLOOKUP('Combined table'!B165,products!$A$1:$G$49,4,FALSE)</f>
        <v>0.2</v>
      </c>
      <c r="K165">
        <f>VLOOKUP('Combined table'!B165,products!$A$1:$G$49,5,FALSE)</f>
        <v>2.6849999999999996</v>
      </c>
      <c r="L165">
        <f>VLOOKUP('Combined table'!B165,products!$A$1:$G$49,6,FALSE)</f>
        <v>1.3424999999999998</v>
      </c>
      <c r="M165">
        <f>VLOOKUP('Combined table'!B165,products!$A$1:$G$49,7,FALSE)</f>
        <v>0.16109999999999997</v>
      </c>
      <c r="N165" t="str">
        <f>TEXT(A165,"mmm yyyy")</f>
        <v>Jun 2019</v>
      </c>
      <c r="O165">
        <f t="shared" si="2"/>
        <v>16.11</v>
      </c>
    </row>
    <row r="166" spans="1:15" x14ac:dyDescent="0.25">
      <c r="A166" s="3">
        <v>44182</v>
      </c>
      <c r="B166" t="s">
        <v>6144</v>
      </c>
      <c r="C166" s="2">
        <v>4</v>
      </c>
      <c r="D166" s="2" t="s">
        <v>1415</v>
      </c>
      <c r="E166" s="2" t="s">
        <v>1419</v>
      </c>
      <c r="F166" s="2" t="s">
        <v>318</v>
      </c>
      <c r="G166" t="s">
        <v>6191</v>
      </c>
      <c r="H166" t="str">
        <f>VLOOKUP('Combined table'!B166,products!$A$1:$G$49,2,FALSE)</f>
        <v>Exc</v>
      </c>
      <c r="I166" t="str">
        <f>VLOOKUP('Combined table'!B166,products!$A$1:$G$49,3,FALSE)</f>
        <v>D</v>
      </c>
      <c r="J166">
        <f>VLOOKUP('Combined table'!B166,products!$A$1:$G$49,4,FALSE)</f>
        <v>0.5</v>
      </c>
      <c r="K166">
        <f>VLOOKUP('Combined table'!B166,products!$A$1:$G$49,5,FALSE)</f>
        <v>7.29</v>
      </c>
      <c r="L166">
        <f>VLOOKUP('Combined table'!B166,products!$A$1:$G$49,6,FALSE)</f>
        <v>1.458</v>
      </c>
      <c r="M166">
        <f>VLOOKUP('Combined table'!B166,products!$A$1:$G$49,7,FALSE)</f>
        <v>0.80190000000000006</v>
      </c>
      <c r="N166" t="str">
        <f>TEXT(A166,"mmm yyyy")</f>
        <v>Dec 2020</v>
      </c>
      <c r="O166">
        <f t="shared" si="2"/>
        <v>29.16</v>
      </c>
    </row>
    <row r="167" spans="1:15" x14ac:dyDescent="0.25">
      <c r="A167" s="3">
        <v>44234</v>
      </c>
      <c r="B167" t="s">
        <v>6177</v>
      </c>
      <c r="C167" s="2">
        <v>6</v>
      </c>
      <c r="D167" s="2" t="s">
        <v>1422</v>
      </c>
      <c r="E167" s="2" t="s">
        <v>163</v>
      </c>
      <c r="F167" s="2" t="s">
        <v>19</v>
      </c>
      <c r="G167" t="s">
        <v>6190</v>
      </c>
      <c r="H167" t="str">
        <f>VLOOKUP('Combined table'!B167,products!$A$1:$G$49,2,FALSE)</f>
        <v>Rob</v>
      </c>
      <c r="I167" t="str">
        <f>VLOOKUP('Combined table'!B167,products!$A$1:$G$49,3,FALSE)</f>
        <v>D</v>
      </c>
      <c r="J167">
        <f>VLOOKUP('Combined table'!B167,products!$A$1:$G$49,4,FALSE)</f>
        <v>1</v>
      </c>
      <c r="K167">
        <f>VLOOKUP('Combined table'!B167,products!$A$1:$G$49,5,FALSE)</f>
        <v>8.9499999999999993</v>
      </c>
      <c r="L167">
        <f>VLOOKUP('Combined table'!B167,products!$A$1:$G$49,6,FALSE)</f>
        <v>0.89499999999999991</v>
      </c>
      <c r="M167">
        <f>VLOOKUP('Combined table'!B167,products!$A$1:$G$49,7,FALSE)</f>
        <v>0.53699999999999992</v>
      </c>
      <c r="N167" t="str">
        <f>TEXT(A167,"mmm yyyy")</f>
        <v>Feb 2021</v>
      </c>
      <c r="O167">
        <f t="shared" si="2"/>
        <v>53.699999999999996</v>
      </c>
    </row>
    <row r="168" spans="1:15" x14ac:dyDescent="0.25">
      <c r="A168" s="3">
        <v>44270</v>
      </c>
      <c r="B168" t="s">
        <v>6172</v>
      </c>
      <c r="C168" s="2">
        <v>5</v>
      </c>
      <c r="D168" s="2" t="s">
        <v>1427</v>
      </c>
      <c r="E168" s="2" t="s">
        <v>209</v>
      </c>
      <c r="F168" s="2" t="s">
        <v>19</v>
      </c>
      <c r="G168" t="s">
        <v>6190</v>
      </c>
      <c r="H168" t="str">
        <f>VLOOKUP('Combined table'!B168,products!$A$1:$G$49,2,FALSE)</f>
        <v>Rob</v>
      </c>
      <c r="I168" t="str">
        <f>VLOOKUP('Combined table'!B168,products!$A$1:$G$49,3,FALSE)</f>
        <v>D</v>
      </c>
      <c r="J168">
        <f>VLOOKUP('Combined table'!B168,products!$A$1:$G$49,4,FALSE)</f>
        <v>0.5</v>
      </c>
      <c r="K168">
        <f>VLOOKUP('Combined table'!B168,products!$A$1:$G$49,5,FALSE)</f>
        <v>5.3699999999999992</v>
      </c>
      <c r="L168">
        <f>VLOOKUP('Combined table'!B168,products!$A$1:$G$49,6,FALSE)</f>
        <v>1.0739999999999998</v>
      </c>
      <c r="M168">
        <f>VLOOKUP('Combined table'!B168,products!$A$1:$G$49,7,FALSE)</f>
        <v>0.32219999999999993</v>
      </c>
      <c r="N168" t="str">
        <f>TEXT(A168,"mmm yyyy")</f>
        <v>Mar 2021</v>
      </c>
      <c r="O168">
        <f t="shared" si="2"/>
        <v>26.849999999999994</v>
      </c>
    </row>
    <row r="169" spans="1:15" x14ac:dyDescent="0.25">
      <c r="A169" s="3">
        <v>44777</v>
      </c>
      <c r="B169" t="s">
        <v>6139</v>
      </c>
      <c r="C169" s="2">
        <v>5</v>
      </c>
      <c r="D169" s="2" t="s">
        <v>1432</v>
      </c>
      <c r="E169" s="2" t="s">
        <v>163</v>
      </c>
      <c r="F169" s="2" t="s">
        <v>19</v>
      </c>
      <c r="G169" t="s">
        <v>6190</v>
      </c>
      <c r="H169" t="str">
        <f>VLOOKUP('Combined table'!B169,products!$A$1:$G$49,2,FALSE)</f>
        <v>Exc</v>
      </c>
      <c r="I169" t="str">
        <f>VLOOKUP('Combined table'!B169,products!$A$1:$G$49,3,FALSE)</f>
        <v>M</v>
      </c>
      <c r="J169">
        <f>VLOOKUP('Combined table'!B169,products!$A$1:$G$49,4,FALSE)</f>
        <v>0.5</v>
      </c>
      <c r="K169">
        <f>VLOOKUP('Combined table'!B169,products!$A$1:$G$49,5,FALSE)</f>
        <v>8.25</v>
      </c>
      <c r="L169">
        <f>VLOOKUP('Combined table'!B169,products!$A$1:$G$49,6,FALSE)</f>
        <v>1.65</v>
      </c>
      <c r="M169">
        <f>VLOOKUP('Combined table'!B169,products!$A$1:$G$49,7,FALSE)</f>
        <v>0.90749999999999997</v>
      </c>
      <c r="N169" t="str">
        <f>TEXT(A169,"mmm yyyy")</f>
        <v>Aug 2022</v>
      </c>
      <c r="O169">
        <f t="shared" si="2"/>
        <v>41.25</v>
      </c>
    </row>
    <row r="170" spans="1:15" x14ac:dyDescent="0.25">
      <c r="A170" s="3">
        <v>43484</v>
      </c>
      <c r="B170" t="s">
        <v>6157</v>
      </c>
      <c r="C170" s="2">
        <v>6</v>
      </c>
      <c r="D170" s="2" t="s">
        <v>1438</v>
      </c>
      <c r="E170" s="2" t="s">
        <v>1419</v>
      </c>
      <c r="F170" s="2" t="s">
        <v>318</v>
      </c>
      <c r="G170" t="s">
        <v>6191</v>
      </c>
      <c r="H170" t="str">
        <f>VLOOKUP('Combined table'!B170,products!$A$1:$G$49,2,FALSE)</f>
        <v>Ara</v>
      </c>
      <c r="I170" t="str">
        <f>VLOOKUP('Combined table'!B170,products!$A$1:$G$49,3,FALSE)</f>
        <v>M</v>
      </c>
      <c r="J170">
        <f>VLOOKUP('Combined table'!B170,products!$A$1:$G$49,4,FALSE)</f>
        <v>0.5</v>
      </c>
      <c r="K170">
        <f>VLOOKUP('Combined table'!B170,products!$A$1:$G$49,5,FALSE)</f>
        <v>6.75</v>
      </c>
      <c r="L170">
        <f>VLOOKUP('Combined table'!B170,products!$A$1:$G$49,6,FALSE)</f>
        <v>1.35</v>
      </c>
      <c r="M170">
        <f>VLOOKUP('Combined table'!B170,products!$A$1:$G$49,7,FALSE)</f>
        <v>0.60749999999999993</v>
      </c>
      <c r="N170" t="str">
        <f>TEXT(A170,"mmm yyyy")</f>
        <v>Jan 2019</v>
      </c>
      <c r="O170">
        <f t="shared" si="2"/>
        <v>40.5</v>
      </c>
    </row>
    <row r="171" spans="1:15" x14ac:dyDescent="0.25">
      <c r="A171" s="3">
        <v>44643</v>
      </c>
      <c r="B171" t="s">
        <v>6177</v>
      </c>
      <c r="C171" s="2">
        <v>2</v>
      </c>
      <c r="D171" s="2" t="s">
        <v>1443</v>
      </c>
      <c r="E171" s="2" t="s">
        <v>1447</v>
      </c>
      <c r="F171" s="2" t="s">
        <v>318</v>
      </c>
      <c r="G171" t="s">
        <v>6191</v>
      </c>
      <c r="H171" t="str">
        <f>VLOOKUP('Combined table'!B171,products!$A$1:$G$49,2,FALSE)</f>
        <v>Rob</v>
      </c>
      <c r="I171" t="str">
        <f>VLOOKUP('Combined table'!B171,products!$A$1:$G$49,3,FALSE)</f>
        <v>D</v>
      </c>
      <c r="J171">
        <f>VLOOKUP('Combined table'!B171,products!$A$1:$G$49,4,FALSE)</f>
        <v>1</v>
      </c>
      <c r="K171">
        <f>VLOOKUP('Combined table'!B171,products!$A$1:$G$49,5,FALSE)</f>
        <v>8.9499999999999993</v>
      </c>
      <c r="L171">
        <f>VLOOKUP('Combined table'!B171,products!$A$1:$G$49,6,FALSE)</f>
        <v>0.89499999999999991</v>
      </c>
      <c r="M171">
        <f>VLOOKUP('Combined table'!B171,products!$A$1:$G$49,7,FALSE)</f>
        <v>0.53699999999999992</v>
      </c>
      <c r="N171" t="str">
        <f>TEXT(A171,"mmm yyyy")</f>
        <v>Mar 2022</v>
      </c>
      <c r="O171">
        <f t="shared" si="2"/>
        <v>17.899999999999999</v>
      </c>
    </row>
    <row r="172" spans="1:15" x14ac:dyDescent="0.25">
      <c r="A172" s="3">
        <v>44476</v>
      </c>
      <c r="B172" t="s">
        <v>6148</v>
      </c>
      <c r="C172" s="2">
        <v>2</v>
      </c>
      <c r="D172" s="2" t="s">
        <v>1450</v>
      </c>
      <c r="E172" s="2" t="s">
        <v>102</v>
      </c>
      <c r="F172" s="2" t="s">
        <v>28</v>
      </c>
      <c r="G172" t="s">
        <v>6191</v>
      </c>
      <c r="H172" t="str">
        <f>VLOOKUP('Combined table'!B172,products!$A$1:$G$49,2,FALSE)</f>
        <v>Exc</v>
      </c>
      <c r="I172" t="str">
        <f>VLOOKUP('Combined table'!B172,products!$A$1:$G$49,3,FALSE)</f>
        <v>L</v>
      </c>
      <c r="J172">
        <f>VLOOKUP('Combined table'!B172,products!$A$1:$G$49,4,FALSE)</f>
        <v>2.5</v>
      </c>
      <c r="K172">
        <f>VLOOKUP('Combined table'!B172,products!$A$1:$G$49,5,FALSE)</f>
        <v>34.154999999999994</v>
      </c>
      <c r="L172">
        <f>VLOOKUP('Combined table'!B172,products!$A$1:$G$49,6,FALSE)</f>
        <v>1.3661999999999999</v>
      </c>
      <c r="M172">
        <f>VLOOKUP('Combined table'!B172,products!$A$1:$G$49,7,FALSE)</f>
        <v>3.7570499999999996</v>
      </c>
      <c r="N172" t="str">
        <f>TEXT(A172,"mmm yyyy")</f>
        <v>Oct 2021</v>
      </c>
      <c r="O172">
        <f t="shared" si="2"/>
        <v>68.309999999999988</v>
      </c>
    </row>
    <row r="173" spans="1:15" x14ac:dyDescent="0.25">
      <c r="A173" s="3">
        <v>43544</v>
      </c>
      <c r="B173" t="s">
        <v>6166</v>
      </c>
      <c r="C173" s="2">
        <v>2</v>
      </c>
      <c r="D173" s="2" t="s">
        <v>1455</v>
      </c>
      <c r="E173" s="2" t="s">
        <v>137</v>
      </c>
      <c r="F173" s="2" t="s">
        <v>19</v>
      </c>
      <c r="G173" t="s">
        <v>6190</v>
      </c>
      <c r="H173" t="str">
        <f>VLOOKUP('Combined table'!B173,products!$A$1:$G$49,2,FALSE)</f>
        <v>Exc</v>
      </c>
      <c r="I173" t="str">
        <f>VLOOKUP('Combined table'!B173,products!$A$1:$G$49,3,FALSE)</f>
        <v>M</v>
      </c>
      <c r="J173">
        <f>VLOOKUP('Combined table'!B173,products!$A$1:$G$49,4,FALSE)</f>
        <v>2.5</v>
      </c>
      <c r="K173">
        <f>VLOOKUP('Combined table'!B173,products!$A$1:$G$49,5,FALSE)</f>
        <v>31.624999999999996</v>
      </c>
      <c r="L173">
        <f>VLOOKUP('Combined table'!B173,products!$A$1:$G$49,6,FALSE)</f>
        <v>1.2649999999999999</v>
      </c>
      <c r="M173">
        <f>VLOOKUP('Combined table'!B173,products!$A$1:$G$49,7,FALSE)</f>
        <v>3.4787499999999998</v>
      </c>
      <c r="N173" t="str">
        <f>TEXT(A173,"mmm yyyy")</f>
        <v>Mar 2019</v>
      </c>
      <c r="O173">
        <f t="shared" si="2"/>
        <v>63.249999999999993</v>
      </c>
    </row>
    <row r="174" spans="1:15" x14ac:dyDescent="0.25">
      <c r="A174" s="3">
        <v>44545</v>
      </c>
      <c r="B174" t="s">
        <v>6144</v>
      </c>
      <c r="C174" s="2">
        <v>3</v>
      </c>
      <c r="D174" s="2" t="s">
        <v>1461</v>
      </c>
      <c r="E174" s="2" t="s">
        <v>440</v>
      </c>
      <c r="F174" s="2" t="s">
        <v>318</v>
      </c>
      <c r="G174" t="s">
        <v>6191</v>
      </c>
      <c r="H174" t="str">
        <f>VLOOKUP('Combined table'!B174,products!$A$1:$G$49,2,FALSE)</f>
        <v>Exc</v>
      </c>
      <c r="I174" t="str">
        <f>VLOOKUP('Combined table'!B174,products!$A$1:$G$49,3,FALSE)</f>
        <v>D</v>
      </c>
      <c r="J174">
        <f>VLOOKUP('Combined table'!B174,products!$A$1:$G$49,4,FALSE)</f>
        <v>0.5</v>
      </c>
      <c r="K174">
        <f>VLOOKUP('Combined table'!B174,products!$A$1:$G$49,5,FALSE)</f>
        <v>7.29</v>
      </c>
      <c r="L174">
        <f>VLOOKUP('Combined table'!B174,products!$A$1:$G$49,6,FALSE)</f>
        <v>1.458</v>
      </c>
      <c r="M174">
        <f>VLOOKUP('Combined table'!B174,products!$A$1:$G$49,7,FALSE)</f>
        <v>0.80190000000000006</v>
      </c>
      <c r="N174" t="str">
        <f>TEXT(A174,"mmm yyyy")</f>
        <v>Dec 2021</v>
      </c>
      <c r="O174">
        <f t="shared" si="2"/>
        <v>21.87</v>
      </c>
    </row>
    <row r="175" spans="1:15" x14ac:dyDescent="0.25">
      <c r="A175" s="3">
        <v>44720</v>
      </c>
      <c r="B175" t="s">
        <v>6151</v>
      </c>
      <c r="C175" s="2">
        <v>4</v>
      </c>
      <c r="D175" s="2" t="s">
        <v>1466</v>
      </c>
      <c r="E175" s="2" t="s">
        <v>187</v>
      </c>
      <c r="F175" s="2" t="s">
        <v>19</v>
      </c>
      <c r="G175" t="s">
        <v>6191</v>
      </c>
      <c r="H175" t="str">
        <f>VLOOKUP('Combined table'!B175,products!$A$1:$G$49,2,FALSE)</f>
        <v>Rob</v>
      </c>
      <c r="I175" t="str">
        <f>VLOOKUP('Combined table'!B175,products!$A$1:$G$49,3,FALSE)</f>
        <v>M</v>
      </c>
      <c r="J175">
        <f>VLOOKUP('Combined table'!B175,products!$A$1:$G$49,4,FALSE)</f>
        <v>2.5</v>
      </c>
      <c r="K175">
        <f>VLOOKUP('Combined table'!B175,products!$A$1:$G$49,5,FALSE)</f>
        <v>22.884999999999998</v>
      </c>
      <c r="L175">
        <f>VLOOKUP('Combined table'!B175,products!$A$1:$G$49,6,FALSE)</f>
        <v>0.91539999999999988</v>
      </c>
      <c r="M175">
        <f>VLOOKUP('Combined table'!B175,products!$A$1:$G$49,7,FALSE)</f>
        <v>1.3730999999999998</v>
      </c>
      <c r="N175" t="str">
        <f>TEXT(A175,"mmm yyyy")</f>
        <v>Jun 2022</v>
      </c>
      <c r="O175">
        <f t="shared" si="2"/>
        <v>91.539999999999992</v>
      </c>
    </row>
    <row r="176" spans="1:15" x14ac:dyDescent="0.25">
      <c r="A176" s="3">
        <v>43813</v>
      </c>
      <c r="B176" t="s">
        <v>6148</v>
      </c>
      <c r="C176" s="2">
        <v>6</v>
      </c>
      <c r="D176" s="2" t="s">
        <v>1472</v>
      </c>
      <c r="E176" s="2" t="s">
        <v>351</v>
      </c>
      <c r="F176" s="2" t="s">
        <v>19</v>
      </c>
      <c r="G176" t="s">
        <v>6190</v>
      </c>
      <c r="H176" t="str">
        <f>VLOOKUP('Combined table'!B176,products!$A$1:$G$49,2,FALSE)</f>
        <v>Exc</v>
      </c>
      <c r="I176" t="str">
        <f>VLOOKUP('Combined table'!B176,products!$A$1:$G$49,3,FALSE)</f>
        <v>L</v>
      </c>
      <c r="J176">
        <f>VLOOKUP('Combined table'!B176,products!$A$1:$G$49,4,FALSE)</f>
        <v>2.5</v>
      </c>
      <c r="K176">
        <f>VLOOKUP('Combined table'!B176,products!$A$1:$G$49,5,FALSE)</f>
        <v>34.154999999999994</v>
      </c>
      <c r="L176">
        <f>VLOOKUP('Combined table'!B176,products!$A$1:$G$49,6,FALSE)</f>
        <v>1.3661999999999999</v>
      </c>
      <c r="M176">
        <f>VLOOKUP('Combined table'!B176,products!$A$1:$G$49,7,FALSE)</f>
        <v>3.7570499999999996</v>
      </c>
      <c r="N176" t="str">
        <f>TEXT(A176,"mmm yyyy")</f>
        <v>Dec 2019</v>
      </c>
      <c r="O176">
        <f t="shared" si="2"/>
        <v>204.92999999999995</v>
      </c>
    </row>
    <row r="177" spans="1:15" x14ac:dyDescent="0.25">
      <c r="A177" s="3">
        <v>44296</v>
      </c>
      <c r="B177" t="s">
        <v>6166</v>
      </c>
      <c r="C177" s="2">
        <v>2</v>
      </c>
      <c r="D177" s="2" t="s">
        <v>1477</v>
      </c>
      <c r="E177" s="2" t="s">
        <v>167</v>
      </c>
      <c r="F177" s="2" t="s">
        <v>19</v>
      </c>
      <c r="G177" t="s">
        <v>6190</v>
      </c>
      <c r="H177" t="str">
        <f>VLOOKUP('Combined table'!B177,products!$A$1:$G$49,2,FALSE)</f>
        <v>Exc</v>
      </c>
      <c r="I177" t="str">
        <f>VLOOKUP('Combined table'!B177,products!$A$1:$G$49,3,FALSE)</f>
        <v>M</v>
      </c>
      <c r="J177">
        <f>VLOOKUP('Combined table'!B177,products!$A$1:$G$49,4,FALSE)</f>
        <v>2.5</v>
      </c>
      <c r="K177">
        <f>VLOOKUP('Combined table'!B177,products!$A$1:$G$49,5,FALSE)</f>
        <v>31.624999999999996</v>
      </c>
      <c r="L177">
        <f>VLOOKUP('Combined table'!B177,products!$A$1:$G$49,6,FALSE)</f>
        <v>1.2649999999999999</v>
      </c>
      <c r="M177">
        <f>VLOOKUP('Combined table'!B177,products!$A$1:$G$49,7,FALSE)</f>
        <v>3.4787499999999998</v>
      </c>
      <c r="N177" t="str">
        <f>TEXT(A177,"mmm yyyy")</f>
        <v>Apr 2021</v>
      </c>
      <c r="O177">
        <f t="shared" si="2"/>
        <v>63.249999999999993</v>
      </c>
    </row>
    <row r="178" spans="1:15" x14ac:dyDescent="0.25">
      <c r="A178" s="3">
        <v>43900</v>
      </c>
      <c r="B178" t="s">
        <v>6148</v>
      </c>
      <c r="C178" s="2">
        <v>1</v>
      </c>
      <c r="D178" s="2" t="s">
        <v>1483</v>
      </c>
      <c r="E178" s="2" t="s">
        <v>146</v>
      </c>
      <c r="F178" s="2" t="s">
        <v>19</v>
      </c>
      <c r="G178" t="s">
        <v>6190</v>
      </c>
      <c r="H178" t="str">
        <f>VLOOKUP('Combined table'!B178,products!$A$1:$G$49,2,FALSE)</f>
        <v>Exc</v>
      </c>
      <c r="I178" t="str">
        <f>VLOOKUP('Combined table'!B178,products!$A$1:$G$49,3,FALSE)</f>
        <v>L</v>
      </c>
      <c r="J178">
        <f>VLOOKUP('Combined table'!B178,products!$A$1:$G$49,4,FALSE)</f>
        <v>2.5</v>
      </c>
      <c r="K178">
        <f>VLOOKUP('Combined table'!B178,products!$A$1:$G$49,5,FALSE)</f>
        <v>34.154999999999994</v>
      </c>
      <c r="L178">
        <f>VLOOKUP('Combined table'!B178,products!$A$1:$G$49,6,FALSE)</f>
        <v>1.3661999999999999</v>
      </c>
      <c r="M178">
        <f>VLOOKUP('Combined table'!B178,products!$A$1:$G$49,7,FALSE)</f>
        <v>3.7570499999999996</v>
      </c>
      <c r="N178" t="str">
        <f>TEXT(A178,"mmm yyyy")</f>
        <v>Mar 2020</v>
      </c>
      <c r="O178">
        <f t="shared" si="2"/>
        <v>34.154999999999994</v>
      </c>
    </row>
    <row r="179" spans="1:15" x14ac:dyDescent="0.25">
      <c r="A179" s="3">
        <v>44120</v>
      </c>
      <c r="B179" t="s">
        <v>6142</v>
      </c>
      <c r="C179" s="2">
        <v>4</v>
      </c>
      <c r="D179" s="2" t="s">
        <v>1489</v>
      </c>
      <c r="E179" s="2" t="s">
        <v>193</v>
      </c>
      <c r="F179" s="2" t="s">
        <v>19</v>
      </c>
      <c r="G179" t="s">
        <v>6190</v>
      </c>
      <c r="H179" t="str">
        <f>VLOOKUP('Combined table'!B179,products!$A$1:$G$49,2,FALSE)</f>
        <v>Rob</v>
      </c>
      <c r="I179" t="str">
        <f>VLOOKUP('Combined table'!B179,products!$A$1:$G$49,3,FALSE)</f>
        <v>L</v>
      </c>
      <c r="J179">
        <f>VLOOKUP('Combined table'!B179,products!$A$1:$G$49,4,FALSE)</f>
        <v>2.5</v>
      </c>
      <c r="K179">
        <f>VLOOKUP('Combined table'!B179,products!$A$1:$G$49,5,FALSE)</f>
        <v>27.484999999999996</v>
      </c>
      <c r="L179">
        <f>VLOOKUP('Combined table'!B179,products!$A$1:$G$49,6,FALSE)</f>
        <v>1.0993999999999999</v>
      </c>
      <c r="M179">
        <f>VLOOKUP('Combined table'!B179,products!$A$1:$G$49,7,FALSE)</f>
        <v>1.6490999999999998</v>
      </c>
      <c r="N179" t="str">
        <f>TEXT(A179,"mmm yyyy")</f>
        <v>Oct 2020</v>
      </c>
      <c r="O179">
        <f t="shared" si="2"/>
        <v>109.93999999999998</v>
      </c>
    </row>
    <row r="180" spans="1:15" x14ac:dyDescent="0.25">
      <c r="A180" s="3">
        <v>43746</v>
      </c>
      <c r="B180" t="s">
        <v>6140</v>
      </c>
      <c r="C180" s="2">
        <v>2</v>
      </c>
      <c r="D180" s="2" t="s">
        <v>1494</v>
      </c>
      <c r="E180" s="2" t="s">
        <v>219</v>
      </c>
      <c r="F180" s="2" t="s">
        <v>19</v>
      </c>
      <c r="G180" t="s">
        <v>6191</v>
      </c>
      <c r="H180" t="str">
        <f>VLOOKUP('Combined table'!B180,products!$A$1:$G$49,2,FALSE)</f>
        <v>Ara</v>
      </c>
      <c r="I180" t="str">
        <f>VLOOKUP('Combined table'!B180,products!$A$1:$G$49,3,FALSE)</f>
        <v>L</v>
      </c>
      <c r="J180">
        <f>VLOOKUP('Combined table'!B180,products!$A$1:$G$49,4,FALSE)</f>
        <v>1</v>
      </c>
      <c r="K180">
        <f>VLOOKUP('Combined table'!B180,products!$A$1:$G$49,5,FALSE)</f>
        <v>12.95</v>
      </c>
      <c r="L180">
        <f>VLOOKUP('Combined table'!B180,products!$A$1:$G$49,6,FALSE)</f>
        <v>1.2949999999999999</v>
      </c>
      <c r="M180">
        <f>VLOOKUP('Combined table'!B180,products!$A$1:$G$49,7,FALSE)</f>
        <v>1.1655</v>
      </c>
      <c r="N180" t="str">
        <f>TEXT(A180,"mmm yyyy")</f>
        <v>Oct 2019</v>
      </c>
      <c r="O180">
        <f t="shared" si="2"/>
        <v>25.9</v>
      </c>
    </row>
    <row r="181" spans="1:15" x14ac:dyDescent="0.25">
      <c r="A181" s="3">
        <v>43830</v>
      </c>
      <c r="B181" t="s">
        <v>6154</v>
      </c>
      <c r="C181" s="2">
        <v>1</v>
      </c>
      <c r="D181" s="2" t="s">
        <v>1500</v>
      </c>
      <c r="E181" s="2" t="s">
        <v>362</v>
      </c>
      <c r="F181" s="2" t="s">
        <v>318</v>
      </c>
      <c r="G181" t="s">
        <v>6191</v>
      </c>
      <c r="H181" t="str">
        <f>VLOOKUP('Combined table'!B181,products!$A$1:$G$49,2,FALSE)</f>
        <v>Ara</v>
      </c>
      <c r="I181" t="str">
        <f>VLOOKUP('Combined table'!B181,products!$A$1:$G$49,3,FALSE)</f>
        <v>D</v>
      </c>
      <c r="J181">
        <f>VLOOKUP('Combined table'!B181,products!$A$1:$G$49,4,FALSE)</f>
        <v>0.2</v>
      </c>
      <c r="K181">
        <f>VLOOKUP('Combined table'!B181,products!$A$1:$G$49,5,FALSE)</f>
        <v>2.9849999999999999</v>
      </c>
      <c r="L181">
        <f>VLOOKUP('Combined table'!B181,products!$A$1:$G$49,6,FALSE)</f>
        <v>1.4924999999999999</v>
      </c>
      <c r="M181">
        <f>VLOOKUP('Combined table'!B181,products!$A$1:$G$49,7,FALSE)</f>
        <v>0.26865</v>
      </c>
      <c r="N181" t="str">
        <f>TEXT(A181,"mmm yyyy")</f>
        <v>Dec 2019</v>
      </c>
      <c r="O181">
        <f t="shared" si="2"/>
        <v>2.9849999999999999</v>
      </c>
    </row>
    <row r="182" spans="1:15" x14ac:dyDescent="0.25">
      <c r="A182" s="3">
        <v>43910</v>
      </c>
      <c r="B182" t="s">
        <v>6184</v>
      </c>
      <c r="C182" s="2">
        <v>5</v>
      </c>
      <c r="D182" s="2" t="s">
        <v>1505</v>
      </c>
      <c r="E182" s="2" t="s">
        <v>139</v>
      </c>
      <c r="F182" s="2" t="s">
        <v>19</v>
      </c>
      <c r="G182" t="s">
        <v>6191</v>
      </c>
      <c r="H182" t="str">
        <f>VLOOKUP('Combined table'!B182,products!$A$1:$G$49,2,FALSE)</f>
        <v>Exc</v>
      </c>
      <c r="I182" t="str">
        <f>VLOOKUP('Combined table'!B182,products!$A$1:$G$49,3,FALSE)</f>
        <v>L</v>
      </c>
      <c r="J182">
        <f>VLOOKUP('Combined table'!B182,products!$A$1:$G$49,4,FALSE)</f>
        <v>0.2</v>
      </c>
      <c r="K182">
        <f>VLOOKUP('Combined table'!B182,products!$A$1:$G$49,5,FALSE)</f>
        <v>4.4550000000000001</v>
      </c>
      <c r="L182">
        <f>VLOOKUP('Combined table'!B182,products!$A$1:$G$49,6,FALSE)</f>
        <v>2.2275</v>
      </c>
      <c r="M182">
        <f>VLOOKUP('Combined table'!B182,products!$A$1:$G$49,7,FALSE)</f>
        <v>0.49004999999999999</v>
      </c>
      <c r="N182" t="str">
        <f>TEXT(A182,"mmm yyyy")</f>
        <v>Mar 2020</v>
      </c>
      <c r="O182">
        <f t="shared" si="2"/>
        <v>22.274999999999999</v>
      </c>
    </row>
    <row r="183" spans="1:15" x14ac:dyDescent="0.25">
      <c r="A183" s="3">
        <v>43910</v>
      </c>
      <c r="B183" t="s">
        <v>6158</v>
      </c>
      <c r="C183" s="2">
        <v>5</v>
      </c>
      <c r="D183" s="2" t="s">
        <v>1510</v>
      </c>
      <c r="E183" s="2" t="s">
        <v>83</v>
      </c>
      <c r="F183" s="2" t="s">
        <v>19</v>
      </c>
      <c r="G183" t="s">
        <v>6191</v>
      </c>
      <c r="H183" t="str">
        <f>VLOOKUP('Combined table'!B183,products!$A$1:$G$49,2,FALSE)</f>
        <v>Ara</v>
      </c>
      <c r="I183" t="str">
        <f>VLOOKUP('Combined table'!B183,products!$A$1:$G$49,3,FALSE)</f>
        <v>D</v>
      </c>
      <c r="J183">
        <f>VLOOKUP('Combined table'!B183,products!$A$1:$G$49,4,FALSE)</f>
        <v>0.5</v>
      </c>
      <c r="K183">
        <f>VLOOKUP('Combined table'!B183,products!$A$1:$G$49,5,FALSE)</f>
        <v>5.97</v>
      </c>
      <c r="L183">
        <f>VLOOKUP('Combined table'!B183,products!$A$1:$G$49,6,FALSE)</f>
        <v>1.194</v>
      </c>
      <c r="M183">
        <f>VLOOKUP('Combined table'!B183,products!$A$1:$G$49,7,FALSE)</f>
        <v>0.5373</v>
      </c>
      <c r="N183" t="str">
        <f>TEXT(A183,"mmm yyyy")</f>
        <v>Mar 2020</v>
      </c>
      <c r="O183">
        <f t="shared" si="2"/>
        <v>29.849999999999998</v>
      </c>
    </row>
    <row r="184" spans="1:15" x14ac:dyDescent="0.25">
      <c r="A184" s="3">
        <v>44284</v>
      </c>
      <c r="B184" t="s">
        <v>6172</v>
      </c>
      <c r="C184" s="2">
        <v>6</v>
      </c>
      <c r="D184" s="2" t="s">
        <v>1516</v>
      </c>
      <c r="E184" s="2" t="s">
        <v>232</v>
      </c>
      <c r="F184" s="2" t="s">
        <v>19</v>
      </c>
      <c r="G184" t="s">
        <v>6191</v>
      </c>
      <c r="H184" t="str">
        <f>VLOOKUP('Combined table'!B184,products!$A$1:$G$49,2,FALSE)</f>
        <v>Rob</v>
      </c>
      <c r="I184" t="str">
        <f>VLOOKUP('Combined table'!B184,products!$A$1:$G$49,3,FALSE)</f>
        <v>D</v>
      </c>
      <c r="J184">
        <f>VLOOKUP('Combined table'!B184,products!$A$1:$G$49,4,FALSE)</f>
        <v>0.5</v>
      </c>
      <c r="K184">
        <f>VLOOKUP('Combined table'!B184,products!$A$1:$G$49,5,FALSE)</f>
        <v>5.3699999999999992</v>
      </c>
      <c r="L184">
        <f>VLOOKUP('Combined table'!B184,products!$A$1:$G$49,6,FALSE)</f>
        <v>1.0739999999999998</v>
      </c>
      <c r="M184">
        <f>VLOOKUP('Combined table'!B184,products!$A$1:$G$49,7,FALSE)</f>
        <v>0.32219999999999993</v>
      </c>
      <c r="N184" t="str">
        <f>TEXT(A184,"mmm yyyy")</f>
        <v>Mar 2021</v>
      </c>
      <c r="O184">
        <f t="shared" si="2"/>
        <v>32.22</v>
      </c>
    </row>
    <row r="185" spans="1:15" x14ac:dyDescent="0.25">
      <c r="A185" s="3">
        <v>44512</v>
      </c>
      <c r="B185" t="s">
        <v>6156</v>
      </c>
      <c r="C185" s="2">
        <v>2</v>
      </c>
      <c r="D185" s="2" t="s">
        <v>1522</v>
      </c>
      <c r="E185" s="2" t="s">
        <v>115</v>
      </c>
      <c r="F185" s="2" t="s">
        <v>19</v>
      </c>
      <c r="G185" t="s">
        <v>6191</v>
      </c>
      <c r="H185" t="str">
        <f>VLOOKUP('Combined table'!B185,products!$A$1:$G$49,2,FALSE)</f>
        <v>Exc</v>
      </c>
      <c r="I185" t="str">
        <f>VLOOKUP('Combined table'!B185,products!$A$1:$G$49,3,FALSE)</f>
        <v>M</v>
      </c>
      <c r="J185">
        <f>VLOOKUP('Combined table'!B185,products!$A$1:$G$49,4,FALSE)</f>
        <v>0.2</v>
      </c>
      <c r="K185">
        <f>VLOOKUP('Combined table'!B185,products!$A$1:$G$49,5,FALSE)</f>
        <v>4.125</v>
      </c>
      <c r="L185">
        <f>VLOOKUP('Combined table'!B185,products!$A$1:$G$49,6,FALSE)</f>
        <v>2.0625</v>
      </c>
      <c r="M185">
        <f>VLOOKUP('Combined table'!B185,products!$A$1:$G$49,7,FALSE)</f>
        <v>0.45374999999999999</v>
      </c>
      <c r="N185" t="str">
        <f>TEXT(A185,"mmm yyyy")</f>
        <v>Nov 2021</v>
      </c>
      <c r="O185">
        <f t="shared" si="2"/>
        <v>8.25</v>
      </c>
    </row>
    <row r="186" spans="1:15" x14ac:dyDescent="0.25">
      <c r="A186" s="3">
        <v>44397</v>
      </c>
      <c r="B186" t="s">
        <v>6180</v>
      </c>
      <c r="C186" s="2">
        <v>4</v>
      </c>
      <c r="D186" s="2" t="s">
        <v>1528</v>
      </c>
      <c r="E186" s="2" t="s">
        <v>33</v>
      </c>
      <c r="F186" s="2" t="s">
        <v>19</v>
      </c>
      <c r="G186" t="s">
        <v>6191</v>
      </c>
      <c r="H186" t="str">
        <f>VLOOKUP('Combined table'!B186,products!$A$1:$G$49,2,FALSE)</f>
        <v>Ara</v>
      </c>
      <c r="I186" t="str">
        <f>VLOOKUP('Combined table'!B186,products!$A$1:$G$49,3,FALSE)</f>
        <v>L</v>
      </c>
      <c r="J186">
        <f>VLOOKUP('Combined table'!B186,products!$A$1:$G$49,4,FALSE)</f>
        <v>0.5</v>
      </c>
      <c r="K186">
        <f>VLOOKUP('Combined table'!B186,products!$A$1:$G$49,5,FALSE)</f>
        <v>7.77</v>
      </c>
      <c r="L186">
        <f>VLOOKUP('Combined table'!B186,products!$A$1:$G$49,6,FALSE)</f>
        <v>1.5539999999999998</v>
      </c>
      <c r="M186">
        <f>VLOOKUP('Combined table'!B186,products!$A$1:$G$49,7,FALSE)</f>
        <v>0.69929999999999992</v>
      </c>
      <c r="N186" t="str">
        <f>TEXT(A186,"mmm yyyy")</f>
        <v>Jul 2021</v>
      </c>
      <c r="O186">
        <f t="shared" si="2"/>
        <v>31.08</v>
      </c>
    </row>
    <row r="187" spans="1:15" x14ac:dyDescent="0.25">
      <c r="A187" s="3">
        <v>43483</v>
      </c>
      <c r="B187" t="s">
        <v>6144</v>
      </c>
      <c r="C187" s="2">
        <v>5</v>
      </c>
      <c r="D187" s="2" t="s">
        <v>1534</v>
      </c>
      <c r="E187" s="2" t="s">
        <v>174</v>
      </c>
      <c r="F187" s="2" t="s">
        <v>19</v>
      </c>
      <c r="G187" t="s">
        <v>6190</v>
      </c>
      <c r="H187" t="str">
        <f>VLOOKUP('Combined table'!B187,products!$A$1:$G$49,2,FALSE)</f>
        <v>Exc</v>
      </c>
      <c r="I187" t="str">
        <f>VLOOKUP('Combined table'!B187,products!$A$1:$G$49,3,FALSE)</f>
        <v>D</v>
      </c>
      <c r="J187">
        <f>VLOOKUP('Combined table'!B187,products!$A$1:$G$49,4,FALSE)</f>
        <v>0.5</v>
      </c>
      <c r="K187">
        <f>VLOOKUP('Combined table'!B187,products!$A$1:$G$49,5,FALSE)</f>
        <v>7.29</v>
      </c>
      <c r="L187">
        <f>VLOOKUP('Combined table'!B187,products!$A$1:$G$49,6,FALSE)</f>
        <v>1.458</v>
      </c>
      <c r="M187">
        <f>VLOOKUP('Combined table'!B187,products!$A$1:$G$49,7,FALSE)</f>
        <v>0.80190000000000006</v>
      </c>
      <c r="N187" t="str">
        <f>TEXT(A187,"mmm yyyy")</f>
        <v>Jan 2019</v>
      </c>
      <c r="O187">
        <f t="shared" si="2"/>
        <v>36.450000000000003</v>
      </c>
    </row>
    <row r="188" spans="1:15" x14ac:dyDescent="0.25">
      <c r="A188" s="3">
        <v>43684</v>
      </c>
      <c r="B188" t="s">
        <v>6151</v>
      </c>
      <c r="C188" s="2">
        <v>3</v>
      </c>
      <c r="D188" s="2" t="s">
        <v>1540</v>
      </c>
      <c r="E188" s="2" t="s">
        <v>141</v>
      </c>
      <c r="F188" s="2" t="s">
        <v>19</v>
      </c>
      <c r="G188" t="s">
        <v>6191</v>
      </c>
      <c r="H188" t="str">
        <f>VLOOKUP('Combined table'!B188,products!$A$1:$G$49,2,FALSE)</f>
        <v>Rob</v>
      </c>
      <c r="I188" t="str">
        <f>VLOOKUP('Combined table'!B188,products!$A$1:$G$49,3,FALSE)</f>
        <v>M</v>
      </c>
      <c r="J188">
        <f>VLOOKUP('Combined table'!B188,products!$A$1:$G$49,4,FALSE)</f>
        <v>2.5</v>
      </c>
      <c r="K188">
        <f>VLOOKUP('Combined table'!B188,products!$A$1:$G$49,5,FALSE)</f>
        <v>22.884999999999998</v>
      </c>
      <c r="L188">
        <f>VLOOKUP('Combined table'!B188,products!$A$1:$G$49,6,FALSE)</f>
        <v>0.91539999999999988</v>
      </c>
      <c r="M188">
        <f>VLOOKUP('Combined table'!B188,products!$A$1:$G$49,7,FALSE)</f>
        <v>1.3730999999999998</v>
      </c>
      <c r="N188" t="str">
        <f>TEXT(A188,"mmm yyyy")</f>
        <v>Aug 2019</v>
      </c>
      <c r="O188">
        <f t="shared" si="2"/>
        <v>68.655000000000001</v>
      </c>
    </row>
    <row r="189" spans="1:15" x14ac:dyDescent="0.25">
      <c r="A189" s="3">
        <v>44633</v>
      </c>
      <c r="B189" t="s">
        <v>6160</v>
      </c>
      <c r="C189" s="2">
        <v>5</v>
      </c>
      <c r="D189" s="2" t="s">
        <v>1546</v>
      </c>
      <c r="E189" s="2" t="s">
        <v>72</v>
      </c>
      <c r="F189" s="2" t="s">
        <v>19</v>
      </c>
      <c r="G189" t="s">
        <v>6190</v>
      </c>
      <c r="H189" t="str">
        <f>VLOOKUP('Combined table'!B189,products!$A$1:$G$49,2,FALSE)</f>
        <v>Lib</v>
      </c>
      <c r="I189" t="str">
        <f>VLOOKUP('Combined table'!B189,products!$A$1:$G$49,3,FALSE)</f>
        <v>M</v>
      </c>
      <c r="J189">
        <f>VLOOKUP('Combined table'!B189,products!$A$1:$G$49,4,FALSE)</f>
        <v>0.5</v>
      </c>
      <c r="K189">
        <f>VLOOKUP('Combined table'!B189,products!$A$1:$G$49,5,FALSE)</f>
        <v>8.73</v>
      </c>
      <c r="L189">
        <f>VLOOKUP('Combined table'!B189,products!$A$1:$G$49,6,FALSE)</f>
        <v>1.746</v>
      </c>
      <c r="M189">
        <f>VLOOKUP('Combined table'!B189,products!$A$1:$G$49,7,FALSE)</f>
        <v>1.1349</v>
      </c>
      <c r="N189" t="str">
        <f>TEXT(A189,"mmm yyyy")</f>
        <v>Mar 2022</v>
      </c>
      <c r="O189">
        <f t="shared" si="2"/>
        <v>43.650000000000006</v>
      </c>
    </row>
    <row r="190" spans="1:15" x14ac:dyDescent="0.25">
      <c r="A190" s="3">
        <v>44698</v>
      </c>
      <c r="B190" t="s">
        <v>6184</v>
      </c>
      <c r="C190" s="2">
        <v>1</v>
      </c>
      <c r="D190" s="2" t="s">
        <v>1551</v>
      </c>
      <c r="E190" s="2" t="s">
        <v>77</v>
      </c>
      <c r="F190" s="2" t="s">
        <v>19</v>
      </c>
      <c r="G190" t="s">
        <v>6190</v>
      </c>
      <c r="H190" t="str">
        <f>VLOOKUP('Combined table'!B190,products!$A$1:$G$49,2,FALSE)</f>
        <v>Exc</v>
      </c>
      <c r="I190" t="str">
        <f>VLOOKUP('Combined table'!B190,products!$A$1:$G$49,3,FALSE)</f>
        <v>L</v>
      </c>
      <c r="J190">
        <f>VLOOKUP('Combined table'!B190,products!$A$1:$G$49,4,FALSE)</f>
        <v>0.2</v>
      </c>
      <c r="K190">
        <f>VLOOKUP('Combined table'!B190,products!$A$1:$G$49,5,FALSE)</f>
        <v>4.4550000000000001</v>
      </c>
      <c r="L190">
        <f>VLOOKUP('Combined table'!B190,products!$A$1:$G$49,6,FALSE)</f>
        <v>2.2275</v>
      </c>
      <c r="M190">
        <f>VLOOKUP('Combined table'!B190,products!$A$1:$G$49,7,FALSE)</f>
        <v>0.49004999999999999</v>
      </c>
      <c r="N190" t="str">
        <f>TEXT(A190,"mmm yyyy")</f>
        <v>May 2022</v>
      </c>
      <c r="O190">
        <f t="shared" si="2"/>
        <v>4.4550000000000001</v>
      </c>
    </row>
    <row r="191" spans="1:15" x14ac:dyDescent="0.25">
      <c r="A191" s="3">
        <v>43813</v>
      </c>
      <c r="B191" t="s">
        <v>6162</v>
      </c>
      <c r="C191" s="2">
        <v>3</v>
      </c>
      <c r="D191" s="2" t="s">
        <v>1557</v>
      </c>
      <c r="E191" s="2" t="s">
        <v>90</v>
      </c>
      <c r="F191" s="2" t="s">
        <v>19</v>
      </c>
      <c r="G191" t="s">
        <v>6190</v>
      </c>
      <c r="H191" t="str">
        <f>VLOOKUP('Combined table'!B191,products!$A$1:$G$49,2,FALSE)</f>
        <v>Lib</v>
      </c>
      <c r="I191" t="str">
        <f>VLOOKUP('Combined table'!B191,products!$A$1:$G$49,3,FALSE)</f>
        <v>M</v>
      </c>
      <c r="J191">
        <f>VLOOKUP('Combined table'!B191,products!$A$1:$G$49,4,FALSE)</f>
        <v>1</v>
      </c>
      <c r="K191">
        <f>VLOOKUP('Combined table'!B191,products!$A$1:$G$49,5,FALSE)</f>
        <v>14.55</v>
      </c>
      <c r="L191">
        <f>VLOOKUP('Combined table'!B191,products!$A$1:$G$49,6,FALSE)</f>
        <v>1.4550000000000001</v>
      </c>
      <c r="M191">
        <f>VLOOKUP('Combined table'!B191,products!$A$1:$G$49,7,FALSE)</f>
        <v>1.8915000000000002</v>
      </c>
      <c r="N191" t="str">
        <f>TEXT(A191,"mmm yyyy")</f>
        <v>Dec 2019</v>
      </c>
      <c r="O191">
        <f t="shared" si="2"/>
        <v>43.650000000000006</v>
      </c>
    </row>
    <row r="192" spans="1:15" x14ac:dyDescent="0.25">
      <c r="A192" s="3">
        <v>43845</v>
      </c>
      <c r="B192" t="s">
        <v>6181</v>
      </c>
      <c r="C192" s="2">
        <v>1</v>
      </c>
      <c r="D192" s="2" t="s">
        <v>1563</v>
      </c>
      <c r="E192" s="2" t="s">
        <v>41</v>
      </c>
      <c r="F192" s="2" t="s">
        <v>19</v>
      </c>
      <c r="G192" t="s">
        <v>6190</v>
      </c>
      <c r="H192" t="str">
        <f>VLOOKUP('Combined table'!B192,products!$A$1:$G$49,2,FALSE)</f>
        <v>Lib</v>
      </c>
      <c r="I192" t="str">
        <f>VLOOKUP('Combined table'!B192,products!$A$1:$G$49,3,FALSE)</f>
        <v>M</v>
      </c>
      <c r="J192">
        <f>VLOOKUP('Combined table'!B192,products!$A$1:$G$49,4,FALSE)</f>
        <v>2.5</v>
      </c>
      <c r="K192">
        <f>VLOOKUP('Combined table'!B192,products!$A$1:$G$49,5,FALSE)</f>
        <v>33.464999999999996</v>
      </c>
      <c r="L192">
        <f>VLOOKUP('Combined table'!B192,products!$A$1:$G$49,6,FALSE)</f>
        <v>1.3385999999999998</v>
      </c>
      <c r="M192">
        <f>VLOOKUP('Combined table'!B192,products!$A$1:$G$49,7,FALSE)</f>
        <v>4.3504499999999995</v>
      </c>
      <c r="N192" t="str">
        <f>TEXT(A192,"mmm yyyy")</f>
        <v>Jan 2020</v>
      </c>
      <c r="O192">
        <f t="shared" si="2"/>
        <v>33.464999999999996</v>
      </c>
    </row>
    <row r="193" spans="1:15" x14ac:dyDescent="0.25">
      <c r="A193" s="3">
        <v>43567</v>
      </c>
      <c r="B193" t="s">
        <v>6150</v>
      </c>
      <c r="C193" s="2">
        <v>5</v>
      </c>
      <c r="D193" s="2" t="s">
        <v>1569</v>
      </c>
      <c r="E193" s="2" t="s">
        <v>47</v>
      </c>
      <c r="F193" s="2" t="s">
        <v>19</v>
      </c>
      <c r="G193" t="s">
        <v>6190</v>
      </c>
      <c r="H193" t="str">
        <f>VLOOKUP('Combined table'!B193,products!$A$1:$G$49,2,FALSE)</f>
        <v>Lib</v>
      </c>
      <c r="I193" t="str">
        <f>VLOOKUP('Combined table'!B193,products!$A$1:$G$49,3,FALSE)</f>
        <v>D</v>
      </c>
      <c r="J193">
        <f>VLOOKUP('Combined table'!B193,products!$A$1:$G$49,4,FALSE)</f>
        <v>0.2</v>
      </c>
      <c r="K193">
        <f>VLOOKUP('Combined table'!B193,products!$A$1:$G$49,5,FALSE)</f>
        <v>3.8849999999999998</v>
      </c>
      <c r="L193">
        <f>VLOOKUP('Combined table'!B193,products!$A$1:$G$49,6,FALSE)</f>
        <v>1.9424999999999999</v>
      </c>
      <c r="M193">
        <f>VLOOKUP('Combined table'!B193,products!$A$1:$G$49,7,FALSE)</f>
        <v>0.50505</v>
      </c>
      <c r="N193" t="str">
        <f>TEXT(A193,"mmm yyyy")</f>
        <v>Apr 2019</v>
      </c>
      <c r="O193">
        <f t="shared" si="2"/>
        <v>19.424999999999997</v>
      </c>
    </row>
    <row r="194" spans="1:15" x14ac:dyDescent="0.25">
      <c r="A194" s="3">
        <v>43919</v>
      </c>
      <c r="B194" t="s">
        <v>6183</v>
      </c>
      <c r="C194" s="2">
        <v>6</v>
      </c>
      <c r="D194" s="2" t="s">
        <v>1575</v>
      </c>
      <c r="E194" s="2" t="s">
        <v>323</v>
      </c>
      <c r="F194" s="2" t="s">
        <v>318</v>
      </c>
      <c r="G194" t="s">
        <v>6190</v>
      </c>
      <c r="H194" t="str">
        <f>VLOOKUP('Combined table'!B194,products!$A$1:$G$49,2,FALSE)</f>
        <v>Exc</v>
      </c>
      <c r="I194" t="str">
        <f>VLOOKUP('Combined table'!B194,products!$A$1:$G$49,3,FALSE)</f>
        <v>D</v>
      </c>
      <c r="J194">
        <f>VLOOKUP('Combined table'!B194,products!$A$1:$G$49,4,FALSE)</f>
        <v>1</v>
      </c>
      <c r="K194">
        <f>VLOOKUP('Combined table'!B194,products!$A$1:$G$49,5,FALSE)</f>
        <v>12.15</v>
      </c>
      <c r="L194">
        <f>VLOOKUP('Combined table'!B194,products!$A$1:$G$49,6,FALSE)</f>
        <v>1.2150000000000001</v>
      </c>
      <c r="M194">
        <f>VLOOKUP('Combined table'!B194,products!$A$1:$G$49,7,FALSE)</f>
        <v>1.3365</v>
      </c>
      <c r="N194" t="str">
        <f>TEXT(A194,"mmm yyyy")</f>
        <v>Mar 2020</v>
      </c>
      <c r="O194">
        <f t="shared" si="2"/>
        <v>72.900000000000006</v>
      </c>
    </row>
    <row r="195" spans="1:15" x14ac:dyDescent="0.25">
      <c r="A195" s="3">
        <v>44644</v>
      </c>
      <c r="B195" t="s">
        <v>6171</v>
      </c>
      <c r="C195" s="2">
        <v>3</v>
      </c>
      <c r="D195" s="2" t="s">
        <v>1581</v>
      </c>
      <c r="E195" s="2" t="s">
        <v>188</v>
      </c>
      <c r="F195" s="2" t="s">
        <v>19</v>
      </c>
      <c r="G195" t="s">
        <v>6191</v>
      </c>
      <c r="H195" t="str">
        <f>VLOOKUP('Combined table'!B195,products!$A$1:$G$49,2,FALSE)</f>
        <v>Exc</v>
      </c>
      <c r="I195" t="str">
        <f>VLOOKUP('Combined table'!B195,products!$A$1:$G$49,3,FALSE)</f>
        <v>L</v>
      </c>
      <c r="J195">
        <f>VLOOKUP('Combined table'!B195,products!$A$1:$G$49,4,FALSE)</f>
        <v>1</v>
      </c>
      <c r="K195">
        <f>VLOOKUP('Combined table'!B195,products!$A$1:$G$49,5,FALSE)</f>
        <v>14.85</v>
      </c>
      <c r="L195">
        <f>VLOOKUP('Combined table'!B195,products!$A$1:$G$49,6,FALSE)</f>
        <v>1.4849999999999999</v>
      </c>
      <c r="M195">
        <f>VLOOKUP('Combined table'!B195,products!$A$1:$G$49,7,FALSE)</f>
        <v>1.6335</v>
      </c>
      <c r="N195" t="str">
        <f>TEXT(A195,"mmm yyyy")</f>
        <v>Mar 2022</v>
      </c>
      <c r="O195">
        <f t="shared" ref="O195:O258" si="3">C195*K195</f>
        <v>44.55</v>
      </c>
    </row>
    <row r="196" spans="1:15" x14ac:dyDescent="0.25">
      <c r="A196" s="3">
        <v>44398</v>
      </c>
      <c r="B196" t="s">
        <v>6144</v>
      </c>
      <c r="C196" s="2">
        <v>5</v>
      </c>
      <c r="D196" s="2" t="s">
        <v>1586</v>
      </c>
      <c r="E196" s="2" t="s">
        <v>181</v>
      </c>
      <c r="F196" s="2" t="s">
        <v>19</v>
      </c>
      <c r="G196" t="s">
        <v>6191</v>
      </c>
      <c r="H196" t="str">
        <f>VLOOKUP('Combined table'!B196,products!$A$1:$G$49,2,FALSE)</f>
        <v>Exc</v>
      </c>
      <c r="I196" t="str">
        <f>VLOOKUP('Combined table'!B196,products!$A$1:$G$49,3,FALSE)</f>
        <v>D</v>
      </c>
      <c r="J196">
        <f>VLOOKUP('Combined table'!B196,products!$A$1:$G$49,4,FALSE)</f>
        <v>0.5</v>
      </c>
      <c r="K196">
        <f>VLOOKUP('Combined table'!B196,products!$A$1:$G$49,5,FALSE)</f>
        <v>7.29</v>
      </c>
      <c r="L196">
        <f>VLOOKUP('Combined table'!B196,products!$A$1:$G$49,6,FALSE)</f>
        <v>1.458</v>
      </c>
      <c r="M196">
        <f>VLOOKUP('Combined table'!B196,products!$A$1:$G$49,7,FALSE)</f>
        <v>0.80190000000000006</v>
      </c>
      <c r="N196" t="str">
        <f>TEXT(A196,"mmm yyyy")</f>
        <v>Jul 2021</v>
      </c>
      <c r="O196">
        <f t="shared" si="3"/>
        <v>36.450000000000003</v>
      </c>
    </row>
    <row r="197" spans="1:15" x14ac:dyDescent="0.25">
      <c r="A197" s="3">
        <v>43683</v>
      </c>
      <c r="B197" t="s">
        <v>6140</v>
      </c>
      <c r="C197" s="2">
        <v>3</v>
      </c>
      <c r="D197" s="2" t="s">
        <v>1592</v>
      </c>
      <c r="E197" s="2" t="s">
        <v>23</v>
      </c>
      <c r="F197" s="2" t="s">
        <v>19</v>
      </c>
      <c r="G197" t="s">
        <v>6191</v>
      </c>
      <c r="H197" t="str">
        <f>VLOOKUP('Combined table'!B197,products!$A$1:$G$49,2,FALSE)</f>
        <v>Ara</v>
      </c>
      <c r="I197" t="str">
        <f>VLOOKUP('Combined table'!B197,products!$A$1:$G$49,3,FALSE)</f>
        <v>L</v>
      </c>
      <c r="J197">
        <f>VLOOKUP('Combined table'!B197,products!$A$1:$G$49,4,FALSE)</f>
        <v>1</v>
      </c>
      <c r="K197">
        <f>VLOOKUP('Combined table'!B197,products!$A$1:$G$49,5,FALSE)</f>
        <v>12.95</v>
      </c>
      <c r="L197">
        <f>VLOOKUP('Combined table'!B197,products!$A$1:$G$49,6,FALSE)</f>
        <v>1.2949999999999999</v>
      </c>
      <c r="M197">
        <f>VLOOKUP('Combined table'!B197,products!$A$1:$G$49,7,FALSE)</f>
        <v>1.1655</v>
      </c>
      <c r="N197" t="str">
        <f>TEXT(A197,"mmm yyyy")</f>
        <v>Aug 2019</v>
      </c>
      <c r="O197">
        <f t="shared" si="3"/>
        <v>38.849999999999994</v>
      </c>
    </row>
    <row r="198" spans="1:15" x14ac:dyDescent="0.25">
      <c r="A198" s="3">
        <v>44339</v>
      </c>
      <c r="B198" t="s">
        <v>6176</v>
      </c>
      <c r="C198" s="2">
        <v>6</v>
      </c>
      <c r="D198" s="2" t="s">
        <v>1598</v>
      </c>
      <c r="E198" s="2" t="s">
        <v>47</v>
      </c>
      <c r="F198" s="2" t="s">
        <v>19</v>
      </c>
      <c r="G198" t="s">
        <v>6191</v>
      </c>
      <c r="H198" t="str">
        <f>VLOOKUP('Combined table'!B198,products!$A$1:$G$49,2,FALSE)</f>
        <v>Exc</v>
      </c>
      <c r="I198" t="str">
        <f>VLOOKUP('Combined table'!B198,products!$A$1:$G$49,3,FALSE)</f>
        <v>L</v>
      </c>
      <c r="J198">
        <f>VLOOKUP('Combined table'!B198,products!$A$1:$G$49,4,FALSE)</f>
        <v>0.5</v>
      </c>
      <c r="K198">
        <f>VLOOKUP('Combined table'!B198,products!$A$1:$G$49,5,FALSE)</f>
        <v>8.91</v>
      </c>
      <c r="L198">
        <f>VLOOKUP('Combined table'!B198,products!$A$1:$G$49,6,FALSE)</f>
        <v>1.782</v>
      </c>
      <c r="M198">
        <f>VLOOKUP('Combined table'!B198,products!$A$1:$G$49,7,FALSE)</f>
        <v>0.98009999999999997</v>
      </c>
      <c r="N198" t="str">
        <f>TEXT(A198,"mmm yyyy")</f>
        <v>May 2021</v>
      </c>
      <c r="O198">
        <f t="shared" si="3"/>
        <v>53.46</v>
      </c>
    </row>
    <row r="199" spans="1:15" x14ac:dyDescent="0.25">
      <c r="A199" s="3">
        <v>44339</v>
      </c>
      <c r="B199" t="s">
        <v>6165</v>
      </c>
      <c r="C199" s="2">
        <v>2</v>
      </c>
      <c r="D199" s="2" t="s">
        <v>1602</v>
      </c>
      <c r="E199" s="2" t="s">
        <v>475</v>
      </c>
      <c r="F199" s="2" t="s">
        <v>318</v>
      </c>
      <c r="G199" t="s">
        <v>6190</v>
      </c>
      <c r="H199" t="str">
        <f>VLOOKUP('Combined table'!B199,products!$A$1:$G$49,2,FALSE)</f>
        <v>Lib</v>
      </c>
      <c r="I199" t="str">
        <f>VLOOKUP('Combined table'!B199,products!$A$1:$G$49,3,FALSE)</f>
        <v>D</v>
      </c>
      <c r="J199">
        <f>VLOOKUP('Combined table'!B199,products!$A$1:$G$49,4,FALSE)</f>
        <v>2.5</v>
      </c>
      <c r="K199">
        <f>VLOOKUP('Combined table'!B199,products!$A$1:$G$49,5,FALSE)</f>
        <v>29.784999999999997</v>
      </c>
      <c r="L199">
        <f>VLOOKUP('Combined table'!B199,products!$A$1:$G$49,6,FALSE)</f>
        <v>1.1913999999999998</v>
      </c>
      <c r="M199">
        <f>VLOOKUP('Combined table'!B199,products!$A$1:$G$49,7,FALSE)</f>
        <v>3.8720499999999998</v>
      </c>
      <c r="N199" t="str">
        <f>TEXT(A199,"mmm yyyy")</f>
        <v>May 2021</v>
      </c>
      <c r="O199">
        <f t="shared" si="3"/>
        <v>59.569999999999993</v>
      </c>
    </row>
    <row r="200" spans="1:15" x14ac:dyDescent="0.25">
      <c r="A200" s="3">
        <v>44339</v>
      </c>
      <c r="B200" t="s">
        <v>6165</v>
      </c>
      <c r="C200" s="2">
        <v>3</v>
      </c>
      <c r="D200" s="2" t="s">
        <v>1607</v>
      </c>
      <c r="E200" s="2" t="s">
        <v>121</v>
      </c>
      <c r="F200" s="2" t="s">
        <v>19</v>
      </c>
      <c r="G200" t="s">
        <v>6191</v>
      </c>
      <c r="H200" t="str">
        <f>VLOOKUP('Combined table'!B200,products!$A$1:$G$49,2,FALSE)</f>
        <v>Lib</v>
      </c>
      <c r="I200" t="str">
        <f>VLOOKUP('Combined table'!B200,products!$A$1:$G$49,3,FALSE)</f>
        <v>D</v>
      </c>
      <c r="J200">
        <f>VLOOKUP('Combined table'!B200,products!$A$1:$G$49,4,FALSE)</f>
        <v>2.5</v>
      </c>
      <c r="K200">
        <f>VLOOKUP('Combined table'!B200,products!$A$1:$G$49,5,FALSE)</f>
        <v>29.784999999999997</v>
      </c>
      <c r="L200">
        <f>VLOOKUP('Combined table'!B200,products!$A$1:$G$49,6,FALSE)</f>
        <v>1.1913999999999998</v>
      </c>
      <c r="M200">
        <f>VLOOKUP('Combined table'!B200,products!$A$1:$G$49,7,FALSE)</f>
        <v>3.8720499999999998</v>
      </c>
      <c r="N200" t="str">
        <f>TEXT(A200,"mmm yyyy")</f>
        <v>May 2021</v>
      </c>
      <c r="O200">
        <f t="shared" si="3"/>
        <v>89.35499999999999</v>
      </c>
    </row>
    <row r="201" spans="1:15" x14ac:dyDescent="0.25">
      <c r="A201" s="3">
        <v>44339</v>
      </c>
      <c r="B201" t="s">
        <v>6161</v>
      </c>
      <c r="C201" s="2">
        <v>4</v>
      </c>
      <c r="D201" s="2" t="s">
        <v>1612</v>
      </c>
      <c r="E201" s="2" t="s">
        <v>56</v>
      </c>
      <c r="F201" s="2" t="s">
        <v>19</v>
      </c>
      <c r="G201" t="s">
        <v>6191</v>
      </c>
      <c r="H201" t="str">
        <f>VLOOKUP('Combined table'!B201,products!$A$1:$G$49,2,FALSE)</f>
        <v>Lib</v>
      </c>
      <c r="I201" t="str">
        <f>VLOOKUP('Combined table'!B201,products!$A$1:$G$49,3,FALSE)</f>
        <v>L</v>
      </c>
      <c r="J201">
        <f>VLOOKUP('Combined table'!B201,products!$A$1:$G$49,4,FALSE)</f>
        <v>0.5</v>
      </c>
      <c r="K201">
        <f>VLOOKUP('Combined table'!B201,products!$A$1:$G$49,5,FALSE)</f>
        <v>9.51</v>
      </c>
      <c r="L201">
        <f>VLOOKUP('Combined table'!B201,products!$A$1:$G$49,6,FALSE)</f>
        <v>1.9019999999999999</v>
      </c>
      <c r="M201">
        <f>VLOOKUP('Combined table'!B201,products!$A$1:$G$49,7,FALSE)</f>
        <v>1.2363</v>
      </c>
      <c r="N201" t="str">
        <f>TEXT(A201,"mmm yyyy")</f>
        <v>May 2021</v>
      </c>
      <c r="O201">
        <f t="shared" si="3"/>
        <v>38.04</v>
      </c>
    </row>
    <row r="202" spans="1:15" x14ac:dyDescent="0.25">
      <c r="A202" s="3">
        <v>44339</v>
      </c>
      <c r="B202" t="s">
        <v>6141</v>
      </c>
      <c r="C202" s="2">
        <v>3</v>
      </c>
      <c r="D202" s="2" t="s">
        <v>1617</v>
      </c>
      <c r="E202" s="2" t="s">
        <v>299</v>
      </c>
      <c r="F202" s="2" t="s">
        <v>28</v>
      </c>
      <c r="G202" t="s">
        <v>6191</v>
      </c>
      <c r="H202" t="str">
        <f>VLOOKUP('Combined table'!B202,products!$A$1:$G$49,2,FALSE)</f>
        <v>Exc</v>
      </c>
      <c r="I202" t="str">
        <f>VLOOKUP('Combined table'!B202,products!$A$1:$G$49,3,FALSE)</f>
        <v>M</v>
      </c>
      <c r="J202">
        <f>VLOOKUP('Combined table'!B202,products!$A$1:$G$49,4,FALSE)</f>
        <v>1</v>
      </c>
      <c r="K202">
        <f>VLOOKUP('Combined table'!B202,products!$A$1:$G$49,5,FALSE)</f>
        <v>13.75</v>
      </c>
      <c r="L202">
        <f>VLOOKUP('Combined table'!B202,products!$A$1:$G$49,6,FALSE)</f>
        <v>1.375</v>
      </c>
      <c r="M202">
        <f>VLOOKUP('Combined table'!B202,products!$A$1:$G$49,7,FALSE)</f>
        <v>1.5125</v>
      </c>
      <c r="N202" t="str">
        <f>TEXT(A202,"mmm yyyy")</f>
        <v>May 2021</v>
      </c>
      <c r="O202">
        <f t="shared" si="3"/>
        <v>41.25</v>
      </c>
    </row>
    <row r="203" spans="1:15" x14ac:dyDescent="0.25">
      <c r="A203" s="3">
        <v>44294</v>
      </c>
      <c r="B203" t="s">
        <v>6161</v>
      </c>
      <c r="C203" s="2">
        <v>6</v>
      </c>
      <c r="D203" s="2" t="s">
        <v>1623</v>
      </c>
      <c r="E203" s="2" t="s">
        <v>732</v>
      </c>
      <c r="F203" s="2" t="s">
        <v>19</v>
      </c>
      <c r="G203" t="s">
        <v>6191</v>
      </c>
      <c r="H203" t="str">
        <f>VLOOKUP('Combined table'!B203,products!$A$1:$G$49,2,FALSE)</f>
        <v>Lib</v>
      </c>
      <c r="I203" t="str">
        <f>VLOOKUP('Combined table'!B203,products!$A$1:$G$49,3,FALSE)</f>
        <v>L</v>
      </c>
      <c r="J203">
        <f>VLOOKUP('Combined table'!B203,products!$A$1:$G$49,4,FALSE)</f>
        <v>0.5</v>
      </c>
      <c r="K203">
        <f>VLOOKUP('Combined table'!B203,products!$A$1:$G$49,5,FALSE)</f>
        <v>9.51</v>
      </c>
      <c r="L203">
        <f>VLOOKUP('Combined table'!B203,products!$A$1:$G$49,6,FALSE)</f>
        <v>1.9019999999999999</v>
      </c>
      <c r="M203">
        <f>VLOOKUP('Combined table'!B203,products!$A$1:$G$49,7,FALSE)</f>
        <v>1.2363</v>
      </c>
      <c r="N203" t="str">
        <f>TEXT(A203,"mmm yyyy")</f>
        <v>Apr 2021</v>
      </c>
      <c r="O203">
        <f t="shared" si="3"/>
        <v>57.06</v>
      </c>
    </row>
    <row r="204" spans="1:15" x14ac:dyDescent="0.25">
      <c r="A204" s="3">
        <v>44486</v>
      </c>
      <c r="B204" t="s">
        <v>6165</v>
      </c>
      <c r="C204" s="2">
        <v>6</v>
      </c>
      <c r="D204" s="2" t="s">
        <v>1628</v>
      </c>
      <c r="E204" s="2" t="s">
        <v>198</v>
      </c>
      <c r="F204" s="2" t="s">
        <v>19</v>
      </c>
      <c r="G204" t="s">
        <v>6190</v>
      </c>
      <c r="H204" t="str">
        <f>VLOOKUP('Combined table'!B204,products!$A$1:$G$49,2,FALSE)</f>
        <v>Lib</v>
      </c>
      <c r="I204" t="str">
        <f>VLOOKUP('Combined table'!B204,products!$A$1:$G$49,3,FALSE)</f>
        <v>D</v>
      </c>
      <c r="J204">
        <f>VLOOKUP('Combined table'!B204,products!$A$1:$G$49,4,FALSE)</f>
        <v>2.5</v>
      </c>
      <c r="K204">
        <f>VLOOKUP('Combined table'!B204,products!$A$1:$G$49,5,FALSE)</f>
        <v>29.784999999999997</v>
      </c>
      <c r="L204">
        <f>VLOOKUP('Combined table'!B204,products!$A$1:$G$49,6,FALSE)</f>
        <v>1.1913999999999998</v>
      </c>
      <c r="M204">
        <f>VLOOKUP('Combined table'!B204,products!$A$1:$G$49,7,FALSE)</f>
        <v>3.8720499999999998</v>
      </c>
      <c r="N204" t="str">
        <f>TEXT(A204,"mmm yyyy")</f>
        <v>Oct 2021</v>
      </c>
      <c r="O204">
        <f t="shared" si="3"/>
        <v>178.70999999999998</v>
      </c>
    </row>
    <row r="205" spans="1:15" x14ac:dyDescent="0.25">
      <c r="A205" s="3">
        <v>44608</v>
      </c>
      <c r="B205" t="s">
        <v>6145</v>
      </c>
      <c r="C205" s="2">
        <v>1</v>
      </c>
      <c r="D205" s="2" t="s">
        <v>1634</v>
      </c>
      <c r="E205" s="2" t="s">
        <v>295</v>
      </c>
      <c r="F205" s="2" t="s">
        <v>19</v>
      </c>
      <c r="G205" t="s">
        <v>6191</v>
      </c>
      <c r="H205" t="str">
        <f>VLOOKUP('Combined table'!B205,products!$A$1:$G$49,2,FALSE)</f>
        <v>Lib</v>
      </c>
      <c r="I205" t="str">
        <f>VLOOKUP('Combined table'!B205,products!$A$1:$G$49,3,FALSE)</f>
        <v>L</v>
      </c>
      <c r="J205">
        <f>VLOOKUP('Combined table'!B205,products!$A$1:$G$49,4,FALSE)</f>
        <v>0.2</v>
      </c>
      <c r="K205">
        <f>VLOOKUP('Combined table'!B205,products!$A$1:$G$49,5,FALSE)</f>
        <v>4.7549999999999999</v>
      </c>
      <c r="L205">
        <f>VLOOKUP('Combined table'!B205,products!$A$1:$G$49,6,FALSE)</f>
        <v>2.3774999999999999</v>
      </c>
      <c r="M205">
        <f>VLOOKUP('Combined table'!B205,products!$A$1:$G$49,7,FALSE)</f>
        <v>0.61814999999999998</v>
      </c>
      <c r="N205" t="str">
        <f>TEXT(A205,"mmm yyyy")</f>
        <v>Feb 2022</v>
      </c>
      <c r="O205">
        <f t="shared" si="3"/>
        <v>4.7549999999999999</v>
      </c>
    </row>
    <row r="206" spans="1:15" x14ac:dyDescent="0.25">
      <c r="A206" s="3">
        <v>44027</v>
      </c>
      <c r="B206" t="s">
        <v>6141</v>
      </c>
      <c r="C206" s="2">
        <v>6</v>
      </c>
      <c r="D206" s="2" t="s">
        <v>1640</v>
      </c>
      <c r="E206" s="2" t="s">
        <v>302</v>
      </c>
      <c r="F206" s="2" t="s">
        <v>19</v>
      </c>
      <c r="G206" t="s">
        <v>6191</v>
      </c>
      <c r="H206" t="str">
        <f>VLOOKUP('Combined table'!B206,products!$A$1:$G$49,2,FALSE)</f>
        <v>Exc</v>
      </c>
      <c r="I206" t="str">
        <f>VLOOKUP('Combined table'!B206,products!$A$1:$G$49,3,FALSE)</f>
        <v>M</v>
      </c>
      <c r="J206">
        <f>VLOOKUP('Combined table'!B206,products!$A$1:$G$49,4,FALSE)</f>
        <v>1</v>
      </c>
      <c r="K206">
        <f>VLOOKUP('Combined table'!B206,products!$A$1:$G$49,5,FALSE)</f>
        <v>13.75</v>
      </c>
      <c r="L206">
        <f>VLOOKUP('Combined table'!B206,products!$A$1:$G$49,6,FALSE)</f>
        <v>1.375</v>
      </c>
      <c r="M206">
        <f>VLOOKUP('Combined table'!B206,products!$A$1:$G$49,7,FALSE)</f>
        <v>1.5125</v>
      </c>
      <c r="N206" t="str">
        <f>TEXT(A206,"mmm yyyy")</f>
        <v>Jul 2020</v>
      </c>
      <c r="O206">
        <f t="shared" si="3"/>
        <v>82.5</v>
      </c>
    </row>
    <row r="207" spans="1:15" x14ac:dyDescent="0.25">
      <c r="A207" s="3">
        <v>43883</v>
      </c>
      <c r="B207" t="s">
        <v>6163</v>
      </c>
      <c r="C207" s="2">
        <v>3</v>
      </c>
      <c r="D207" s="2" t="s">
        <v>1645</v>
      </c>
      <c r="E207" s="2" t="s">
        <v>47</v>
      </c>
      <c r="F207" s="2" t="s">
        <v>19</v>
      </c>
      <c r="G207" t="s">
        <v>6190</v>
      </c>
      <c r="H207" t="str">
        <f>VLOOKUP('Combined table'!B207,products!$A$1:$G$49,2,FALSE)</f>
        <v>Rob</v>
      </c>
      <c r="I207" t="str">
        <f>VLOOKUP('Combined table'!B207,products!$A$1:$G$49,3,FALSE)</f>
        <v>D</v>
      </c>
      <c r="J207">
        <f>VLOOKUP('Combined table'!B207,products!$A$1:$G$49,4,FALSE)</f>
        <v>0.2</v>
      </c>
      <c r="K207">
        <f>VLOOKUP('Combined table'!B207,products!$A$1:$G$49,5,FALSE)</f>
        <v>2.6849999999999996</v>
      </c>
      <c r="L207">
        <f>VLOOKUP('Combined table'!B207,products!$A$1:$G$49,6,FALSE)</f>
        <v>1.3424999999999998</v>
      </c>
      <c r="M207">
        <f>VLOOKUP('Combined table'!B207,products!$A$1:$G$49,7,FALSE)</f>
        <v>0.16109999999999997</v>
      </c>
      <c r="N207" t="str">
        <f>TEXT(A207,"mmm yyyy")</f>
        <v>Feb 2020</v>
      </c>
      <c r="O207">
        <f t="shared" si="3"/>
        <v>8.0549999999999997</v>
      </c>
    </row>
    <row r="208" spans="1:15" x14ac:dyDescent="0.25">
      <c r="A208" s="3">
        <v>44211</v>
      </c>
      <c r="B208" t="s">
        <v>6155</v>
      </c>
      <c r="C208" s="2">
        <v>2</v>
      </c>
      <c r="D208" s="2" t="s">
        <v>1650</v>
      </c>
      <c r="E208" s="2" t="s">
        <v>35</v>
      </c>
      <c r="F208" s="2" t="s">
        <v>19</v>
      </c>
      <c r="G208" t="s">
        <v>6191</v>
      </c>
      <c r="H208" t="str">
        <f>VLOOKUP('Combined table'!B208,products!$A$1:$G$49,2,FALSE)</f>
        <v>Ara</v>
      </c>
      <c r="I208" t="str">
        <f>VLOOKUP('Combined table'!B208,products!$A$1:$G$49,3,FALSE)</f>
        <v>M</v>
      </c>
      <c r="J208">
        <f>VLOOKUP('Combined table'!B208,products!$A$1:$G$49,4,FALSE)</f>
        <v>1</v>
      </c>
      <c r="K208">
        <f>VLOOKUP('Combined table'!B208,products!$A$1:$G$49,5,FALSE)</f>
        <v>11.25</v>
      </c>
      <c r="L208">
        <f>VLOOKUP('Combined table'!B208,products!$A$1:$G$49,6,FALSE)</f>
        <v>1.125</v>
      </c>
      <c r="M208">
        <f>VLOOKUP('Combined table'!B208,products!$A$1:$G$49,7,FALSE)</f>
        <v>1.0125</v>
      </c>
      <c r="N208" t="str">
        <f>TEXT(A208,"mmm yyyy")</f>
        <v>Jan 2021</v>
      </c>
      <c r="O208">
        <f t="shared" si="3"/>
        <v>22.5</v>
      </c>
    </row>
    <row r="209" spans="1:15" x14ac:dyDescent="0.25">
      <c r="A209" s="3">
        <v>44207</v>
      </c>
      <c r="B209" t="s">
        <v>6157</v>
      </c>
      <c r="C209" s="2">
        <v>6</v>
      </c>
      <c r="D209" s="2" t="s">
        <v>1655</v>
      </c>
      <c r="E209" s="2" t="s">
        <v>297</v>
      </c>
      <c r="F209" s="2" t="s">
        <v>19</v>
      </c>
      <c r="G209" t="s">
        <v>6190</v>
      </c>
      <c r="H209" t="str">
        <f>VLOOKUP('Combined table'!B209,products!$A$1:$G$49,2,FALSE)</f>
        <v>Ara</v>
      </c>
      <c r="I209" t="str">
        <f>VLOOKUP('Combined table'!B209,products!$A$1:$G$49,3,FALSE)</f>
        <v>M</v>
      </c>
      <c r="J209">
        <f>VLOOKUP('Combined table'!B209,products!$A$1:$G$49,4,FALSE)</f>
        <v>0.5</v>
      </c>
      <c r="K209">
        <f>VLOOKUP('Combined table'!B209,products!$A$1:$G$49,5,FALSE)</f>
        <v>6.75</v>
      </c>
      <c r="L209">
        <f>VLOOKUP('Combined table'!B209,products!$A$1:$G$49,6,FALSE)</f>
        <v>1.35</v>
      </c>
      <c r="M209">
        <f>VLOOKUP('Combined table'!B209,products!$A$1:$G$49,7,FALSE)</f>
        <v>0.60749999999999993</v>
      </c>
      <c r="N209" t="str">
        <f>TEXT(A209,"mmm yyyy")</f>
        <v>Jan 2021</v>
      </c>
      <c r="O209">
        <f t="shared" si="3"/>
        <v>40.5</v>
      </c>
    </row>
    <row r="210" spans="1:15" x14ac:dyDescent="0.25">
      <c r="A210" s="3">
        <v>44659</v>
      </c>
      <c r="B210" t="s">
        <v>6144</v>
      </c>
      <c r="C210" s="2">
        <v>4</v>
      </c>
      <c r="D210" s="2" t="s">
        <v>1661</v>
      </c>
      <c r="E210" s="2" t="s">
        <v>451</v>
      </c>
      <c r="F210" s="2" t="s">
        <v>318</v>
      </c>
      <c r="G210" t="s">
        <v>6190</v>
      </c>
      <c r="H210" t="str">
        <f>VLOOKUP('Combined table'!B210,products!$A$1:$G$49,2,FALSE)</f>
        <v>Exc</v>
      </c>
      <c r="I210" t="str">
        <f>VLOOKUP('Combined table'!B210,products!$A$1:$G$49,3,FALSE)</f>
        <v>D</v>
      </c>
      <c r="J210">
        <f>VLOOKUP('Combined table'!B210,products!$A$1:$G$49,4,FALSE)</f>
        <v>0.5</v>
      </c>
      <c r="K210">
        <f>VLOOKUP('Combined table'!B210,products!$A$1:$G$49,5,FALSE)</f>
        <v>7.29</v>
      </c>
      <c r="L210">
        <f>VLOOKUP('Combined table'!B210,products!$A$1:$G$49,6,FALSE)</f>
        <v>1.458</v>
      </c>
      <c r="M210">
        <f>VLOOKUP('Combined table'!B210,products!$A$1:$G$49,7,FALSE)</f>
        <v>0.80190000000000006</v>
      </c>
      <c r="N210" t="str">
        <f>TEXT(A210,"mmm yyyy")</f>
        <v>Apr 2022</v>
      </c>
      <c r="O210">
        <f t="shared" si="3"/>
        <v>29.16</v>
      </c>
    </row>
    <row r="211" spans="1:15" x14ac:dyDescent="0.25">
      <c r="A211" s="3">
        <v>44105</v>
      </c>
      <c r="B211" t="s">
        <v>6157</v>
      </c>
      <c r="C211" s="2">
        <v>1</v>
      </c>
      <c r="D211" s="2" t="s">
        <v>1667</v>
      </c>
      <c r="E211" s="2" t="s">
        <v>264</v>
      </c>
      <c r="F211" s="2" t="s">
        <v>28</v>
      </c>
      <c r="G211" t="s">
        <v>6191</v>
      </c>
      <c r="H211" t="str">
        <f>VLOOKUP('Combined table'!B211,products!$A$1:$G$49,2,FALSE)</f>
        <v>Ara</v>
      </c>
      <c r="I211" t="str">
        <f>VLOOKUP('Combined table'!B211,products!$A$1:$G$49,3,FALSE)</f>
        <v>M</v>
      </c>
      <c r="J211">
        <f>VLOOKUP('Combined table'!B211,products!$A$1:$G$49,4,FALSE)</f>
        <v>0.5</v>
      </c>
      <c r="K211">
        <f>VLOOKUP('Combined table'!B211,products!$A$1:$G$49,5,FALSE)</f>
        <v>6.75</v>
      </c>
      <c r="L211">
        <f>VLOOKUP('Combined table'!B211,products!$A$1:$G$49,6,FALSE)</f>
        <v>1.35</v>
      </c>
      <c r="M211">
        <f>VLOOKUP('Combined table'!B211,products!$A$1:$G$49,7,FALSE)</f>
        <v>0.60749999999999993</v>
      </c>
      <c r="N211" t="str">
        <f>TEXT(A211,"mmm yyyy")</f>
        <v>Oct 2020</v>
      </c>
      <c r="O211">
        <f t="shared" si="3"/>
        <v>6.75</v>
      </c>
    </row>
    <row r="212" spans="1:15" x14ac:dyDescent="0.25">
      <c r="A212" s="3">
        <v>43766</v>
      </c>
      <c r="B212" t="s">
        <v>6143</v>
      </c>
      <c r="C212" s="2">
        <v>4</v>
      </c>
      <c r="D212" s="2" t="s">
        <v>1673</v>
      </c>
      <c r="E212" s="2" t="s">
        <v>232</v>
      </c>
      <c r="F212" s="2" t="s">
        <v>19</v>
      </c>
      <c r="G212" t="s">
        <v>6190</v>
      </c>
      <c r="H212" t="str">
        <f>VLOOKUP('Combined table'!B212,products!$A$1:$G$49,2,FALSE)</f>
        <v>Lib</v>
      </c>
      <c r="I212" t="str">
        <f>VLOOKUP('Combined table'!B212,products!$A$1:$G$49,3,FALSE)</f>
        <v>D</v>
      </c>
      <c r="J212">
        <f>VLOOKUP('Combined table'!B212,products!$A$1:$G$49,4,FALSE)</f>
        <v>1</v>
      </c>
      <c r="K212">
        <f>VLOOKUP('Combined table'!B212,products!$A$1:$G$49,5,FALSE)</f>
        <v>12.95</v>
      </c>
      <c r="L212">
        <f>VLOOKUP('Combined table'!B212,products!$A$1:$G$49,6,FALSE)</f>
        <v>1.2949999999999999</v>
      </c>
      <c r="M212">
        <f>VLOOKUP('Combined table'!B212,products!$A$1:$G$49,7,FALSE)</f>
        <v>1.6835</v>
      </c>
      <c r="N212" t="str">
        <f>TEXT(A212,"mmm yyyy")</f>
        <v>Oct 2019</v>
      </c>
      <c r="O212">
        <f t="shared" si="3"/>
        <v>51.8</v>
      </c>
    </row>
    <row r="213" spans="1:15" x14ac:dyDescent="0.25">
      <c r="A213" s="3">
        <v>44283</v>
      </c>
      <c r="B213" t="s">
        <v>6176</v>
      </c>
      <c r="C213" s="2">
        <v>6</v>
      </c>
      <c r="D213" s="2" t="s">
        <v>1679</v>
      </c>
      <c r="E213" s="2" t="s">
        <v>57</v>
      </c>
      <c r="F213" s="2" t="s">
        <v>19</v>
      </c>
      <c r="G213" t="s">
        <v>6191</v>
      </c>
      <c r="H213" t="str">
        <f>VLOOKUP('Combined table'!B213,products!$A$1:$G$49,2,FALSE)</f>
        <v>Exc</v>
      </c>
      <c r="I213" t="str">
        <f>VLOOKUP('Combined table'!B213,products!$A$1:$G$49,3,FALSE)</f>
        <v>L</v>
      </c>
      <c r="J213">
        <f>VLOOKUP('Combined table'!B213,products!$A$1:$G$49,4,FALSE)</f>
        <v>0.5</v>
      </c>
      <c r="K213">
        <f>VLOOKUP('Combined table'!B213,products!$A$1:$G$49,5,FALSE)</f>
        <v>8.91</v>
      </c>
      <c r="L213">
        <f>VLOOKUP('Combined table'!B213,products!$A$1:$G$49,6,FALSE)</f>
        <v>1.782</v>
      </c>
      <c r="M213">
        <f>VLOOKUP('Combined table'!B213,products!$A$1:$G$49,7,FALSE)</f>
        <v>0.98009999999999997</v>
      </c>
      <c r="N213" t="str">
        <f>TEXT(A213,"mmm yyyy")</f>
        <v>Mar 2021</v>
      </c>
      <c r="O213">
        <f t="shared" si="3"/>
        <v>53.46</v>
      </c>
    </row>
    <row r="214" spans="1:15" x14ac:dyDescent="0.25">
      <c r="A214" s="3">
        <v>43921</v>
      </c>
      <c r="B214" t="s">
        <v>6153</v>
      </c>
      <c r="C214" s="2">
        <v>4</v>
      </c>
      <c r="D214" s="2" t="s">
        <v>1684</v>
      </c>
      <c r="E214" s="2" t="s">
        <v>24</v>
      </c>
      <c r="F214" s="2" t="s">
        <v>19</v>
      </c>
      <c r="G214" t="s">
        <v>6190</v>
      </c>
      <c r="H214" t="str">
        <f>VLOOKUP('Combined table'!B214,products!$A$1:$G$49,2,FALSE)</f>
        <v>Exc</v>
      </c>
      <c r="I214" t="str">
        <f>VLOOKUP('Combined table'!B214,products!$A$1:$G$49,3,FALSE)</f>
        <v>D</v>
      </c>
      <c r="J214">
        <f>VLOOKUP('Combined table'!B214,products!$A$1:$G$49,4,FALSE)</f>
        <v>0.2</v>
      </c>
      <c r="K214">
        <f>VLOOKUP('Combined table'!B214,products!$A$1:$G$49,5,FALSE)</f>
        <v>3.645</v>
      </c>
      <c r="L214">
        <f>VLOOKUP('Combined table'!B214,products!$A$1:$G$49,6,FALSE)</f>
        <v>1.8225</v>
      </c>
      <c r="M214">
        <f>VLOOKUP('Combined table'!B214,products!$A$1:$G$49,7,FALSE)</f>
        <v>0.40095000000000003</v>
      </c>
      <c r="N214" t="str">
        <f>TEXT(A214,"mmm yyyy")</f>
        <v>Mar 2020</v>
      </c>
      <c r="O214">
        <f t="shared" si="3"/>
        <v>14.58</v>
      </c>
    </row>
    <row r="215" spans="1:15" x14ac:dyDescent="0.25">
      <c r="A215" s="3">
        <v>44646</v>
      </c>
      <c r="B215" t="s">
        <v>6149</v>
      </c>
      <c r="C215" s="2">
        <v>1</v>
      </c>
      <c r="D215" s="2" t="s">
        <v>1690</v>
      </c>
      <c r="E215" s="2" t="s">
        <v>57</v>
      </c>
      <c r="F215" s="2" t="s">
        <v>19</v>
      </c>
      <c r="G215" t="s">
        <v>6191</v>
      </c>
      <c r="H215" t="str">
        <f>VLOOKUP('Combined table'!B215,products!$A$1:$G$49,2,FALSE)</f>
        <v>Rob</v>
      </c>
      <c r="I215" t="str">
        <f>VLOOKUP('Combined table'!B215,products!$A$1:$G$49,3,FALSE)</f>
        <v>D</v>
      </c>
      <c r="J215">
        <f>VLOOKUP('Combined table'!B215,products!$A$1:$G$49,4,FALSE)</f>
        <v>2.5</v>
      </c>
      <c r="K215">
        <f>VLOOKUP('Combined table'!B215,products!$A$1:$G$49,5,FALSE)</f>
        <v>20.584999999999997</v>
      </c>
      <c r="L215">
        <f>VLOOKUP('Combined table'!B215,products!$A$1:$G$49,6,FALSE)</f>
        <v>0.82339999999999991</v>
      </c>
      <c r="M215">
        <f>VLOOKUP('Combined table'!B215,products!$A$1:$G$49,7,FALSE)</f>
        <v>1.2350999999999999</v>
      </c>
      <c r="N215" t="str">
        <f>TEXT(A215,"mmm yyyy")</f>
        <v>Mar 2022</v>
      </c>
      <c r="O215">
        <f t="shared" si="3"/>
        <v>20.584999999999997</v>
      </c>
    </row>
    <row r="216" spans="1:15" x14ac:dyDescent="0.25">
      <c r="A216" s="3">
        <v>43775</v>
      </c>
      <c r="B216" t="s">
        <v>6170</v>
      </c>
      <c r="C216" s="2">
        <v>2</v>
      </c>
      <c r="D216" s="2" t="s">
        <v>1696</v>
      </c>
      <c r="E216" s="2" t="s">
        <v>1700</v>
      </c>
      <c r="F216" s="2" t="s">
        <v>318</v>
      </c>
      <c r="G216" t="s">
        <v>6191</v>
      </c>
      <c r="H216" t="str">
        <f>VLOOKUP('Combined table'!B216,products!$A$1:$G$49,2,FALSE)</f>
        <v>Lib</v>
      </c>
      <c r="I216" t="str">
        <f>VLOOKUP('Combined table'!B216,products!$A$1:$G$49,3,FALSE)</f>
        <v>L</v>
      </c>
      <c r="J216">
        <f>VLOOKUP('Combined table'!B216,products!$A$1:$G$49,4,FALSE)</f>
        <v>1</v>
      </c>
      <c r="K216">
        <f>VLOOKUP('Combined table'!B216,products!$A$1:$G$49,5,FALSE)</f>
        <v>15.85</v>
      </c>
      <c r="L216">
        <f>VLOOKUP('Combined table'!B216,products!$A$1:$G$49,6,FALSE)</f>
        <v>1.585</v>
      </c>
      <c r="M216">
        <f>VLOOKUP('Combined table'!B216,products!$A$1:$G$49,7,FALSE)</f>
        <v>2.0605000000000002</v>
      </c>
      <c r="N216" t="str">
        <f>TEXT(A216,"mmm yyyy")</f>
        <v>Nov 2019</v>
      </c>
      <c r="O216">
        <f t="shared" si="3"/>
        <v>31.7</v>
      </c>
    </row>
    <row r="217" spans="1:15" x14ac:dyDescent="0.25">
      <c r="A217" s="3">
        <v>43829</v>
      </c>
      <c r="B217" t="s">
        <v>6150</v>
      </c>
      <c r="C217" s="2">
        <v>6</v>
      </c>
      <c r="D217" s="2" t="s">
        <v>1703</v>
      </c>
      <c r="E217" s="2" t="s">
        <v>216</v>
      </c>
      <c r="F217" s="2" t="s">
        <v>19</v>
      </c>
      <c r="G217" t="s">
        <v>6191</v>
      </c>
      <c r="H217" t="str">
        <f>VLOOKUP('Combined table'!B217,products!$A$1:$G$49,2,FALSE)</f>
        <v>Lib</v>
      </c>
      <c r="I217" t="str">
        <f>VLOOKUP('Combined table'!B217,products!$A$1:$G$49,3,FALSE)</f>
        <v>D</v>
      </c>
      <c r="J217">
        <f>VLOOKUP('Combined table'!B217,products!$A$1:$G$49,4,FALSE)</f>
        <v>0.2</v>
      </c>
      <c r="K217">
        <f>VLOOKUP('Combined table'!B217,products!$A$1:$G$49,5,FALSE)</f>
        <v>3.8849999999999998</v>
      </c>
      <c r="L217">
        <f>VLOOKUP('Combined table'!B217,products!$A$1:$G$49,6,FALSE)</f>
        <v>1.9424999999999999</v>
      </c>
      <c r="M217">
        <f>VLOOKUP('Combined table'!B217,products!$A$1:$G$49,7,FALSE)</f>
        <v>0.50505</v>
      </c>
      <c r="N217" t="str">
        <f>TEXT(A217,"mmm yyyy")</f>
        <v>Dec 2019</v>
      </c>
      <c r="O217">
        <f t="shared" si="3"/>
        <v>23.31</v>
      </c>
    </row>
    <row r="218" spans="1:15" x14ac:dyDescent="0.25">
      <c r="A218" s="3">
        <v>44470</v>
      </c>
      <c r="B218" t="s">
        <v>6162</v>
      </c>
      <c r="C218" s="2">
        <v>4</v>
      </c>
      <c r="D218" s="2" t="s">
        <v>1709</v>
      </c>
      <c r="E218" s="2" t="s">
        <v>260</v>
      </c>
      <c r="F218" s="2" t="s">
        <v>19</v>
      </c>
      <c r="G218" t="s">
        <v>6190</v>
      </c>
      <c r="H218" t="str">
        <f>VLOOKUP('Combined table'!B218,products!$A$1:$G$49,2,FALSE)</f>
        <v>Lib</v>
      </c>
      <c r="I218" t="str">
        <f>VLOOKUP('Combined table'!B218,products!$A$1:$G$49,3,FALSE)</f>
        <v>M</v>
      </c>
      <c r="J218">
        <f>VLOOKUP('Combined table'!B218,products!$A$1:$G$49,4,FALSE)</f>
        <v>1</v>
      </c>
      <c r="K218">
        <f>VLOOKUP('Combined table'!B218,products!$A$1:$G$49,5,FALSE)</f>
        <v>14.55</v>
      </c>
      <c r="L218">
        <f>VLOOKUP('Combined table'!B218,products!$A$1:$G$49,6,FALSE)</f>
        <v>1.4550000000000001</v>
      </c>
      <c r="M218">
        <f>VLOOKUP('Combined table'!B218,products!$A$1:$G$49,7,FALSE)</f>
        <v>1.8915000000000002</v>
      </c>
      <c r="N218" t="str">
        <f>TEXT(A218,"mmm yyyy")</f>
        <v>Oct 2021</v>
      </c>
      <c r="O218">
        <f t="shared" si="3"/>
        <v>58.2</v>
      </c>
    </row>
    <row r="219" spans="1:15" x14ac:dyDescent="0.25">
      <c r="A219" s="3">
        <v>44174</v>
      </c>
      <c r="B219" t="s">
        <v>6176</v>
      </c>
      <c r="C219" s="2">
        <v>4</v>
      </c>
      <c r="D219" s="2" t="s">
        <v>1715</v>
      </c>
      <c r="E219" s="2" t="s">
        <v>87</v>
      </c>
      <c r="F219" s="2" t="s">
        <v>19</v>
      </c>
      <c r="G219" t="s">
        <v>6191</v>
      </c>
      <c r="H219" t="str">
        <f>VLOOKUP('Combined table'!B219,products!$A$1:$G$49,2,FALSE)</f>
        <v>Exc</v>
      </c>
      <c r="I219" t="str">
        <f>VLOOKUP('Combined table'!B219,products!$A$1:$G$49,3,FALSE)</f>
        <v>L</v>
      </c>
      <c r="J219">
        <f>VLOOKUP('Combined table'!B219,products!$A$1:$G$49,4,FALSE)</f>
        <v>0.5</v>
      </c>
      <c r="K219">
        <f>VLOOKUP('Combined table'!B219,products!$A$1:$G$49,5,FALSE)</f>
        <v>8.91</v>
      </c>
      <c r="L219">
        <f>VLOOKUP('Combined table'!B219,products!$A$1:$G$49,6,FALSE)</f>
        <v>1.782</v>
      </c>
      <c r="M219">
        <f>VLOOKUP('Combined table'!B219,products!$A$1:$G$49,7,FALSE)</f>
        <v>0.98009999999999997</v>
      </c>
      <c r="N219" t="str">
        <f>TEXT(A219,"mmm yyyy")</f>
        <v>Dec 2020</v>
      </c>
      <c r="O219">
        <f t="shared" si="3"/>
        <v>35.64</v>
      </c>
    </row>
    <row r="220" spans="1:15" x14ac:dyDescent="0.25">
      <c r="A220" s="3">
        <v>44317</v>
      </c>
      <c r="B220" t="s">
        <v>6155</v>
      </c>
      <c r="C220" s="2">
        <v>5</v>
      </c>
      <c r="D220" s="2" t="s">
        <v>1721</v>
      </c>
      <c r="E220" s="2" t="s">
        <v>342</v>
      </c>
      <c r="F220" s="2" t="s">
        <v>318</v>
      </c>
      <c r="G220" t="s">
        <v>6190</v>
      </c>
      <c r="H220" t="str">
        <f>VLOOKUP('Combined table'!B220,products!$A$1:$G$49,2,FALSE)</f>
        <v>Ara</v>
      </c>
      <c r="I220" t="str">
        <f>VLOOKUP('Combined table'!B220,products!$A$1:$G$49,3,FALSE)</f>
        <v>M</v>
      </c>
      <c r="J220">
        <f>VLOOKUP('Combined table'!B220,products!$A$1:$G$49,4,FALSE)</f>
        <v>1</v>
      </c>
      <c r="K220">
        <f>VLOOKUP('Combined table'!B220,products!$A$1:$G$49,5,FALSE)</f>
        <v>11.25</v>
      </c>
      <c r="L220">
        <f>VLOOKUP('Combined table'!B220,products!$A$1:$G$49,6,FALSE)</f>
        <v>1.125</v>
      </c>
      <c r="M220">
        <f>VLOOKUP('Combined table'!B220,products!$A$1:$G$49,7,FALSE)</f>
        <v>1.0125</v>
      </c>
      <c r="N220" t="str">
        <f>TEXT(A220,"mmm yyyy")</f>
        <v>May 2021</v>
      </c>
      <c r="O220">
        <f t="shared" si="3"/>
        <v>56.25</v>
      </c>
    </row>
    <row r="221" spans="1:15" x14ac:dyDescent="0.25">
      <c r="A221" s="3">
        <v>44777</v>
      </c>
      <c r="B221" t="s">
        <v>6178</v>
      </c>
      <c r="C221" s="2">
        <v>3</v>
      </c>
      <c r="D221" s="2" t="s">
        <v>1727</v>
      </c>
      <c r="E221" s="2" t="s">
        <v>37</v>
      </c>
      <c r="F221" s="2" t="s">
        <v>19</v>
      </c>
      <c r="G221" t="s">
        <v>6191</v>
      </c>
      <c r="H221" t="str">
        <f>VLOOKUP('Combined table'!B221,products!$A$1:$G$49,2,FALSE)</f>
        <v>Rob</v>
      </c>
      <c r="I221" t="str">
        <f>VLOOKUP('Combined table'!B221,products!$A$1:$G$49,3,FALSE)</f>
        <v>L</v>
      </c>
      <c r="J221">
        <f>VLOOKUP('Combined table'!B221,products!$A$1:$G$49,4,FALSE)</f>
        <v>0.2</v>
      </c>
      <c r="K221">
        <f>VLOOKUP('Combined table'!B221,products!$A$1:$G$49,5,FALSE)</f>
        <v>3.5849999999999995</v>
      </c>
      <c r="L221">
        <f>VLOOKUP('Combined table'!B221,products!$A$1:$G$49,6,FALSE)</f>
        <v>1.7924999999999998</v>
      </c>
      <c r="M221">
        <f>VLOOKUP('Combined table'!B221,products!$A$1:$G$49,7,FALSE)</f>
        <v>0.21509999999999996</v>
      </c>
      <c r="N221" t="str">
        <f>TEXT(A221,"mmm yyyy")</f>
        <v>Aug 2022</v>
      </c>
      <c r="O221">
        <f t="shared" si="3"/>
        <v>10.754999999999999</v>
      </c>
    </row>
    <row r="222" spans="1:15" x14ac:dyDescent="0.25">
      <c r="A222" s="3">
        <v>44777</v>
      </c>
      <c r="B222" t="s">
        <v>6174</v>
      </c>
      <c r="C222" s="2">
        <v>5</v>
      </c>
      <c r="D222" s="2" t="s">
        <v>1732</v>
      </c>
      <c r="E222" s="2" t="s">
        <v>106</v>
      </c>
      <c r="F222" s="2" t="s">
        <v>19</v>
      </c>
      <c r="G222" t="s">
        <v>6191</v>
      </c>
      <c r="H222" t="str">
        <f>VLOOKUP('Combined table'!B222,products!$A$1:$G$49,2,FALSE)</f>
        <v>Rob</v>
      </c>
      <c r="I222" t="str">
        <f>VLOOKUP('Combined table'!B222,products!$A$1:$G$49,3,FALSE)</f>
        <v>M</v>
      </c>
      <c r="J222">
        <f>VLOOKUP('Combined table'!B222,products!$A$1:$G$49,4,FALSE)</f>
        <v>0.2</v>
      </c>
      <c r="K222">
        <f>VLOOKUP('Combined table'!B222,products!$A$1:$G$49,5,FALSE)</f>
        <v>2.9849999999999999</v>
      </c>
      <c r="L222">
        <f>VLOOKUP('Combined table'!B222,products!$A$1:$G$49,6,FALSE)</f>
        <v>1.4924999999999999</v>
      </c>
      <c r="M222">
        <f>VLOOKUP('Combined table'!B222,products!$A$1:$G$49,7,FALSE)</f>
        <v>0.17909999999999998</v>
      </c>
      <c r="N222" t="str">
        <f>TEXT(A222,"mmm yyyy")</f>
        <v>Aug 2022</v>
      </c>
      <c r="O222">
        <f t="shared" si="3"/>
        <v>14.924999999999999</v>
      </c>
    </row>
    <row r="223" spans="1:15" x14ac:dyDescent="0.25">
      <c r="A223" s="3">
        <v>44513</v>
      </c>
      <c r="B223" t="s">
        <v>6140</v>
      </c>
      <c r="C223" s="2">
        <v>6</v>
      </c>
      <c r="D223" s="2" t="s">
        <v>1738</v>
      </c>
      <c r="E223" s="2" t="s">
        <v>422</v>
      </c>
      <c r="F223" s="2" t="s">
        <v>19</v>
      </c>
      <c r="G223" t="s">
        <v>6190</v>
      </c>
      <c r="H223" t="str">
        <f>VLOOKUP('Combined table'!B223,products!$A$1:$G$49,2,FALSE)</f>
        <v>Ara</v>
      </c>
      <c r="I223" t="str">
        <f>VLOOKUP('Combined table'!B223,products!$A$1:$G$49,3,FALSE)</f>
        <v>L</v>
      </c>
      <c r="J223">
        <f>VLOOKUP('Combined table'!B223,products!$A$1:$G$49,4,FALSE)</f>
        <v>1</v>
      </c>
      <c r="K223">
        <f>VLOOKUP('Combined table'!B223,products!$A$1:$G$49,5,FALSE)</f>
        <v>12.95</v>
      </c>
      <c r="L223">
        <f>VLOOKUP('Combined table'!B223,products!$A$1:$G$49,6,FALSE)</f>
        <v>1.2949999999999999</v>
      </c>
      <c r="M223">
        <f>VLOOKUP('Combined table'!B223,products!$A$1:$G$49,7,FALSE)</f>
        <v>1.1655</v>
      </c>
      <c r="N223" t="str">
        <f>TEXT(A223,"mmm yyyy")</f>
        <v>Nov 2021</v>
      </c>
      <c r="O223">
        <f t="shared" si="3"/>
        <v>77.699999999999989</v>
      </c>
    </row>
    <row r="224" spans="1:15" x14ac:dyDescent="0.25">
      <c r="A224" s="3">
        <v>44090</v>
      </c>
      <c r="B224" t="s">
        <v>6169</v>
      </c>
      <c r="C224" s="2">
        <v>3</v>
      </c>
      <c r="D224" s="2" t="s">
        <v>1744</v>
      </c>
      <c r="E224" s="2" t="s">
        <v>218</v>
      </c>
      <c r="F224" s="2" t="s">
        <v>19</v>
      </c>
      <c r="G224" t="s">
        <v>6191</v>
      </c>
      <c r="H224" t="str">
        <f>VLOOKUP('Combined table'!B224,products!$A$1:$G$49,2,FALSE)</f>
        <v>Lib</v>
      </c>
      <c r="I224" t="str">
        <f>VLOOKUP('Combined table'!B224,products!$A$1:$G$49,3,FALSE)</f>
        <v>D</v>
      </c>
      <c r="J224">
        <f>VLOOKUP('Combined table'!B224,products!$A$1:$G$49,4,FALSE)</f>
        <v>0.5</v>
      </c>
      <c r="K224">
        <f>VLOOKUP('Combined table'!B224,products!$A$1:$G$49,5,FALSE)</f>
        <v>7.77</v>
      </c>
      <c r="L224">
        <f>VLOOKUP('Combined table'!B224,products!$A$1:$G$49,6,FALSE)</f>
        <v>1.5539999999999998</v>
      </c>
      <c r="M224">
        <f>VLOOKUP('Combined table'!B224,products!$A$1:$G$49,7,FALSE)</f>
        <v>1.0101</v>
      </c>
      <c r="N224" t="str">
        <f>TEXT(A224,"mmm yyyy")</f>
        <v>Sep 2020</v>
      </c>
      <c r="O224">
        <f t="shared" si="3"/>
        <v>23.31</v>
      </c>
    </row>
    <row r="225" spans="1:15" x14ac:dyDescent="0.25">
      <c r="A225" s="3">
        <v>44109</v>
      </c>
      <c r="B225" t="s">
        <v>6171</v>
      </c>
      <c r="C225" s="2">
        <v>4</v>
      </c>
      <c r="D225" s="2" t="s">
        <v>1750</v>
      </c>
      <c r="E225" s="2" t="s">
        <v>47</v>
      </c>
      <c r="F225" s="2" t="s">
        <v>19</v>
      </c>
      <c r="G225" t="s">
        <v>6190</v>
      </c>
      <c r="H225" t="str">
        <f>VLOOKUP('Combined table'!B225,products!$A$1:$G$49,2,FALSE)</f>
        <v>Exc</v>
      </c>
      <c r="I225" t="str">
        <f>VLOOKUP('Combined table'!B225,products!$A$1:$G$49,3,FALSE)</f>
        <v>L</v>
      </c>
      <c r="J225">
        <f>VLOOKUP('Combined table'!B225,products!$A$1:$G$49,4,FALSE)</f>
        <v>1</v>
      </c>
      <c r="K225">
        <f>VLOOKUP('Combined table'!B225,products!$A$1:$G$49,5,FALSE)</f>
        <v>14.85</v>
      </c>
      <c r="L225">
        <f>VLOOKUP('Combined table'!B225,products!$A$1:$G$49,6,FALSE)</f>
        <v>1.4849999999999999</v>
      </c>
      <c r="M225">
        <f>VLOOKUP('Combined table'!B225,products!$A$1:$G$49,7,FALSE)</f>
        <v>1.6335</v>
      </c>
      <c r="N225" t="str">
        <f>TEXT(A225,"mmm yyyy")</f>
        <v>Oct 2020</v>
      </c>
      <c r="O225">
        <f t="shared" si="3"/>
        <v>59.4</v>
      </c>
    </row>
    <row r="226" spans="1:15" x14ac:dyDescent="0.25">
      <c r="A226" s="3">
        <v>43836</v>
      </c>
      <c r="B226" t="s">
        <v>6165</v>
      </c>
      <c r="C226" s="2">
        <v>4</v>
      </c>
      <c r="D226" s="2" t="s">
        <v>1755</v>
      </c>
      <c r="E226" s="2" t="s">
        <v>57</v>
      </c>
      <c r="F226" s="2" t="s">
        <v>19</v>
      </c>
      <c r="G226" t="s">
        <v>6190</v>
      </c>
      <c r="H226" t="str">
        <f>VLOOKUP('Combined table'!B226,products!$A$1:$G$49,2,FALSE)</f>
        <v>Lib</v>
      </c>
      <c r="I226" t="str">
        <f>VLOOKUP('Combined table'!B226,products!$A$1:$G$49,3,FALSE)</f>
        <v>D</v>
      </c>
      <c r="J226">
        <f>VLOOKUP('Combined table'!B226,products!$A$1:$G$49,4,FALSE)</f>
        <v>2.5</v>
      </c>
      <c r="K226">
        <f>VLOOKUP('Combined table'!B226,products!$A$1:$G$49,5,FALSE)</f>
        <v>29.784999999999997</v>
      </c>
      <c r="L226">
        <f>VLOOKUP('Combined table'!B226,products!$A$1:$G$49,6,FALSE)</f>
        <v>1.1913999999999998</v>
      </c>
      <c r="M226">
        <f>VLOOKUP('Combined table'!B226,products!$A$1:$G$49,7,FALSE)</f>
        <v>3.8720499999999998</v>
      </c>
      <c r="N226" t="str">
        <f>TEXT(A226,"mmm yyyy")</f>
        <v>Jan 2020</v>
      </c>
      <c r="O226">
        <f t="shared" si="3"/>
        <v>119.13999999999999</v>
      </c>
    </row>
    <row r="227" spans="1:15" x14ac:dyDescent="0.25">
      <c r="A227" s="3">
        <v>44337</v>
      </c>
      <c r="B227" t="s">
        <v>6178</v>
      </c>
      <c r="C227" s="2">
        <v>4</v>
      </c>
      <c r="D227" s="2" t="s">
        <v>1761</v>
      </c>
      <c r="E227" s="2" t="s">
        <v>408</v>
      </c>
      <c r="F227" s="2" t="s">
        <v>318</v>
      </c>
      <c r="G227" t="s">
        <v>6191</v>
      </c>
      <c r="H227" t="str">
        <f>VLOOKUP('Combined table'!B227,products!$A$1:$G$49,2,FALSE)</f>
        <v>Rob</v>
      </c>
      <c r="I227" t="str">
        <f>VLOOKUP('Combined table'!B227,products!$A$1:$G$49,3,FALSE)</f>
        <v>L</v>
      </c>
      <c r="J227">
        <f>VLOOKUP('Combined table'!B227,products!$A$1:$G$49,4,FALSE)</f>
        <v>0.2</v>
      </c>
      <c r="K227">
        <f>VLOOKUP('Combined table'!B227,products!$A$1:$G$49,5,FALSE)</f>
        <v>3.5849999999999995</v>
      </c>
      <c r="L227">
        <f>VLOOKUP('Combined table'!B227,products!$A$1:$G$49,6,FALSE)</f>
        <v>1.7924999999999998</v>
      </c>
      <c r="M227">
        <f>VLOOKUP('Combined table'!B227,products!$A$1:$G$49,7,FALSE)</f>
        <v>0.21509999999999996</v>
      </c>
      <c r="N227" t="str">
        <f>TEXT(A227,"mmm yyyy")</f>
        <v>May 2021</v>
      </c>
      <c r="O227">
        <f t="shared" si="3"/>
        <v>14.339999999999998</v>
      </c>
    </row>
    <row r="228" spans="1:15" x14ac:dyDescent="0.25">
      <c r="A228" s="3">
        <v>43887</v>
      </c>
      <c r="B228" t="s">
        <v>6175</v>
      </c>
      <c r="C228" s="2">
        <v>5</v>
      </c>
      <c r="D228" s="2" t="s">
        <v>1767</v>
      </c>
      <c r="E228" s="2" t="s">
        <v>67</v>
      </c>
      <c r="F228" s="2" t="s">
        <v>19</v>
      </c>
      <c r="G228" t="s">
        <v>6191</v>
      </c>
      <c r="H228" t="str">
        <f>VLOOKUP('Combined table'!B228,products!$A$1:$G$49,2,FALSE)</f>
        <v>Ara</v>
      </c>
      <c r="I228" t="str">
        <f>VLOOKUP('Combined table'!B228,products!$A$1:$G$49,3,FALSE)</f>
        <v>M</v>
      </c>
      <c r="J228">
        <f>VLOOKUP('Combined table'!B228,products!$A$1:$G$49,4,FALSE)</f>
        <v>2.5</v>
      </c>
      <c r="K228">
        <f>VLOOKUP('Combined table'!B228,products!$A$1:$G$49,5,FALSE)</f>
        <v>25.874999999999996</v>
      </c>
      <c r="L228">
        <f>VLOOKUP('Combined table'!B228,products!$A$1:$G$49,6,FALSE)</f>
        <v>1.0349999999999999</v>
      </c>
      <c r="M228">
        <f>VLOOKUP('Combined table'!B228,products!$A$1:$G$49,7,FALSE)</f>
        <v>2.3287499999999994</v>
      </c>
      <c r="N228" t="str">
        <f>TEXT(A228,"mmm yyyy")</f>
        <v>Feb 2020</v>
      </c>
      <c r="O228">
        <f t="shared" si="3"/>
        <v>129.37499999999997</v>
      </c>
    </row>
    <row r="229" spans="1:15" x14ac:dyDescent="0.25">
      <c r="A229" s="3">
        <v>43880</v>
      </c>
      <c r="B229" t="s">
        <v>6163</v>
      </c>
      <c r="C229" s="2">
        <v>6</v>
      </c>
      <c r="D229" s="2" t="s">
        <v>1773</v>
      </c>
      <c r="E229" s="2" t="s">
        <v>246</v>
      </c>
      <c r="F229" s="2" t="s">
        <v>28</v>
      </c>
      <c r="G229" t="s">
        <v>6190</v>
      </c>
      <c r="H229" t="str">
        <f>VLOOKUP('Combined table'!B229,products!$A$1:$G$49,2,FALSE)</f>
        <v>Rob</v>
      </c>
      <c r="I229" t="str">
        <f>VLOOKUP('Combined table'!B229,products!$A$1:$G$49,3,FALSE)</f>
        <v>D</v>
      </c>
      <c r="J229">
        <f>VLOOKUP('Combined table'!B229,products!$A$1:$G$49,4,FALSE)</f>
        <v>0.2</v>
      </c>
      <c r="K229">
        <f>VLOOKUP('Combined table'!B229,products!$A$1:$G$49,5,FALSE)</f>
        <v>2.6849999999999996</v>
      </c>
      <c r="L229">
        <f>VLOOKUP('Combined table'!B229,products!$A$1:$G$49,6,FALSE)</f>
        <v>1.3424999999999998</v>
      </c>
      <c r="M229">
        <f>VLOOKUP('Combined table'!B229,products!$A$1:$G$49,7,FALSE)</f>
        <v>0.16109999999999997</v>
      </c>
      <c r="N229" t="str">
        <f>TEXT(A229,"mmm yyyy")</f>
        <v>Feb 2020</v>
      </c>
      <c r="O229">
        <f t="shared" si="3"/>
        <v>16.11</v>
      </c>
    </row>
    <row r="230" spans="1:15" x14ac:dyDescent="0.25">
      <c r="A230" s="3">
        <v>44376</v>
      </c>
      <c r="B230" t="s">
        <v>6178</v>
      </c>
      <c r="C230" s="2">
        <v>5</v>
      </c>
      <c r="D230" s="2" t="s">
        <v>1779</v>
      </c>
      <c r="E230" s="2" t="s">
        <v>131</v>
      </c>
      <c r="F230" s="2" t="s">
        <v>19</v>
      </c>
      <c r="G230" t="s">
        <v>6191</v>
      </c>
      <c r="H230" t="str">
        <f>VLOOKUP('Combined table'!B230,products!$A$1:$G$49,2,FALSE)</f>
        <v>Rob</v>
      </c>
      <c r="I230" t="str">
        <f>VLOOKUP('Combined table'!B230,products!$A$1:$G$49,3,FALSE)</f>
        <v>L</v>
      </c>
      <c r="J230">
        <f>VLOOKUP('Combined table'!B230,products!$A$1:$G$49,4,FALSE)</f>
        <v>0.2</v>
      </c>
      <c r="K230">
        <f>VLOOKUP('Combined table'!B230,products!$A$1:$G$49,5,FALSE)</f>
        <v>3.5849999999999995</v>
      </c>
      <c r="L230">
        <f>VLOOKUP('Combined table'!B230,products!$A$1:$G$49,6,FALSE)</f>
        <v>1.7924999999999998</v>
      </c>
      <c r="M230">
        <f>VLOOKUP('Combined table'!B230,products!$A$1:$G$49,7,FALSE)</f>
        <v>0.21509999999999996</v>
      </c>
      <c r="N230" t="str">
        <f>TEXT(A230,"mmm yyyy")</f>
        <v>Jun 2021</v>
      </c>
      <c r="O230">
        <f t="shared" si="3"/>
        <v>17.924999999999997</v>
      </c>
    </row>
    <row r="231" spans="1:15" x14ac:dyDescent="0.25">
      <c r="A231" s="3">
        <v>44282</v>
      </c>
      <c r="B231" t="s">
        <v>6159</v>
      </c>
      <c r="C231" s="2">
        <v>2</v>
      </c>
      <c r="D231" s="2" t="s">
        <v>1785</v>
      </c>
      <c r="E231" s="2" t="s">
        <v>202</v>
      </c>
      <c r="F231" s="2" t="s">
        <v>19</v>
      </c>
      <c r="G231" t="s">
        <v>6191</v>
      </c>
      <c r="H231" t="str">
        <f>VLOOKUP('Combined table'!B231,products!$A$1:$G$49,2,FALSE)</f>
        <v>Lib</v>
      </c>
      <c r="I231" t="str">
        <f>VLOOKUP('Combined table'!B231,products!$A$1:$G$49,3,FALSE)</f>
        <v>M</v>
      </c>
      <c r="J231">
        <f>VLOOKUP('Combined table'!B231,products!$A$1:$G$49,4,FALSE)</f>
        <v>0.2</v>
      </c>
      <c r="K231">
        <f>VLOOKUP('Combined table'!B231,products!$A$1:$G$49,5,FALSE)</f>
        <v>4.3650000000000002</v>
      </c>
      <c r="L231">
        <f>VLOOKUP('Combined table'!B231,products!$A$1:$G$49,6,FALSE)</f>
        <v>2.1825000000000001</v>
      </c>
      <c r="M231">
        <f>VLOOKUP('Combined table'!B231,products!$A$1:$G$49,7,FALSE)</f>
        <v>0.56745000000000001</v>
      </c>
      <c r="N231" t="str">
        <f>TEXT(A231,"mmm yyyy")</f>
        <v>Mar 2021</v>
      </c>
      <c r="O231">
        <f t="shared" si="3"/>
        <v>8.73</v>
      </c>
    </row>
    <row r="232" spans="1:15" x14ac:dyDescent="0.25">
      <c r="A232" s="3">
        <v>44496</v>
      </c>
      <c r="B232" t="s">
        <v>6175</v>
      </c>
      <c r="C232" s="2">
        <v>2</v>
      </c>
      <c r="D232" s="2" t="s">
        <v>1791</v>
      </c>
      <c r="E232" s="2" t="s">
        <v>82</v>
      </c>
      <c r="F232" s="2" t="s">
        <v>19</v>
      </c>
      <c r="G232" t="s">
        <v>6191</v>
      </c>
      <c r="H232" t="str">
        <f>VLOOKUP('Combined table'!B232,products!$A$1:$G$49,2,FALSE)</f>
        <v>Ara</v>
      </c>
      <c r="I232" t="str">
        <f>VLOOKUP('Combined table'!B232,products!$A$1:$G$49,3,FALSE)</f>
        <v>M</v>
      </c>
      <c r="J232">
        <f>VLOOKUP('Combined table'!B232,products!$A$1:$G$49,4,FALSE)</f>
        <v>2.5</v>
      </c>
      <c r="K232">
        <f>VLOOKUP('Combined table'!B232,products!$A$1:$G$49,5,FALSE)</f>
        <v>25.874999999999996</v>
      </c>
      <c r="L232">
        <f>VLOOKUP('Combined table'!B232,products!$A$1:$G$49,6,FALSE)</f>
        <v>1.0349999999999999</v>
      </c>
      <c r="M232">
        <f>VLOOKUP('Combined table'!B232,products!$A$1:$G$49,7,FALSE)</f>
        <v>2.3287499999999994</v>
      </c>
      <c r="N232" t="str">
        <f>TEXT(A232,"mmm yyyy")</f>
        <v>Oct 2021</v>
      </c>
      <c r="O232">
        <f t="shared" si="3"/>
        <v>51.749999999999993</v>
      </c>
    </row>
    <row r="233" spans="1:15" x14ac:dyDescent="0.25">
      <c r="A233" s="3">
        <v>43628</v>
      </c>
      <c r="B233" t="s">
        <v>6159</v>
      </c>
      <c r="C233" s="2">
        <v>2</v>
      </c>
      <c r="D233" s="2" t="s">
        <v>1797</v>
      </c>
      <c r="E233" s="2" t="s">
        <v>199</v>
      </c>
      <c r="F233" s="2" t="s">
        <v>19</v>
      </c>
      <c r="G233" t="s">
        <v>6190</v>
      </c>
      <c r="H233" t="str">
        <f>VLOOKUP('Combined table'!B233,products!$A$1:$G$49,2,FALSE)</f>
        <v>Lib</v>
      </c>
      <c r="I233" t="str">
        <f>VLOOKUP('Combined table'!B233,products!$A$1:$G$49,3,FALSE)</f>
        <v>M</v>
      </c>
      <c r="J233">
        <f>VLOOKUP('Combined table'!B233,products!$A$1:$G$49,4,FALSE)</f>
        <v>0.2</v>
      </c>
      <c r="K233">
        <f>VLOOKUP('Combined table'!B233,products!$A$1:$G$49,5,FALSE)</f>
        <v>4.3650000000000002</v>
      </c>
      <c r="L233">
        <f>VLOOKUP('Combined table'!B233,products!$A$1:$G$49,6,FALSE)</f>
        <v>2.1825000000000001</v>
      </c>
      <c r="M233">
        <f>VLOOKUP('Combined table'!B233,products!$A$1:$G$49,7,FALSE)</f>
        <v>0.56745000000000001</v>
      </c>
      <c r="N233" t="str">
        <f>TEXT(A233,"mmm yyyy")</f>
        <v>Jun 2019</v>
      </c>
      <c r="O233">
        <f t="shared" si="3"/>
        <v>8.73</v>
      </c>
    </row>
    <row r="234" spans="1:15" x14ac:dyDescent="0.25">
      <c r="A234" s="3">
        <v>44010</v>
      </c>
      <c r="B234" t="s">
        <v>6145</v>
      </c>
      <c r="C234" s="2">
        <v>5</v>
      </c>
      <c r="D234" s="2" t="s">
        <v>1802</v>
      </c>
      <c r="E234" s="2" t="s">
        <v>248</v>
      </c>
      <c r="F234" s="2" t="s">
        <v>28</v>
      </c>
      <c r="G234" t="s">
        <v>6191</v>
      </c>
      <c r="H234" t="str">
        <f>VLOOKUP('Combined table'!B234,products!$A$1:$G$49,2,FALSE)</f>
        <v>Lib</v>
      </c>
      <c r="I234" t="str">
        <f>VLOOKUP('Combined table'!B234,products!$A$1:$G$49,3,FALSE)</f>
        <v>L</v>
      </c>
      <c r="J234">
        <f>VLOOKUP('Combined table'!B234,products!$A$1:$G$49,4,FALSE)</f>
        <v>0.2</v>
      </c>
      <c r="K234">
        <f>VLOOKUP('Combined table'!B234,products!$A$1:$G$49,5,FALSE)</f>
        <v>4.7549999999999999</v>
      </c>
      <c r="L234">
        <f>VLOOKUP('Combined table'!B234,products!$A$1:$G$49,6,FALSE)</f>
        <v>2.3774999999999999</v>
      </c>
      <c r="M234">
        <f>VLOOKUP('Combined table'!B234,products!$A$1:$G$49,7,FALSE)</f>
        <v>0.61814999999999998</v>
      </c>
      <c r="N234" t="str">
        <f>TEXT(A234,"mmm yyyy")</f>
        <v>Jun 2020</v>
      </c>
      <c r="O234">
        <f t="shared" si="3"/>
        <v>23.774999999999999</v>
      </c>
    </row>
    <row r="235" spans="1:15" x14ac:dyDescent="0.25">
      <c r="A235" s="3">
        <v>44278</v>
      </c>
      <c r="B235" t="s">
        <v>6156</v>
      </c>
      <c r="C235" s="2">
        <v>5</v>
      </c>
      <c r="D235" s="2" t="s">
        <v>1808</v>
      </c>
      <c r="E235" s="2" t="s">
        <v>73</v>
      </c>
      <c r="F235" s="2" t="s">
        <v>19</v>
      </c>
      <c r="G235" t="s">
        <v>6191</v>
      </c>
      <c r="H235" t="str">
        <f>VLOOKUP('Combined table'!B235,products!$A$1:$G$49,2,FALSE)</f>
        <v>Exc</v>
      </c>
      <c r="I235" t="str">
        <f>VLOOKUP('Combined table'!B235,products!$A$1:$G$49,3,FALSE)</f>
        <v>M</v>
      </c>
      <c r="J235">
        <f>VLOOKUP('Combined table'!B235,products!$A$1:$G$49,4,FALSE)</f>
        <v>0.2</v>
      </c>
      <c r="K235">
        <f>VLOOKUP('Combined table'!B235,products!$A$1:$G$49,5,FALSE)</f>
        <v>4.125</v>
      </c>
      <c r="L235">
        <f>VLOOKUP('Combined table'!B235,products!$A$1:$G$49,6,FALSE)</f>
        <v>2.0625</v>
      </c>
      <c r="M235">
        <f>VLOOKUP('Combined table'!B235,products!$A$1:$G$49,7,FALSE)</f>
        <v>0.45374999999999999</v>
      </c>
      <c r="N235" t="str">
        <f>TEXT(A235,"mmm yyyy")</f>
        <v>Mar 2021</v>
      </c>
      <c r="O235">
        <f t="shared" si="3"/>
        <v>20.625</v>
      </c>
    </row>
    <row r="236" spans="1:15" x14ac:dyDescent="0.25">
      <c r="A236" s="3">
        <v>44602</v>
      </c>
      <c r="B236" t="s">
        <v>6164</v>
      </c>
      <c r="C236" s="2">
        <v>1</v>
      </c>
      <c r="D236" s="2" t="s">
        <v>1814</v>
      </c>
      <c r="E236" s="2" t="s">
        <v>57</v>
      </c>
      <c r="F236" s="2" t="s">
        <v>19</v>
      </c>
      <c r="G236" t="s">
        <v>6191</v>
      </c>
      <c r="H236" t="str">
        <f>VLOOKUP('Combined table'!B236,products!$A$1:$G$49,2,FALSE)</f>
        <v>Lib</v>
      </c>
      <c r="I236" t="str">
        <f>VLOOKUP('Combined table'!B236,products!$A$1:$G$49,3,FALSE)</f>
        <v>L</v>
      </c>
      <c r="J236">
        <f>VLOOKUP('Combined table'!B236,products!$A$1:$G$49,4,FALSE)</f>
        <v>2.5</v>
      </c>
      <c r="K236">
        <f>VLOOKUP('Combined table'!B236,products!$A$1:$G$49,5,FALSE)</f>
        <v>36.454999999999998</v>
      </c>
      <c r="L236">
        <f>VLOOKUP('Combined table'!B236,products!$A$1:$G$49,6,FALSE)</f>
        <v>1.4581999999999999</v>
      </c>
      <c r="M236">
        <f>VLOOKUP('Combined table'!B236,products!$A$1:$G$49,7,FALSE)</f>
        <v>4.7391499999999995</v>
      </c>
      <c r="N236" t="str">
        <f>TEXT(A236,"mmm yyyy")</f>
        <v>Feb 2022</v>
      </c>
      <c r="O236">
        <f t="shared" si="3"/>
        <v>36.454999999999998</v>
      </c>
    </row>
    <row r="237" spans="1:15" x14ac:dyDescent="0.25">
      <c r="A237" s="3">
        <v>43571</v>
      </c>
      <c r="B237" t="s">
        <v>6164</v>
      </c>
      <c r="C237" s="2">
        <v>5</v>
      </c>
      <c r="D237" s="2" t="s">
        <v>1820</v>
      </c>
      <c r="E237" s="2" t="s">
        <v>472</v>
      </c>
      <c r="F237" s="2" t="s">
        <v>318</v>
      </c>
      <c r="G237" t="s">
        <v>6191</v>
      </c>
      <c r="H237" t="str">
        <f>VLOOKUP('Combined table'!B237,products!$A$1:$G$49,2,FALSE)</f>
        <v>Lib</v>
      </c>
      <c r="I237" t="str">
        <f>VLOOKUP('Combined table'!B237,products!$A$1:$G$49,3,FALSE)</f>
        <v>L</v>
      </c>
      <c r="J237">
        <f>VLOOKUP('Combined table'!B237,products!$A$1:$G$49,4,FALSE)</f>
        <v>2.5</v>
      </c>
      <c r="K237">
        <f>VLOOKUP('Combined table'!B237,products!$A$1:$G$49,5,FALSE)</f>
        <v>36.454999999999998</v>
      </c>
      <c r="L237">
        <f>VLOOKUP('Combined table'!B237,products!$A$1:$G$49,6,FALSE)</f>
        <v>1.4581999999999999</v>
      </c>
      <c r="M237">
        <f>VLOOKUP('Combined table'!B237,products!$A$1:$G$49,7,FALSE)</f>
        <v>4.7391499999999995</v>
      </c>
      <c r="N237" t="str">
        <f>TEXT(A237,"mmm yyyy")</f>
        <v>Apr 2019</v>
      </c>
      <c r="O237">
        <f t="shared" si="3"/>
        <v>182.27499999999998</v>
      </c>
    </row>
    <row r="238" spans="1:15" x14ac:dyDescent="0.25">
      <c r="A238" s="3">
        <v>43873</v>
      </c>
      <c r="B238" t="s">
        <v>6165</v>
      </c>
      <c r="C238" s="2">
        <v>3</v>
      </c>
      <c r="D238" s="2" t="s">
        <v>1824</v>
      </c>
      <c r="E238" s="2" t="s">
        <v>463</v>
      </c>
      <c r="F238" s="2" t="s">
        <v>318</v>
      </c>
      <c r="G238" t="s">
        <v>6191</v>
      </c>
      <c r="H238" t="str">
        <f>VLOOKUP('Combined table'!B238,products!$A$1:$G$49,2,FALSE)</f>
        <v>Lib</v>
      </c>
      <c r="I238" t="str">
        <f>VLOOKUP('Combined table'!B238,products!$A$1:$G$49,3,FALSE)</f>
        <v>D</v>
      </c>
      <c r="J238">
        <f>VLOOKUP('Combined table'!B238,products!$A$1:$G$49,4,FALSE)</f>
        <v>2.5</v>
      </c>
      <c r="K238">
        <f>VLOOKUP('Combined table'!B238,products!$A$1:$G$49,5,FALSE)</f>
        <v>29.784999999999997</v>
      </c>
      <c r="L238">
        <f>VLOOKUP('Combined table'!B238,products!$A$1:$G$49,6,FALSE)</f>
        <v>1.1913999999999998</v>
      </c>
      <c r="M238">
        <f>VLOOKUP('Combined table'!B238,products!$A$1:$G$49,7,FALSE)</f>
        <v>3.8720499999999998</v>
      </c>
      <c r="N238" t="str">
        <f>TEXT(A238,"mmm yyyy")</f>
        <v>Feb 2020</v>
      </c>
      <c r="O238">
        <f t="shared" si="3"/>
        <v>89.35499999999999</v>
      </c>
    </row>
    <row r="239" spans="1:15" x14ac:dyDescent="0.25">
      <c r="A239" s="3">
        <v>44563</v>
      </c>
      <c r="B239" t="s">
        <v>6178</v>
      </c>
      <c r="C239" s="2">
        <v>1</v>
      </c>
      <c r="D239" s="2" t="s">
        <v>1830</v>
      </c>
      <c r="E239" s="2" t="s">
        <v>51</v>
      </c>
      <c r="F239" s="2" t="s">
        <v>19</v>
      </c>
      <c r="G239" t="s">
        <v>6190</v>
      </c>
      <c r="H239" t="str">
        <f>VLOOKUP('Combined table'!B239,products!$A$1:$G$49,2,FALSE)</f>
        <v>Rob</v>
      </c>
      <c r="I239" t="str">
        <f>VLOOKUP('Combined table'!B239,products!$A$1:$G$49,3,FALSE)</f>
        <v>L</v>
      </c>
      <c r="J239">
        <f>VLOOKUP('Combined table'!B239,products!$A$1:$G$49,4,FALSE)</f>
        <v>0.2</v>
      </c>
      <c r="K239">
        <f>VLOOKUP('Combined table'!B239,products!$A$1:$G$49,5,FALSE)</f>
        <v>3.5849999999999995</v>
      </c>
      <c r="L239">
        <f>VLOOKUP('Combined table'!B239,products!$A$1:$G$49,6,FALSE)</f>
        <v>1.7924999999999998</v>
      </c>
      <c r="M239">
        <f>VLOOKUP('Combined table'!B239,products!$A$1:$G$49,7,FALSE)</f>
        <v>0.21509999999999996</v>
      </c>
      <c r="N239" t="str">
        <f>TEXT(A239,"mmm yyyy")</f>
        <v>Jan 2022</v>
      </c>
      <c r="O239">
        <f t="shared" si="3"/>
        <v>3.5849999999999995</v>
      </c>
    </row>
    <row r="240" spans="1:15" x14ac:dyDescent="0.25">
      <c r="A240" s="3">
        <v>44172</v>
      </c>
      <c r="B240" t="s">
        <v>6151</v>
      </c>
      <c r="C240" s="2">
        <v>2</v>
      </c>
      <c r="D240" s="2" t="s">
        <v>1835</v>
      </c>
      <c r="E240" s="2" t="s">
        <v>212</v>
      </c>
      <c r="F240" s="2" t="s">
        <v>19</v>
      </c>
      <c r="G240" t="s">
        <v>6190</v>
      </c>
      <c r="H240" t="str">
        <f>VLOOKUP('Combined table'!B240,products!$A$1:$G$49,2,FALSE)</f>
        <v>Rob</v>
      </c>
      <c r="I240" t="str">
        <f>VLOOKUP('Combined table'!B240,products!$A$1:$G$49,3,FALSE)</f>
        <v>M</v>
      </c>
      <c r="J240">
        <f>VLOOKUP('Combined table'!B240,products!$A$1:$G$49,4,FALSE)</f>
        <v>2.5</v>
      </c>
      <c r="K240">
        <f>VLOOKUP('Combined table'!B240,products!$A$1:$G$49,5,FALSE)</f>
        <v>22.884999999999998</v>
      </c>
      <c r="L240">
        <f>VLOOKUP('Combined table'!B240,products!$A$1:$G$49,6,FALSE)</f>
        <v>0.91539999999999988</v>
      </c>
      <c r="M240">
        <f>VLOOKUP('Combined table'!B240,products!$A$1:$G$49,7,FALSE)</f>
        <v>1.3730999999999998</v>
      </c>
      <c r="N240" t="str">
        <f>TEXT(A240,"mmm yyyy")</f>
        <v>Dec 2020</v>
      </c>
      <c r="O240">
        <f t="shared" si="3"/>
        <v>45.769999999999996</v>
      </c>
    </row>
    <row r="241" spans="1:15" x14ac:dyDescent="0.25">
      <c r="A241" s="3">
        <v>43881</v>
      </c>
      <c r="B241" t="s">
        <v>6171</v>
      </c>
      <c r="C241" s="2">
        <v>4</v>
      </c>
      <c r="D241" s="2" t="s">
        <v>1841</v>
      </c>
      <c r="E241" s="2" t="s">
        <v>154</v>
      </c>
      <c r="F241" s="2" t="s">
        <v>19</v>
      </c>
      <c r="G241" t="s">
        <v>6191</v>
      </c>
      <c r="H241" t="str">
        <f>VLOOKUP('Combined table'!B241,products!$A$1:$G$49,2,FALSE)</f>
        <v>Exc</v>
      </c>
      <c r="I241" t="str">
        <f>VLOOKUP('Combined table'!B241,products!$A$1:$G$49,3,FALSE)</f>
        <v>L</v>
      </c>
      <c r="J241">
        <f>VLOOKUP('Combined table'!B241,products!$A$1:$G$49,4,FALSE)</f>
        <v>1</v>
      </c>
      <c r="K241">
        <f>VLOOKUP('Combined table'!B241,products!$A$1:$G$49,5,FALSE)</f>
        <v>14.85</v>
      </c>
      <c r="L241">
        <f>VLOOKUP('Combined table'!B241,products!$A$1:$G$49,6,FALSE)</f>
        <v>1.4849999999999999</v>
      </c>
      <c r="M241">
        <f>VLOOKUP('Combined table'!B241,products!$A$1:$G$49,7,FALSE)</f>
        <v>1.6335</v>
      </c>
      <c r="N241" t="str">
        <f>TEXT(A241,"mmm yyyy")</f>
        <v>Feb 2020</v>
      </c>
      <c r="O241">
        <f t="shared" si="3"/>
        <v>59.4</v>
      </c>
    </row>
    <row r="242" spans="1:15" x14ac:dyDescent="0.25">
      <c r="A242" s="3">
        <v>43993</v>
      </c>
      <c r="B242" t="s">
        <v>6175</v>
      </c>
      <c r="C242" s="2">
        <v>6</v>
      </c>
      <c r="D242" s="2" t="s">
        <v>1847</v>
      </c>
      <c r="E242" s="2" t="s">
        <v>84</v>
      </c>
      <c r="F242" s="2" t="s">
        <v>19</v>
      </c>
      <c r="G242" t="s">
        <v>6190</v>
      </c>
      <c r="H242" t="str">
        <f>VLOOKUP('Combined table'!B242,products!$A$1:$G$49,2,FALSE)</f>
        <v>Ara</v>
      </c>
      <c r="I242" t="str">
        <f>VLOOKUP('Combined table'!B242,products!$A$1:$G$49,3,FALSE)</f>
        <v>M</v>
      </c>
      <c r="J242">
        <f>VLOOKUP('Combined table'!B242,products!$A$1:$G$49,4,FALSE)</f>
        <v>2.5</v>
      </c>
      <c r="K242">
        <f>VLOOKUP('Combined table'!B242,products!$A$1:$G$49,5,FALSE)</f>
        <v>25.874999999999996</v>
      </c>
      <c r="L242">
        <f>VLOOKUP('Combined table'!B242,products!$A$1:$G$49,6,FALSE)</f>
        <v>1.0349999999999999</v>
      </c>
      <c r="M242">
        <f>VLOOKUP('Combined table'!B242,products!$A$1:$G$49,7,FALSE)</f>
        <v>2.3287499999999994</v>
      </c>
      <c r="N242" t="str">
        <f>TEXT(A242,"mmm yyyy")</f>
        <v>Jun 2020</v>
      </c>
      <c r="O242">
        <f t="shared" si="3"/>
        <v>155.24999999999997</v>
      </c>
    </row>
    <row r="243" spans="1:15" x14ac:dyDescent="0.25">
      <c r="A243" s="3">
        <v>44082</v>
      </c>
      <c r="B243" t="s">
        <v>6151</v>
      </c>
      <c r="C243" s="2">
        <v>2</v>
      </c>
      <c r="D243" s="2" t="s">
        <v>1851</v>
      </c>
      <c r="E243" s="2" t="s">
        <v>64</v>
      </c>
      <c r="F243" s="2" t="s">
        <v>19</v>
      </c>
      <c r="G243" t="s">
        <v>6191</v>
      </c>
      <c r="H243" t="str">
        <f>VLOOKUP('Combined table'!B243,products!$A$1:$G$49,2,FALSE)</f>
        <v>Rob</v>
      </c>
      <c r="I243" t="str">
        <f>VLOOKUP('Combined table'!B243,products!$A$1:$G$49,3,FALSE)</f>
        <v>M</v>
      </c>
      <c r="J243">
        <f>VLOOKUP('Combined table'!B243,products!$A$1:$G$49,4,FALSE)</f>
        <v>2.5</v>
      </c>
      <c r="K243">
        <f>VLOOKUP('Combined table'!B243,products!$A$1:$G$49,5,FALSE)</f>
        <v>22.884999999999998</v>
      </c>
      <c r="L243">
        <f>VLOOKUP('Combined table'!B243,products!$A$1:$G$49,6,FALSE)</f>
        <v>0.91539999999999988</v>
      </c>
      <c r="M243">
        <f>VLOOKUP('Combined table'!B243,products!$A$1:$G$49,7,FALSE)</f>
        <v>1.3730999999999998</v>
      </c>
      <c r="N243" t="str">
        <f>TEXT(A243,"mmm yyyy")</f>
        <v>Sep 2020</v>
      </c>
      <c r="O243">
        <f t="shared" si="3"/>
        <v>45.769999999999996</v>
      </c>
    </row>
    <row r="244" spans="1:15" x14ac:dyDescent="0.25">
      <c r="A244" s="3">
        <v>43918</v>
      </c>
      <c r="B244" t="s">
        <v>6183</v>
      </c>
      <c r="C244" s="2">
        <v>3</v>
      </c>
      <c r="D244" s="2" t="s">
        <v>1856</v>
      </c>
      <c r="E244" s="2" t="s">
        <v>131</v>
      </c>
      <c r="F244" s="2" t="s">
        <v>19</v>
      </c>
      <c r="G244" t="s">
        <v>6190</v>
      </c>
      <c r="H244" t="str">
        <f>VLOOKUP('Combined table'!B244,products!$A$1:$G$49,2,FALSE)</f>
        <v>Exc</v>
      </c>
      <c r="I244" t="str">
        <f>VLOOKUP('Combined table'!B244,products!$A$1:$G$49,3,FALSE)</f>
        <v>D</v>
      </c>
      <c r="J244">
        <f>VLOOKUP('Combined table'!B244,products!$A$1:$G$49,4,FALSE)</f>
        <v>1</v>
      </c>
      <c r="K244">
        <f>VLOOKUP('Combined table'!B244,products!$A$1:$G$49,5,FALSE)</f>
        <v>12.15</v>
      </c>
      <c r="L244">
        <f>VLOOKUP('Combined table'!B244,products!$A$1:$G$49,6,FALSE)</f>
        <v>1.2150000000000001</v>
      </c>
      <c r="M244">
        <f>VLOOKUP('Combined table'!B244,products!$A$1:$G$49,7,FALSE)</f>
        <v>1.3365</v>
      </c>
      <c r="N244" t="str">
        <f>TEXT(A244,"mmm yyyy")</f>
        <v>Mar 2020</v>
      </c>
      <c r="O244">
        <f t="shared" si="3"/>
        <v>36.450000000000003</v>
      </c>
    </row>
    <row r="245" spans="1:15" x14ac:dyDescent="0.25">
      <c r="A245" s="3">
        <v>44114</v>
      </c>
      <c r="B245" t="s">
        <v>6144</v>
      </c>
      <c r="C245" s="2">
        <v>4</v>
      </c>
      <c r="D245" s="2" t="s">
        <v>1862</v>
      </c>
      <c r="E245" s="2" t="s">
        <v>137</v>
      </c>
      <c r="F245" s="2" t="s">
        <v>19</v>
      </c>
      <c r="G245" t="s">
        <v>6190</v>
      </c>
      <c r="H245" t="str">
        <f>VLOOKUP('Combined table'!B245,products!$A$1:$G$49,2,FALSE)</f>
        <v>Exc</v>
      </c>
      <c r="I245" t="str">
        <f>VLOOKUP('Combined table'!B245,products!$A$1:$G$49,3,FALSE)</f>
        <v>D</v>
      </c>
      <c r="J245">
        <f>VLOOKUP('Combined table'!B245,products!$A$1:$G$49,4,FALSE)</f>
        <v>0.5</v>
      </c>
      <c r="K245">
        <f>VLOOKUP('Combined table'!B245,products!$A$1:$G$49,5,FALSE)</f>
        <v>7.29</v>
      </c>
      <c r="L245">
        <f>VLOOKUP('Combined table'!B245,products!$A$1:$G$49,6,FALSE)</f>
        <v>1.458</v>
      </c>
      <c r="M245">
        <f>VLOOKUP('Combined table'!B245,products!$A$1:$G$49,7,FALSE)</f>
        <v>0.80190000000000006</v>
      </c>
      <c r="N245" t="str">
        <f>TEXT(A245,"mmm yyyy")</f>
        <v>Oct 2020</v>
      </c>
      <c r="O245">
        <f t="shared" si="3"/>
        <v>29.16</v>
      </c>
    </row>
    <row r="246" spans="1:15" x14ac:dyDescent="0.25">
      <c r="A246" s="3">
        <v>44702</v>
      </c>
      <c r="B246" t="s">
        <v>6181</v>
      </c>
      <c r="C246" s="2">
        <v>4</v>
      </c>
      <c r="D246" s="2" t="s">
        <v>1868</v>
      </c>
      <c r="E246" s="2" t="s">
        <v>73</v>
      </c>
      <c r="F246" s="2" t="s">
        <v>19</v>
      </c>
      <c r="G246" t="s">
        <v>6191</v>
      </c>
      <c r="H246" t="str">
        <f>VLOOKUP('Combined table'!B246,products!$A$1:$G$49,2,FALSE)</f>
        <v>Lib</v>
      </c>
      <c r="I246" t="str">
        <f>VLOOKUP('Combined table'!B246,products!$A$1:$G$49,3,FALSE)</f>
        <v>M</v>
      </c>
      <c r="J246">
        <f>VLOOKUP('Combined table'!B246,products!$A$1:$G$49,4,FALSE)</f>
        <v>2.5</v>
      </c>
      <c r="K246">
        <f>VLOOKUP('Combined table'!B246,products!$A$1:$G$49,5,FALSE)</f>
        <v>33.464999999999996</v>
      </c>
      <c r="L246">
        <f>VLOOKUP('Combined table'!B246,products!$A$1:$G$49,6,FALSE)</f>
        <v>1.3385999999999998</v>
      </c>
      <c r="M246">
        <f>VLOOKUP('Combined table'!B246,products!$A$1:$G$49,7,FALSE)</f>
        <v>4.3504499999999995</v>
      </c>
      <c r="N246" t="str">
        <f>TEXT(A246,"mmm yyyy")</f>
        <v>May 2022</v>
      </c>
      <c r="O246">
        <f t="shared" si="3"/>
        <v>133.85999999999999</v>
      </c>
    </row>
    <row r="247" spans="1:15" x14ac:dyDescent="0.25">
      <c r="A247" s="3">
        <v>43951</v>
      </c>
      <c r="B247" t="s">
        <v>6145</v>
      </c>
      <c r="C247" s="2">
        <v>5</v>
      </c>
      <c r="D247" s="2" t="s">
        <v>1874</v>
      </c>
      <c r="E247" s="2" t="s">
        <v>32</v>
      </c>
      <c r="F247" s="2" t="s">
        <v>19</v>
      </c>
      <c r="G247" t="s">
        <v>6190</v>
      </c>
      <c r="H247" t="str">
        <f>VLOOKUP('Combined table'!B247,products!$A$1:$G$49,2,FALSE)</f>
        <v>Lib</v>
      </c>
      <c r="I247" t="str">
        <f>VLOOKUP('Combined table'!B247,products!$A$1:$G$49,3,FALSE)</f>
        <v>L</v>
      </c>
      <c r="J247">
        <f>VLOOKUP('Combined table'!B247,products!$A$1:$G$49,4,FALSE)</f>
        <v>0.2</v>
      </c>
      <c r="K247">
        <f>VLOOKUP('Combined table'!B247,products!$A$1:$G$49,5,FALSE)</f>
        <v>4.7549999999999999</v>
      </c>
      <c r="L247">
        <f>VLOOKUP('Combined table'!B247,products!$A$1:$G$49,6,FALSE)</f>
        <v>2.3774999999999999</v>
      </c>
      <c r="M247">
        <f>VLOOKUP('Combined table'!B247,products!$A$1:$G$49,7,FALSE)</f>
        <v>0.61814999999999998</v>
      </c>
      <c r="N247" t="str">
        <f>TEXT(A247,"mmm yyyy")</f>
        <v>Apr 2020</v>
      </c>
      <c r="O247">
        <f t="shared" si="3"/>
        <v>23.774999999999999</v>
      </c>
    </row>
    <row r="248" spans="1:15" x14ac:dyDescent="0.25">
      <c r="A248" s="3">
        <v>44542</v>
      </c>
      <c r="B248" t="s">
        <v>6143</v>
      </c>
      <c r="C248" s="2">
        <v>3</v>
      </c>
      <c r="D248" s="2" t="s">
        <v>1880</v>
      </c>
      <c r="E248" s="2" t="s">
        <v>229</v>
      </c>
      <c r="F248" s="2" t="s">
        <v>28</v>
      </c>
      <c r="G248" t="s">
        <v>6191</v>
      </c>
      <c r="H248" t="str">
        <f>VLOOKUP('Combined table'!B248,products!$A$1:$G$49,2,FALSE)</f>
        <v>Lib</v>
      </c>
      <c r="I248" t="str">
        <f>VLOOKUP('Combined table'!B248,products!$A$1:$G$49,3,FALSE)</f>
        <v>D</v>
      </c>
      <c r="J248">
        <f>VLOOKUP('Combined table'!B248,products!$A$1:$G$49,4,FALSE)</f>
        <v>1</v>
      </c>
      <c r="K248">
        <f>VLOOKUP('Combined table'!B248,products!$A$1:$G$49,5,FALSE)</f>
        <v>12.95</v>
      </c>
      <c r="L248">
        <f>VLOOKUP('Combined table'!B248,products!$A$1:$G$49,6,FALSE)</f>
        <v>1.2949999999999999</v>
      </c>
      <c r="M248">
        <f>VLOOKUP('Combined table'!B248,products!$A$1:$G$49,7,FALSE)</f>
        <v>1.6835</v>
      </c>
      <c r="N248" t="str">
        <f>TEXT(A248,"mmm yyyy")</f>
        <v>Dec 2021</v>
      </c>
      <c r="O248">
        <f t="shared" si="3"/>
        <v>38.849999999999994</v>
      </c>
    </row>
    <row r="249" spans="1:15" x14ac:dyDescent="0.25">
      <c r="A249" s="3">
        <v>44131</v>
      </c>
      <c r="B249" t="s">
        <v>6178</v>
      </c>
      <c r="C249" s="2">
        <v>6</v>
      </c>
      <c r="D249" s="2" t="s">
        <v>1886</v>
      </c>
      <c r="E249" s="2" t="s">
        <v>393</v>
      </c>
      <c r="F249" s="2" t="s">
        <v>318</v>
      </c>
      <c r="G249" t="s">
        <v>6190</v>
      </c>
      <c r="H249" t="str">
        <f>VLOOKUP('Combined table'!B249,products!$A$1:$G$49,2,FALSE)</f>
        <v>Rob</v>
      </c>
      <c r="I249" t="str">
        <f>VLOOKUP('Combined table'!B249,products!$A$1:$G$49,3,FALSE)</f>
        <v>L</v>
      </c>
      <c r="J249">
        <f>VLOOKUP('Combined table'!B249,products!$A$1:$G$49,4,FALSE)</f>
        <v>0.2</v>
      </c>
      <c r="K249">
        <f>VLOOKUP('Combined table'!B249,products!$A$1:$G$49,5,FALSE)</f>
        <v>3.5849999999999995</v>
      </c>
      <c r="L249">
        <f>VLOOKUP('Combined table'!B249,products!$A$1:$G$49,6,FALSE)</f>
        <v>1.7924999999999998</v>
      </c>
      <c r="M249">
        <f>VLOOKUP('Combined table'!B249,products!$A$1:$G$49,7,FALSE)</f>
        <v>0.21509999999999996</v>
      </c>
      <c r="N249" t="str">
        <f>TEXT(A249,"mmm yyyy")</f>
        <v>Oct 2020</v>
      </c>
      <c r="O249">
        <f t="shared" si="3"/>
        <v>21.509999999999998</v>
      </c>
    </row>
    <row r="250" spans="1:15" x14ac:dyDescent="0.25">
      <c r="A250" s="3">
        <v>44019</v>
      </c>
      <c r="B250" t="s">
        <v>6147</v>
      </c>
      <c r="C250" s="2">
        <v>1</v>
      </c>
      <c r="D250" s="2" t="s">
        <v>1891</v>
      </c>
      <c r="E250" s="2" t="s">
        <v>33</v>
      </c>
      <c r="F250" s="2" t="s">
        <v>19</v>
      </c>
      <c r="G250" t="s">
        <v>6190</v>
      </c>
      <c r="H250" t="str">
        <f>VLOOKUP('Combined table'!B250,products!$A$1:$G$49,2,FALSE)</f>
        <v>Ara</v>
      </c>
      <c r="I250" t="str">
        <f>VLOOKUP('Combined table'!B250,products!$A$1:$G$49,3,FALSE)</f>
        <v>D</v>
      </c>
      <c r="J250">
        <f>VLOOKUP('Combined table'!B250,products!$A$1:$G$49,4,FALSE)</f>
        <v>1</v>
      </c>
      <c r="K250">
        <f>VLOOKUP('Combined table'!B250,products!$A$1:$G$49,5,FALSE)</f>
        <v>9.9499999999999993</v>
      </c>
      <c r="L250">
        <f>VLOOKUP('Combined table'!B250,products!$A$1:$G$49,6,FALSE)</f>
        <v>0.99499999999999988</v>
      </c>
      <c r="M250">
        <f>VLOOKUP('Combined table'!B250,products!$A$1:$G$49,7,FALSE)</f>
        <v>0.89549999999999985</v>
      </c>
      <c r="N250" t="str">
        <f>TEXT(A250,"mmm yyyy")</f>
        <v>Jul 2020</v>
      </c>
      <c r="O250">
        <f t="shared" si="3"/>
        <v>9.9499999999999993</v>
      </c>
    </row>
    <row r="251" spans="1:15" x14ac:dyDescent="0.25">
      <c r="A251" s="3">
        <v>43861</v>
      </c>
      <c r="B251" t="s">
        <v>6170</v>
      </c>
      <c r="C251" s="2">
        <v>1</v>
      </c>
      <c r="D251" s="2" t="s">
        <v>1897</v>
      </c>
      <c r="E251" s="2" t="s">
        <v>150</v>
      </c>
      <c r="F251" s="2" t="s">
        <v>19</v>
      </c>
      <c r="G251" t="s">
        <v>6191</v>
      </c>
      <c r="H251" t="str">
        <f>VLOOKUP('Combined table'!B251,products!$A$1:$G$49,2,FALSE)</f>
        <v>Lib</v>
      </c>
      <c r="I251" t="str">
        <f>VLOOKUP('Combined table'!B251,products!$A$1:$G$49,3,FALSE)</f>
        <v>L</v>
      </c>
      <c r="J251">
        <f>VLOOKUP('Combined table'!B251,products!$A$1:$G$49,4,FALSE)</f>
        <v>1</v>
      </c>
      <c r="K251">
        <f>VLOOKUP('Combined table'!B251,products!$A$1:$G$49,5,FALSE)</f>
        <v>15.85</v>
      </c>
      <c r="L251">
        <f>VLOOKUP('Combined table'!B251,products!$A$1:$G$49,6,FALSE)</f>
        <v>1.585</v>
      </c>
      <c r="M251">
        <f>VLOOKUP('Combined table'!B251,products!$A$1:$G$49,7,FALSE)</f>
        <v>2.0605000000000002</v>
      </c>
      <c r="N251" t="str">
        <f>TEXT(A251,"mmm yyyy")</f>
        <v>Jan 2020</v>
      </c>
      <c r="O251">
        <f t="shared" si="3"/>
        <v>15.85</v>
      </c>
    </row>
    <row r="252" spans="1:15" x14ac:dyDescent="0.25">
      <c r="A252" s="3">
        <v>43879</v>
      </c>
      <c r="B252" t="s">
        <v>6174</v>
      </c>
      <c r="C252" s="2">
        <v>1</v>
      </c>
      <c r="D252" s="2" t="s">
        <v>1902</v>
      </c>
      <c r="E252" s="2" t="s">
        <v>35</v>
      </c>
      <c r="F252" s="2" t="s">
        <v>19</v>
      </c>
      <c r="G252" t="s">
        <v>6190</v>
      </c>
      <c r="H252" t="str">
        <f>VLOOKUP('Combined table'!B252,products!$A$1:$G$49,2,FALSE)</f>
        <v>Rob</v>
      </c>
      <c r="I252" t="str">
        <f>VLOOKUP('Combined table'!B252,products!$A$1:$G$49,3,FALSE)</f>
        <v>M</v>
      </c>
      <c r="J252">
        <f>VLOOKUP('Combined table'!B252,products!$A$1:$G$49,4,FALSE)</f>
        <v>0.2</v>
      </c>
      <c r="K252">
        <f>VLOOKUP('Combined table'!B252,products!$A$1:$G$49,5,FALSE)</f>
        <v>2.9849999999999999</v>
      </c>
      <c r="L252">
        <f>VLOOKUP('Combined table'!B252,products!$A$1:$G$49,6,FALSE)</f>
        <v>1.4924999999999999</v>
      </c>
      <c r="M252">
        <f>VLOOKUP('Combined table'!B252,products!$A$1:$G$49,7,FALSE)</f>
        <v>0.17909999999999998</v>
      </c>
      <c r="N252" t="str">
        <f>TEXT(A252,"mmm yyyy")</f>
        <v>Feb 2020</v>
      </c>
      <c r="O252">
        <f t="shared" si="3"/>
        <v>2.9849999999999999</v>
      </c>
    </row>
    <row r="253" spans="1:15" x14ac:dyDescent="0.25">
      <c r="A253" s="3">
        <v>44360</v>
      </c>
      <c r="B253" t="s">
        <v>6141</v>
      </c>
      <c r="C253" s="2">
        <v>5</v>
      </c>
      <c r="D253" s="2" t="s">
        <v>1908</v>
      </c>
      <c r="E253" s="2" t="s">
        <v>184</v>
      </c>
      <c r="F253" s="2" t="s">
        <v>19</v>
      </c>
      <c r="G253" t="s">
        <v>6190</v>
      </c>
      <c r="H253" t="str">
        <f>VLOOKUP('Combined table'!B253,products!$A$1:$G$49,2,FALSE)</f>
        <v>Exc</v>
      </c>
      <c r="I253" t="str">
        <f>VLOOKUP('Combined table'!B253,products!$A$1:$G$49,3,FALSE)</f>
        <v>M</v>
      </c>
      <c r="J253">
        <f>VLOOKUP('Combined table'!B253,products!$A$1:$G$49,4,FALSE)</f>
        <v>1</v>
      </c>
      <c r="K253">
        <f>VLOOKUP('Combined table'!B253,products!$A$1:$G$49,5,FALSE)</f>
        <v>13.75</v>
      </c>
      <c r="L253">
        <f>VLOOKUP('Combined table'!B253,products!$A$1:$G$49,6,FALSE)</f>
        <v>1.375</v>
      </c>
      <c r="M253">
        <f>VLOOKUP('Combined table'!B253,products!$A$1:$G$49,7,FALSE)</f>
        <v>1.5125</v>
      </c>
      <c r="N253" t="str">
        <f>TEXT(A253,"mmm yyyy")</f>
        <v>Jun 2021</v>
      </c>
      <c r="O253">
        <f t="shared" si="3"/>
        <v>68.75</v>
      </c>
    </row>
    <row r="254" spans="1:15" x14ac:dyDescent="0.25">
      <c r="A254" s="3">
        <v>44779</v>
      </c>
      <c r="B254" t="s">
        <v>6147</v>
      </c>
      <c r="C254" s="2">
        <v>3</v>
      </c>
      <c r="D254" s="2" t="s">
        <v>1914</v>
      </c>
      <c r="E254" s="2" t="s">
        <v>132</v>
      </c>
      <c r="F254" s="2" t="s">
        <v>19</v>
      </c>
      <c r="G254" t="s">
        <v>6191</v>
      </c>
      <c r="H254" t="str">
        <f>VLOOKUP('Combined table'!B254,products!$A$1:$G$49,2,FALSE)</f>
        <v>Ara</v>
      </c>
      <c r="I254" t="str">
        <f>VLOOKUP('Combined table'!B254,products!$A$1:$G$49,3,FALSE)</f>
        <v>D</v>
      </c>
      <c r="J254">
        <f>VLOOKUP('Combined table'!B254,products!$A$1:$G$49,4,FALSE)</f>
        <v>1</v>
      </c>
      <c r="K254">
        <f>VLOOKUP('Combined table'!B254,products!$A$1:$G$49,5,FALSE)</f>
        <v>9.9499999999999993</v>
      </c>
      <c r="L254">
        <f>VLOOKUP('Combined table'!B254,products!$A$1:$G$49,6,FALSE)</f>
        <v>0.99499999999999988</v>
      </c>
      <c r="M254">
        <f>VLOOKUP('Combined table'!B254,products!$A$1:$G$49,7,FALSE)</f>
        <v>0.89549999999999985</v>
      </c>
      <c r="N254" t="str">
        <f>TEXT(A254,"mmm yyyy")</f>
        <v>Aug 2022</v>
      </c>
      <c r="O254">
        <f t="shared" si="3"/>
        <v>29.849999999999998</v>
      </c>
    </row>
    <row r="255" spans="1:15" x14ac:dyDescent="0.25">
      <c r="A255" s="3">
        <v>44523</v>
      </c>
      <c r="B255" t="s">
        <v>6162</v>
      </c>
      <c r="C255" s="2">
        <v>4</v>
      </c>
      <c r="D255" s="2" t="s">
        <v>1919</v>
      </c>
      <c r="E255" s="2" t="s">
        <v>194</v>
      </c>
      <c r="F255" s="2" t="s">
        <v>19</v>
      </c>
      <c r="G255" t="s">
        <v>6191</v>
      </c>
      <c r="H255" t="str">
        <f>VLOOKUP('Combined table'!B255,products!$A$1:$G$49,2,FALSE)</f>
        <v>Lib</v>
      </c>
      <c r="I255" t="str">
        <f>VLOOKUP('Combined table'!B255,products!$A$1:$G$49,3,FALSE)</f>
        <v>M</v>
      </c>
      <c r="J255">
        <f>VLOOKUP('Combined table'!B255,products!$A$1:$G$49,4,FALSE)</f>
        <v>1</v>
      </c>
      <c r="K255">
        <f>VLOOKUP('Combined table'!B255,products!$A$1:$G$49,5,FALSE)</f>
        <v>14.55</v>
      </c>
      <c r="L255">
        <f>VLOOKUP('Combined table'!B255,products!$A$1:$G$49,6,FALSE)</f>
        <v>1.4550000000000001</v>
      </c>
      <c r="M255">
        <f>VLOOKUP('Combined table'!B255,products!$A$1:$G$49,7,FALSE)</f>
        <v>1.8915000000000002</v>
      </c>
      <c r="N255" t="str">
        <f>TEXT(A255,"mmm yyyy")</f>
        <v>Nov 2021</v>
      </c>
      <c r="O255">
        <f t="shared" si="3"/>
        <v>58.2</v>
      </c>
    </row>
    <row r="256" spans="1:15" x14ac:dyDescent="0.25">
      <c r="A256" s="3">
        <v>44482</v>
      </c>
      <c r="B256" t="s">
        <v>6173</v>
      </c>
      <c r="C256" s="2">
        <v>4</v>
      </c>
      <c r="D256" s="2" t="s">
        <v>1925</v>
      </c>
      <c r="E256" s="2" t="s">
        <v>238</v>
      </c>
      <c r="F256" s="2" t="s">
        <v>28</v>
      </c>
      <c r="G256" t="s">
        <v>6191</v>
      </c>
      <c r="H256" t="str">
        <f>VLOOKUP('Combined table'!B256,products!$A$1:$G$49,2,FALSE)</f>
        <v>Rob</v>
      </c>
      <c r="I256" t="str">
        <f>VLOOKUP('Combined table'!B256,products!$A$1:$G$49,3,FALSE)</f>
        <v>L</v>
      </c>
      <c r="J256">
        <f>VLOOKUP('Combined table'!B256,products!$A$1:$G$49,4,FALSE)</f>
        <v>0.5</v>
      </c>
      <c r="K256">
        <f>VLOOKUP('Combined table'!B256,products!$A$1:$G$49,5,FALSE)</f>
        <v>7.169999999999999</v>
      </c>
      <c r="L256">
        <f>VLOOKUP('Combined table'!B256,products!$A$1:$G$49,6,FALSE)</f>
        <v>1.4339999999999997</v>
      </c>
      <c r="M256">
        <f>VLOOKUP('Combined table'!B256,products!$A$1:$G$49,7,FALSE)</f>
        <v>0.43019999999999992</v>
      </c>
      <c r="N256" t="str">
        <f>TEXT(A256,"mmm yyyy")</f>
        <v>Oct 2021</v>
      </c>
      <c r="O256">
        <f t="shared" si="3"/>
        <v>28.679999999999996</v>
      </c>
    </row>
    <row r="257" spans="1:15" x14ac:dyDescent="0.25">
      <c r="A257" s="3">
        <v>44439</v>
      </c>
      <c r="B257" t="s">
        <v>6173</v>
      </c>
      <c r="C257" s="2">
        <v>3</v>
      </c>
      <c r="D257" s="2" t="s">
        <v>1930</v>
      </c>
      <c r="E257" s="2" t="s">
        <v>126</v>
      </c>
      <c r="F257" s="2" t="s">
        <v>19</v>
      </c>
      <c r="G257" t="s">
        <v>6191</v>
      </c>
      <c r="H257" t="str">
        <f>VLOOKUP('Combined table'!B257,products!$A$1:$G$49,2,FALSE)</f>
        <v>Rob</v>
      </c>
      <c r="I257" t="str">
        <f>VLOOKUP('Combined table'!B257,products!$A$1:$G$49,3,FALSE)</f>
        <v>L</v>
      </c>
      <c r="J257">
        <f>VLOOKUP('Combined table'!B257,products!$A$1:$G$49,4,FALSE)</f>
        <v>0.5</v>
      </c>
      <c r="K257">
        <f>VLOOKUP('Combined table'!B257,products!$A$1:$G$49,5,FALSE)</f>
        <v>7.169999999999999</v>
      </c>
      <c r="L257">
        <f>VLOOKUP('Combined table'!B257,products!$A$1:$G$49,6,FALSE)</f>
        <v>1.4339999999999997</v>
      </c>
      <c r="M257">
        <f>VLOOKUP('Combined table'!B257,products!$A$1:$G$49,7,FALSE)</f>
        <v>0.43019999999999992</v>
      </c>
      <c r="N257" t="str">
        <f>TEXT(A257,"mmm yyyy")</f>
        <v>Aug 2021</v>
      </c>
      <c r="O257">
        <f t="shared" si="3"/>
        <v>21.509999999999998</v>
      </c>
    </row>
    <row r="258" spans="1:15" x14ac:dyDescent="0.25">
      <c r="A258" s="3">
        <v>43846</v>
      </c>
      <c r="B258" t="s">
        <v>6160</v>
      </c>
      <c r="C258" s="2">
        <v>2</v>
      </c>
      <c r="D258" s="2" t="s">
        <v>1936</v>
      </c>
      <c r="E258" s="2" t="s">
        <v>45</v>
      </c>
      <c r="F258" s="2" t="s">
        <v>19</v>
      </c>
      <c r="G258" t="s">
        <v>6190</v>
      </c>
      <c r="H258" t="str">
        <f>VLOOKUP('Combined table'!B258,products!$A$1:$G$49,2,FALSE)</f>
        <v>Lib</v>
      </c>
      <c r="I258" t="str">
        <f>VLOOKUP('Combined table'!B258,products!$A$1:$G$49,3,FALSE)</f>
        <v>M</v>
      </c>
      <c r="J258">
        <f>VLOOKUP('Combined table'!B258,products!$A$1:$G$49,4,FALSE)</f>
        <v>0.5</v>
      </c>
      <c r="K258">
        <f>VLOOKUP('Combined table'!B258,products!$A$1:$G$49,5,FALSE)</f>
        <v>8.73</v>
      </c>
      <c r="L258">
        <f>VLOOKUP('Combined table'!B258,products!$A$1:$G$49,6,FALSE)</f>
        <v>1.746</v>
      </c>
      <c r="M258">
        <f>VLOOKUP('Combined table'!B258,products!$A$1:$G$49,7,FALSE)</f>
        <v>1.1349</v>
      </c>
      <c r="N258" t="str">
        <f>TEXT(A258,"mmm yyyy")</f>
        <v>Jan 2020</v>
      </c>
      <c r="O258">
        <f t="shared" si="3"/>
        <v>17.46</v>
      </c>
    </row>
    <row r="259" spans="1:15" x14ac:dyDescent="0.25">
      <c r="A259" s="3">
        <v>44676</v>
      </c>
      <c r="B259" t="s">
        <v>6185</v>
      </c>
      <c r="C259" s="2">
        <v>1</v>
      </c>
      <c r="D259" s="2" t="s">
        <v>1942</v>
      </c>
      <c r="E259" s="2" t="s">
        <v>121</v>
      </c>
      <c r="F259" s="2" t="s">
        <v>19</v>
      </c>
      <c r="G259" t="s">
        <v>6190</v>
      </c>
      <c r="H259" t="str">
        <f>VLOOKUP('Combined table'!B259,products!$A$1:$G$49,2,FALSE)</f>
        <v>Exc</v>
      </c>
      <c r="I259" t="str">
        <f>VLOOKUP('Combined table'!B259,products!$A$1:$G$49,3,FALSE)</f>
        <v>D</v>
      </c>
      <c r="J259">
        <f>VLOOKUP('Combined table'!B259,products!$A$1:$G$49,4,FALSE)</f>
        <v>2.5</v>
      </c>
      <c r="K259">
        <f>VLOOKUP('Combined table'!B259,products!$A$1:$G$49,5,FALSE)</f>
        <v>27.945</v>
      </c>
      <c r="L259">
        <f>VLOOKUP('Combined table'!B259,products!$A$1:$G$49,6,FALSE)</f>
        <v>1.1177999999999999</v>
      </c>
      <c r="M259">
        <f>VLOOKUP('Combined table'!B259,products!$A$1:$G$49,7,FALSE)</f>
        <v>3.07395</v>
      </c>
      <c r="N259" t="str">
        <f>TEXT(A259,"mmm yyyy")</f>
        <v>Apr 2022</v>
      </c>
      <c r="O259">
        <f t="shared" ref="O259:O322" si="4">C259*K259</f>
        <v>27.945</v>
      </c>
    </row>
    <row r="260" spans="1:15" x14ac:dyDescent="0.25">
      <c r="A260" s="3">
        <v>44513</v>
      </c>
      <c r="B260" t="s">
        <v>6185</v>
      </c>
      <c r="C260" s="2">
        <v>5</v>
      </c>
      <c r="D260" s="2" t="s">
        <v>1948</v>
      </c>
      <c r="E260" s="2" t="s">
        <v>146</v>
      </c>
      <c r="F260" s="2" t="s">
        <v>19</v>
      </c>
      <c r="G260" t="s">
        <v>6191</v>
      </c>
      <c r="H260" t="str">
        <f>VLOOKUP('Combined table'!B260,products!$A$1:$G$49,2,FALSE)</f>
        <v>Exc</v>
      </c>
      <c r="I260" t="str">
        <f>VLOOKUP('Combined table'!B260,products!$A$1:$G$49,3,FALSE)</f>
        <v>D</v>
      </c>
      <c r="J260">
        <f>VLOOKUP('Combined table'!B260,products!$A$1:$G$49,4,FALSE)</f>
        <v>2.5</v>
      </c>
      <c r="K260">
        <f>VLOOKUP('Combined table'!B260,products!$A$1:$G$49,5,FALSE)</f>
        <v>27.945</v>
      </c>
      <c r="L260">
        <f>VLOOKUP('Combined table'!B260,products!$A$1:$G$49,6,FALSE)</f>
        <v>1.1177999999999999</v>
      </c>
      <c r="M260">
        <f>VLOOKUP('Combined table'!B260,products!$A$1:$G$49,7,FALSE)</f>
        <v>3.07395</v>
      </c>
      <c r="N260" t="str">
        <f>TEXT(A260,"mmm yyyy")</f>
        <v>Nov 2021</v>
      </c>
      <c r="O260">
        <f t="shared" si="4"/>
        <v>139.72499999999999</v>
      </c>
    </row>
    <row r="261" spans="1:15" x14ac:dyDescent="0.25">
      <c r="A261" s="3">
        <v>44355</v>
      </c>
      <c r="B261" t="s">
        <v>6174</v>
      </c>
      <c r="C261" s="2">
        <v>2</v>
      </c>
      <c r="D261" s="2" t="s">
        <v>1954</v>
      </c>
      <c r="E261" s="2" t="s">
        <v>176</v>
      </c>
      <c r="F261" s="2" t="s">
        <v>28</v>
      </c>
      <c r="G261" t="s">
        <v>6191</v>
      </c>
      <c r="H261" t="str">
        <f>VLOOKUP('Combined table'!B261,products!$A$1:$G$49,2,FALSE)</f>
        <v>Rob</v>
      </c>
      <c r="I261" t="str">
        <f>VLOOKUP('Combined table'!B261,products!$A$1:$G$49,3,FALSE)</f>
        <v>M</v>
      </c>
      <c r="J261">
        <f>VLOOKUP('Combined table'!B261,products!$A$1:$G$49,4,FALSE)</f>
        <v>0.2</v>
      </c>
      <c r="K261">
        <f>VLOOKUP('Combined table'!B261,products!$A$1:$G$49,5,FALSE)</f>
        <v>2.9849999999999999</v>
      </c>
      <c r="L261">
        <f>VLOOKUP('Combined table'!B261,products!$A$1:$G$49,6,FALSE)</f>
        <v>1.4924999999999999</v>
      </c>
      <c r="M261">
        <f>VLOOKUP('Combined table'!B261,products!$A$1:$G$49,7,FALSE)</f>
        <v>0.17909999999999998</v>
      </c>
      <c r="N261" t="str">
        <f>TEXT(A261,"mmm yyyy")</f>
        <v>Jun 2021</v>
      </c>
      <c r="O261">
        <f t="shared" si="4"/>
        <v>5.97</v>
      </c>
    </row>
    <row r="262" spans="1:15" x14ac:dyDescent="0.25">
      <c r="A262" s="3">
        <v>44156</v>
      </c>
      <c r="B262" t="s">
        <v>6142</v>
      </c>
      <c r="C262" s="2">
        <v>1</v>
      </c>
      <c r="D262" s="2" t="s">
        <v>1960</v>
      </c>
      <c r="E262" s="2" t="s">
        <v>104</v>
      </c>
      <c r="F262" s="2" t="s">
        <v>19</v>
      </c>
      <c r="G262" t="s">
        <v>6190</v>
      </c>
      <c r="H262" t="str">
        <f>VLOOKUP('Combined table'!B262,products!$A$1:$G$49,2,FALSE)</f>
        <v>Rob</v>
      </c>
      <c r="I262" t="str">
        <f>VLOOKUP('Combined table'!B262,products!$A$1:$G$49,3,FALSE)</f>
        <v>L</v>
      </c>
      <c r="J262">
        <f>VLOOKUP('Combined table'!B262,products!$A$1:$G$49,4,FALSE)</f>
        <v>2.5</v>
      </c>
      <c r="K262">
        <f>VLOOKUP('Combined table'!B262,products!$A$1:$G$49,5,FALSE)</f>
        <v>27.484999999999996</v>
      </c>
      <c r="L262">
        <f>VLOOKUP('Combined table'!B262,products!$A$1:$G$49,6,FALSE)</f>
        <v>1.0993999999999999</v>
      </c>
      <c r="M262">
        <f>VLOOKUP('Combined table'!B262,products!$A$1:$G$49,7,FALSE)</f>
        <v>1.6490999999999998</v>
      </c>
      <c r="N262" t="str">
        <f>TEXT(A262,"mmm yyyy")</f>
        <v>Nov 2020</v>
      </c>
      <c r="O262">
        <f t="shared" si="4"/>
        <v>27.484999999999996</v>
      </c>
    </row>
    <row r="263" spans="1:15" x14ac:dyDescent="0.25">
      <c r="A263" s="3">
        <v>43538</v>
      </c>
      <c r="B263" t="s">
        <v>6179</v>
      </c>
      <c r="C263" s="2">
        <v>5</v>
      </c>
      <c r="D263" s="2" t="s">
        <v>1965</v>
      </c>
      <c r="E263" s="2" t="s">
        <v>179</v>
      </c>
      <c r="F263" s="2" t="s">
        <v>19</v>
      </c>
      <c r="G263" t="s">
        <v>6190</v>
      </c>
      <c r="H263" t="str">
        <f>VLOOKUP('Combined table'!B263,products!$A$1:$G$49,2,FALSE)</f>
        <v>Rob</v>
      </c>
      <c r="I263" t="str">
        <f>VLOOKUP('Combined table'!B263,products!$A$1:$G$49,3,FALSE)</f>
        <v>L</v>
      </c>
      <c r="J263">
        <f>VLOOKUP('Combined table'!B263,products!$A$1:$G$49,4,FALSE)</f>
        <v>1</v>
      </c>
      <c r="K263">
        <f>VLOOKUP('Combined table'!B263,products!$A$1:$G$49,5,FALSE)</f>
        <v>11.95</v>
      </c>
      <c r="L263">
        <f>VLOOKUP('Combined table'!B263,products!$A$1:$G$49,6,FALSE)</f>
        <v>1.1949999999999998</v>
      </c>
      <c r="M263">
        <f>VLOOKUP('Combined table'!B263,products!$A$1:$G$49,7,FALSE)</f>
        <v>0.71699999999999997</v>
      </c>
      <c r="N263" t="str">
        <f>TEXT(A263,"mmm yyyy")</f>
        <v>Mar 2019</v>
      </c>
      <c r="O263">
        <f t="shared" si="4"/>
        <v>59.75</v>
      </c>
    </row>
    <row r="264" spans="1:15" x14ac:dyDescent="0.25">
      <c r="A264" s="3">
        <v>43693</v>
      </c>
      <c r="B264" t="s">
        <v>6141</v>
      </c>
      <c r="C264" s="2">
        <v>3</v>
      </c>
      <c r="D264" s="2" t="s">
        <v>1971</v>
      </c>
      <c r="E264" s="2" t="s">
        <v>134</v>
      </c>
      <c r="F264" s="2" t="s">
        <v>19</v>
      </c>
      <c r="G264" t="s">
        <v>6191</v>
      </c>
      <c r="H264" t="str">
        <f>VLOOKUP('Combined table'!B264,products!$A$1:$G$49,2,FALSE)</f>
        <v>Exc</v>
      </c>
      <c r="I264" t="str">
        <f>VLOOKUP('Combined table'!B264,products!$A$1:$G$49,3,FALSE)</f>
        <v>M</v>
      </c>
      <c r="J264">
        <f>VLOOKUP('Combined table'!B264,products!$A$1:$G$49,4,FALSE)</f>
        <v>1</v>
      </c>
      <c r="K264">
        <f>VLOOKUP('Combined table'!B264,products!$A$1:$G$49,5,FALSE)</f>
        <v>13.75</v>
      </c>
      <c r="L264">
        <f>VLOOKUP('Combined table'!B264,products!$A$1:$G$49,6,FALSE)</f>
        <v>1.375</v>
      </c>
      <c r="M264">
        <f>VLOOKUP('Combined table'!B264,products!$A$1:$G$49,7,FALSE)</f>
        <v>1.5125</v>
      </c>
      <c r="N264" t="str">
        <f>TEXT(A264,"mmm yyyy")</f>
        <v>Aug 2019</v>
      </c>
      <c r="O264">
        <f t="shared" si="4"/>
        <v>41.25</v>
      </c>
    </row>
    <row r="265" spans="1:15" x14ac:dyDescent="0.25">
      <c r="A265" s="3">
        <v>43577</v>
      </c>
      <c r="B265" t="s">
        <v>6181</v>
      </c>
      <c r="C265" s="2">
        <v>4</v>
      </c>
      <c r="D265" s="2" t="s">
        <v>1977</v>
      </c>
      <c r="E265" s="2" t="s">
        <v>38</v>
      </c>
      <c r="F265" s="2" t="s">
        <v>19</v>
      </c>
      <c r="G265" t="s">
        <v>6191</v>
      </c>
      <c r="H265" t="str">
        <f>VLOOKUP('Combined table'!B265,products!$A$1:$G$49,2,FALSE)</f>
        <v>Lib</v>
      </c>
      <c r="I265" t="str">
        <f>VLOOKUP('Combined table'!B265,products!$A$1:$G$49,3,FALSE)</f>
        <v>M</v>
      </c>
      <c r="J265">
        <f>VLOOKUP('Combined table'!B265,products!$A$1:$G$49,4,FALSE)</f>
        <v>2.5</v>
      </c>
      <c r="K265">
        <f>VLOOKUP('Combined table'!B265,products!$A$1:$G$49,5,FALSE)</f>
        <v>33.464999999999996</v>
      </c>
      <c r="L265">
        <f>VLOOKUP('Combined table'!B265,products!$A$1:$G$49,6,FALSE)</f>
        <v>1.3385999999999998</v>
      </c>
      <c r="M265">
        <f>VLOOKUP('Combined table'!B265,products!$A$1:$G$49,7,FALSE)</f>
        <v>4.3504499999999995</v>
      </c>
      <c r="N265" t="str">
        <f>TEXT(A265,"mmm yyyy")</f>
        <v>Apr 2019</v>
      </c>
      <c r="O265">
        <f t="shared" si="4"/>
        <v>133.85999999999999</v>
      </c>
    </row>
    <row r="266" spans="1:15" x14ac:dyDescent="0.25">
      <c r="A266" s="3">
        <v>44683</v>
      </c>
      <c r="B266" t="s">
        <v>6179</v>
      </c>
      <c r="C266" s="2">
        <v>5</v>
      </c>
      <c r="D266" s="2" t="s">
        <v>1982</v>
      </c>
      <c r="E266" s="2" t="s">
        <v>1985</v>
      </c>
      <c r="F266" s="2" t="s">
        <v>318</v>
      </c>
      <c r="G266" t="s">
        <v>6190</v>
      </c>
      <c r="H266" t="str">
        <f>VLOOKUP('Combined table'!B266,products!$A$1:$G$49,2,FALSE)</f>
        <v>Rob</v>
      </c>
      <c r="I266" t="str">
        <f>VLOOKUP('Combined table'!B266,products!$A$1:$G$49,3,FALSE)</f>
        <v>L</v>
      </c>
      <c r="J266">
        <f>VLOOKUP('Combined table'!B266,products!$A$1:$G$49,4,FALSE)</f>
        <v>1</v>
      </c>
      <c r="K266">
        <f>VLOOKUP('Combined table'!B266,products!$A$1:$G$49,5,FALSE)</f>
        <v>11.95</v>
      </c>
      <c r="L266">
        <f>VLOOKUP('Combined table'!B266,products!$A$1:$G$49,6,FALSE)</f>
        <v>1.1949999999999998</v>
      </c>
      <c r="M266">
        <f>VLOOKUP('Combined table'!B266,products!$A$1:$G$49,7,FALSE)</f>
        <v>0.71699999999999997</v>
      </c>
      <c r="N266" t="str">
        <f>TEXT(A266,"mmm yyyy")</f>
        <v>May 2022</v>
      </c>
      <c r="O266">
        <f t="shared" si="4"/>
        <v>59.75</v>
      </c>
    </row>
    <row r="267" spans="1:15" x14ac:dyDescent="0.25">
      <c r="A267" s="3">
        <v>43872</v>
      </c>
      <c r="B267" t="s">
        <v>6158</v>
      </c>
      <c r="C267" s="2">
        <v>1</v>
      </c>
      <c r="D267" s="2" t="s">
        <v>1988</v>
      </c>
      <c r="E267" s="2" t="s">
        <v>88</v>
      </c>
      <c r="F267" s="2" t="s">
        <v>19</v>
      </c>
      <c r="G267" t="s">
        <v>6190</v>
      </c>
      <c r="H267" t="str">
        <f>VLOOKUP('Combined table'!B267,products!$A$1:$G$49,2,FALSE)</f>
        <v>Ara</v>
      </c>
      <c r="I267" t="str">
        <f>VLOOKUP('Combined table'!B267,products!$A$1:$G$49,3,FALSE)</f>
        <v>D</v>
      </c>
      <c r="J267">
        <f>VLOOKUP('Combined table'!B267,products!$A$1:$G$49,4,FALSE)</f>
        <v>0.5</v>
      </c>
      <c r="K267">
        <f>VLOOKUP('Combined table'!B267,products!$A$1:$G$49,5,FALSE)</f>
        <v>5.97</v>
      </c>
      <c r="L267">
        <f>VLOOKUP('Combined table'!B267,products!$A$1:$G$49,6,FALSE)</f>
        <v>1.194</v>
      </c>
      <c r="M267">
        <f>VLOOKUP('Combined table'!B267,products!$A$1:$G$49,7,FALSE)</f>
        <v>0.5373</v>
      </c>
      <c r="N267" t="str">
        <f>TEXT(A267,"mmm yyyy")</f>
        <v>Feb 2020</v>
      </c>
      <c r="O267">
        <f t="shared" si="4"/>
        <v>5.97</v>
      </c>
    </row>
    <row r="268" spans="1:15" x14ac:dyDescent="0.25">
      <c r="A268" s="3">
        <v>44283</v>
      </c>
      <c r="B268" t="s">
        <v>6183</v>
      </c>
      <c r="C268" s="2">
        <v>2</v>
      </c>
      <c r="D268" s="2" t="s">
        <v>1994</v>
      </c>
      <c r="E268" s="2" t="s">
        <v>280</v>
      </c>
      <c r="F268" s="2" t="s">
        <v>28</v>
      </c>
      <c r="G268" t="s">
        <v>6191</v>
      </c>
      <c r="H268" t="str">
        <f>VLOOKUP('Combined table'!B268,products!$A$1:$G$49,2,FALSE)</f>
        <v>Exc</v>
      </c>
      <c r="I268" t="str">
        <f>VLOOKUP('Combined table'!B268,products!$A$1:$G$49,3,FALSE)</f>
        <v>D</v>
      </c>
      <c r="J268">
        <f>VLOOKUP('Combined table'!B268,products!$A$1:$G$49,4,FALSE)</f>
        <v>1</v>
      </c>
      <c r="K268">
        <f>VLOOKUP('Combined table'!B268,products!$A$1:$G$49,5,FALSE)</f>
        <v>12.15</v>
      </c>
      <c r="L268">
        <f>VLOOKUP('Combined table'!B268,products!$A$1:$G$49,6,FALSE)</f>
        <v>1.2150000000000001</v>
      </c>
      <c r="M268">
        <f>VLOOKUP('Combined table'!B268,products!$A$1:$G$49,7,FALSE)</f>
        <v>1.3365</v>
      </c>
      <c r="N268" t="str">
        <f>TEXT(A268,"mmm yyyy")</f>
        <v>Mar 2021</v>
      </c>
      <c r="O268">
        <f t="shared" si="4"/>
        <v>24.3</v>
      </c>
    </row>
    <row r="269" spans="1:15" x14ac:dyDescent="0.25">
      <c r="A269" s="3">
        <v>44324</v>
      </c>
      <c r="B269" t="s">
        <v>6153</v>
      </c>
      <c r="C269" s="2">
        <v>6</v>
      </c>
      <c r="D269" s="2" t="s">
        <v>2000</v>
      </c>
      <c r="E269" s="2" t="s">
        <v>351</v>
      </c>
      <c r="F269" s="2" t="s">
        <v>19</v>
      </c>
      <c r="G269" t="s">
        <v>6190</v>
      </c>
      <c r="H269" t="str">
        <f>VLOOKUP('Combined table'!B269,products!$A$1:$G$49,2,FALSE)</f>
        <v>Exc</v>
      </c>
      <c r="I269" t="str">
        <f>VLOOKUP('Combined table'!B269,products!$A$1:$G$49,3,FALSE)</f>
        <v>D</v>
      </c>
      <c r="J269">
        <f>VLOOKUP('Combined table'!B269,products!$A$1:$G$49,4,FALSE)</f>
        <v>0.2</v>
      </c>
      <c r="K269">
        <f>VLOOKUP('Combined table'!B269,products!$A$1:$G$49,5,FALSE)</f>
        <v>3.645</v>
      </c>
      <c r="L269">
        <f>VLOOKUP('Combined table'!B269,products!$A$1:$G$49,6,FALSE)</f>
        <v>1.8225</v>
      </c>
      <c r="M269">
        <f>VLOOKUP('Combined table'!B269,products!$A$1:$G$49,7,FALSE)</f>
        <v>0.40095000000000003</v>
      </c>
      <c r="N269" t="str">
        <f>TEXT(A269,"mmm yyyy")</f>
        <v>May 2021</v>
      </c>
      <c r="O269">
        <f t="shared" si="4"/>
        <v>21.87</v>
      </c>
    </row>
    <row r="270" spans="1:15" x14ac:dyDescent="0.25">
      <c r="A270" s="3">
        <v>43790</v>
      </c>
      <c r="B270" t="s">
        <v>6147</v>
      </c>
      <c r="C270" s="2">
        <v>2</v>
      </c>
      <c r="D270" s="2" t="s">
        <v>2006</v>
      </c>
      <c r="E270" s="2" t="s">
        <v>242</v>
      </c>
      <c r="F270" s="2" t="s">
        <v>19</v>
      </c>
      <c r="G270" t="s">
        <v>6190</v>
      </c>
      <c r="H270" t="str">
        <f>VLOOKUP('Combined table'!B270,products!$A$1:$G$49,2,FALSE)</f>
        <v>Ara</v>
      </c>
      <c r="I270" t="str">
        <f>VLOOKUP('Combined table'!B270,products!$A$1:$G$49,3,FALSE)</f>
        <v>D</v>
      </c>
      <c r="J270">
        <f>VLOOKUP('Combined table'!B270,products!$A$1:$G$49,4,FALSE)</f>
        <v>1</v>
      </c>
      <c r="K270">
        <f>VLOOKUP('Combined table'!B270,products!$A$1:$G$49,5,FALSE)</f>
        <v>9.9499999999999993</v>
      </c>
      <c r="L270">
        <f>VLOOKUP('Combined table'!B270,products!$A$1:$G$49,6,FALSE)</f>
        <v>0.99499999999999988</v>
      </c>
      <c r="M270">
        <f>VLOOKUP('Combined table'!B270,products!$A$1:$G$49,7,FALSE)</f>
        <v>0.89549999999999985</v>
      </c>
      <c r="N270" t="str">
        <f>TEXT(A270,"mmm yyyy")</f>
        <v>Nov 2019</v>
      </c>
      <c r="O270">
        <f t="shared" si="4"/>
        <v>19.899999999999999</v>
      </c>
    </row>
    <row r="271" spans="1:15" x14ac:dyDescent="0.25">
      <c r="A271" s="3">
        <v>44333</v>
      </c>
      <c r="B271" t="s">
        <v>6154</v>
      </c>
      <c r="C271" s="2">
        <v>2</v>
      </c>
      <c r="D271" s="2" t="s">
        <v>2011</v>
      </c>
      <c r="E271" s="2" t="s">
        <v>190</v>
      </c>
      <c r="F271" s="2" t="s">
        <v>19</v>
      </c>
      <c r="G271" t="s">
        <v>6191</v>
      </c>
      <c r="H271" t="str">
        <f>VLOOKUP('Combined table'!B271,products!$A$1:$G$49,2,FALSE)</f>
        <v>Ara</v>
      </c>
      <c r="I271" t="str">
        <f>VLOOKUP('Combined table'!B271,products!$A$1:$G$49,3,FALSE)</f>
        <v>D</v>
      </c>
      <c r="J271">
        <f>VLOOKUP('Combined table'!B271,products!$A$1:$G$49,4,FALSE)</f>
        <v>0.2</v>
      </c>
      <c r="K271">
        <f>VLOOKUP('Combined table'!B271,products!$A$1:$G$49,5,FALSE)</f>
        <v>2.9849999999999999</v>
      </c>
      <c r="L271">
        <f>VLOOKUP('Combined table'!B271,products!$A$1:$G$49,6,FALSE)</f>
        <v>1.4924999999999999</v>
      </c>
      <c r="M271">
        <f>VLOOKUP('Combined table'!B271,products!$A$1:$G$49,7,FALSE)</f>
        <v>0.26865</v>
      </c>
      <c r="N271" t="str">
        <f>TEXT(A271,"mmm yyyy")</f>
        <v>May 2021</v>
      </c>
      <c r="O271">
        <f t="shared" si="4"/>
        <v>5.97</v>
      </c>
    </row>
    <row r="272" spans="1:15" x14ac:dyDescent="0.25">
      <c r="A272" s="3">
        <v>43655</v>
      </c>
      <c r="B272" t="s">
        <v>6144</v>
      </c>
      <c r="C272" s="2">
        <v>1</v>
      </c>
      <c r="D272" s="2" t="s">
        <v>2017</v>
      </c>
      <c r="E272" s="2" t="s">
        <v>441</v>
      </c>
      <c r="F272" s="2" t="s">
        <v>318</v>
      </c>
      <c r="G272" t="s">
        <v>6190</v>
      </c>
      <c r="H272" t="str">
        <f>VLOOKUP('Combined table'!B272,products!$A$1:$G$49,2,FALSE)</f>
        <v>Exc</v>
      </c>
      <c r="I272" t="str">
        <f>VLOOKUP('Combined table'!B272,products!$A$1:$G$49,3,FALSE)</f>
        <v>D</v>
      </c>
      <c r="J272">
        <f>VLOOKUP('Combined table'!B272,products!$A$1:$G$49,4,FALSE)</f>
        <v>0.5</v>
      </c>
      <c r="K272">
        <f>VLOOKUP('Combined table'!B272,products!$A$1:$G$49,5,FALSE)</f>
        <v>7.29</v>
      </c>
      <c r="L272">
        <f>VLOOKUP('Combined table'!B272,products!$A$1:$G$49,6,FALSE)</f>
        <v>1.458</v>
      </c>
      <c r="M272">
        <f>VLOOKUP('Combined table'!B272,products!$A$1:$G$49,7,FALSE)</f>
        <v>0.80190000000000006</v>
      </c>
      <c r="N272" t="str">
        <f>TEXT(A272,"mmm yyyy")</f>
        <v>Jul 2019</v>
      </c>
      <c r="O272">
        <f t="shared" si="4"/>
        <v>7.29</v>
      </c>
    </row>
    <row r="273" spans="1:15" x14ac:dyDescent="0.25">
      <c r="A273" s="3">
        <v>43971</v>
      </c>
      <c r="B273" t="s">
        <v>6154</v>
      </c>
      <c r="C273" s="2">
        <v>4</v>
      </c>
      <c r="D273" s="2" t="s">
        <v>2021</v>
      </c>
      <c r="E273" s="2" t="s">
        <v>335</v>
      </c>
      <c r="F273" s="2" t="s">
        <v>19</v>
      </c>
      <c r="G273" t="s">
        <v>6190</v>
      </c>
      <c r="H273" t="str">
        <f>VLOOKUP('Combined table'!B273,products!$A$1:$G$49,2,FALSE)</f>
        <v>Ara</v>
      </c>
      <c r="I273" t="str">
        <f>VLOOKUP('Combined table'!B273,products!$A$1:$G$49,3,FALSE)</f>
        <v>D</v>
      </c>
      <c r="J273">
        <f>VLOOKUP('Combined table'!B273,products!$A$1:$G$49,4,FALSE)</f>
        <v>0.2</v>
      </c>
      <c r="K273">
        <f>VLOOKUP('Combined table'!B273,products!$A$1:$G$49,5,FALSE)</f>
        <v>2.9849999999999999</v>
      </c>
      <c r="L273">
        <f>VLOOKUP('Combined table'!B273,products!$A$1:$G$49,6,FALSE)</f>
        <v>1.4924999999999999</v>
      </c>
      <c r="M273">
        <f>VLOOKUP('Combined table'!B273,products!$A$1:$G$49,7,FALSE)</f>
        <v>0.26865</v>
      </c>
      <c r="N273" t="str">
        <f>TEXT(A273,"mmm yyyy")</f>
        <v>May 2020</v>
      </c>
      <c r="O273">
        <f t="shared" si="4"/>
        <v>11.94</v>
      </c>
    </row>
    <row r="274" spans="1:15" x14ac:dyDescent="0.25">
      <c r="A274" s="3">
        <v>44435</v>
      </c>
      <c r="B274" t="s">
        <v>6179</v>
      </c>
      <c r="C274" s="2">
        <v>6</v>
      </c>
      <c r="D274" s="2" t="s">
        <v>2027</v>
      </c>
      <c r="E274" s="2" t="s">
        <v>2031</v>
      </c>
      <c r="F274" s="2" t="s">
        <v>318</v>
      </c>
      <c r="G274" t="s">
        <v>6190</v>
      </c>
      <c r="H274" t="str">
        <f>VLOOKUP('Combined table'!B274,products!$A$1:$G$49,2,FALSE)</f>
        <v>Rob</v>
      </c>
      <c r="I274" t="str">
        <f>VLOOKUP('Combined table'!B274,products!$A$1:$G$49,3,FALSE)</f>
        <v>L</v>
      </c>
      <c r="J274">
        <f>VLOOKUP('Combined table'!B274,products!$A$1:$G$49,4,FALSE)</f>
        <v>1</v>
      </c>
      <c r="K274">
        <f>VLOOKUP('Combined table'!B274,products!$A$1:$G$49,5,FALSE)</f>
        <v>11.95</v>
      </c>
      <c r="L274">
        <f>VLOOKUP('Combined table'!B274,products!$A$1:$G$49,6,FALSE)</f>
        <v>1.1949999999999998</v>
      </c>
      <c r="M274">
        <f>VLOOKUP('Combined table'!B274,products!$A$1:$G$49,7,FALSE)</f>
        <v>0.71699999999999997</v>
      </c>
      <c r="N274" t="str">
        <f>TEXT(A274,"mmm yyyy")</f>
        <v>Aug 2021</v>
      </c>
      <c r="O274">
        <f t="shared" si="4"/>
        <v>71.699999999999989</v>
      </c>
    </row>
    <row r="275" spans="1:15" x14ac:dyDescent="0.25">
      <c r="A275" s="3">
        <v>44681</v>
      </c>
      <c r="B275" t="s">
        <v>6167</v>
      </c>
      <c r="C275" s="2">
        <v>2</v>
      </c>
      <c r="D275" s="2" t="s">
        <v>2034</v>
      </c>
      <c r="E275" s="2" t="s">
        <v>57</v>
      </c>
      <c r="F275" s="2" t="s">
        <v>19</v>
      </c>
      <c r="G275" t="s">
        <v>6191</v>
      </c>
      <c r="H275" t="str">
        <f>VLOOKUP('Combined table'!B275,products!$A$1:$G$49,2,FALSE)</f>
        <v>Ara</v>
      </c>
      <c r="I275" t="str">
        <f>VLOOKUP('Combined table'!B275,products!$A$1:$G$49,3,FALSE)</f>
        <v>L</v>
      </c>
      <c r="J275">
        <f>VLOOKUP('Combined table'!B275,products!$A$1:$G$49,4,FALSE)</f>
        <v>0.2</v>
      </c>
      <c r="K275">
        <f>VLOOKUP('Combined table'!B275,products!$A$1:$G$49,5,FALSE)</f>
        <v>3.8849999999999998</v>
      </c>
      <c r="L275">
        <f>VLOOKUP('Combined table'!B275,products!$A$1:$G$49,6,FALSE)</f>
        <v>1.9424999999999999</v>
      </c>
      <c r="M275">
        <f>VLOOKUP('Combined table'!B275,products!$A$1:$G$49,7,FALSE)</f>
        <v>0.34964999999999996</v>
      </c>
      <c r="N275" t="str">
        <f>TEXT(A275,"mmm yyyy")</f>
        <v>Apr 2022</v>
      </c>
      <c r="O275">
        <f t="shared" si="4"/>
        <v>7.77</v>
      </c>
    </row>
    <row r="276" spans="1:15" x14ac:dyDescent="0.25">
      <c r="A276" s="3">
        <v>43985</v>
      </c>
      <c r="B276" t="s">
        <v>6175</v>
      </c>
      <c r="C276" s="2">
        <v>1</v>
      </c>
      <c r="D276" s="2" t="s">
        <v>2040</v>
      </c>
      <c r="E276" s="2" t="s">
        <v>165</v>
      </c>
      <c r="F276" s="2" t="s">
        <v>19</v>
      </c>
      <c r="G276" t="s">
        <v>6191</v>
      </c>
      <c r="H276" t="str">
        <f>VLOOKUP('Combined table'!B276,products!$A$1:$G$49,2,FALSE)</f>
        <v>Ara</v>
      </c>
      <c r="I276" t="str">
        <f>VLOOKUP('Combined table'!B276,products!$A$1:$G$49,3,FALSE)</f>
        <v>M</v>
      </c>
      <c r="J276">
        <f>VLOOKUP('Combined table'!B276,products!$A$1:$G$49,4,FALSE)</f>
        <v>2.5</v>
      </c>
      <c r="K276">
        <f>VLOOKUP('Combined table'!B276,products!$A$1:$G$49,5,FALSE)</f>
        <v>25.874999999999996</v>
      </c>
      <c r="L276">
        <f>VLOOKUP('Combined table'!B276,products!$A$1:$G$49,6,FALSE)</f>
        <v>1.0349999999999999</v>
      </c>
      <c r="M276">
        <f>VLOOKUP('Combined table'!B276,products!$A$1:$G$49,7,FALSE)</f>
        <v>2.3287499999999994</v>
      </c>
      <c r="N276" t="str">
        <f>TEXT(A276,"mmm yyyy")</f>
        <v>Jun 2020</v>
      </c>
      <c r="O276">
        <f t="shared" si="4"/>
        <v>25.874999999999996</v>
      </c>
    </row>
    <row r="277" spans="1:15" x14ac:dyDescent="0.25">
      <c r="A277" s="3">
        <v>44725</v>
      </c>
      <c r="B277" t="s">
        <v>6148</v>
      </c>
      <c r="C277" s="2">
        <v>6</v>
      </c>
      <c r="D277" s="2" t="s">
        <v>2046</v>
      </c>
      <c r="E277" s="2" t="s">
        <v>260</v>
      </c>
      <c r="F277" s="2" t="s">
        <v>19</v>
      </c>
      <c r="G277" t="s">
        <v>6191</v>
      </c>
      <c r="H277" t="str">
        <f>VLOOKUP('Combined table'!B277,products!$A$1:$G$49,2,FALSE)</f>
        <v>Exc</v>
      </c>
      <c r="I277" t="str">
        <f>VLOOKUP('Combined table'!B277,products!$A$1:$G$49,3,FALSE)</f>
        <v>L</v>
      </c>
      <c r="J277">
        <f>VLOOKUP('Combined table'!B277,products!$A$1:$G$49,4,FALSE)</f>
        <v>2.5</v>
      </c>
      <c r="K277">
        <f>VLOOKUP('Combined table'!B277,products!$A$1:$G$49,5,FALSE)</f>
        <v>34.154999999999994</v>
      </c>
      <c r="L277">
        <f>VLOOKUP('Combined table'!B277,products!$A$1:$G$49,6,FALSE)</f>
        <v>1.3661999999999999</v>
      </c>
      <c r="M277">
        <f>VLOOKUP('Combined table'!B277,products!$A$1:$G$49,7,FALSE)</f>
        <v>3.7570499999999996</v>
      </c>
      <c r="N277" t="str">
        <f>TEXT(A277,"mmm yyyy")</f>
        <v>Jun 2022</v>
      </c>
      <c r="O277">
        <f t="shared" si="4"/>
        <v>204.92999999999995</v>
      </c>
    </row>
    <row r="278" spans="1:15" x14ac:dyDescent="0.25">
      <c r="A278" s="3">
        <v>43992</v>
      </c>
      <c r="B278" t="s">
        <v>6142</v>
      </c>
      <c r="C278" s="2">
        <v>4</v>
      </c>
      <c r="D278" s="2" t="s">
        <v>2052</v>
      </c>
      <c r="E278" s="2" t="s">
        <v>325</v>
      </c>
      <c r="F278" s="2" t="s">
        <v>318</v>
      </c>
      <c r="G278" t="s">
        <v>6190</v>
      </c>
      <c r="H278" t="str">
        <f>VLOOKUP('Combined table'!B278,products!$A$1:$G$49,2,FALSE)</f>
        <v>Rob</v>
      </c>
      <c r="I278" t="str">
        <f>VLOOKUP('Combined table'!B278,products!$A$1:$G$49,3,FALSE)</f>
        <v>L</v>
      </c>
      <c r="J278">
        <f>VLOOKUP('Combined table'!B278,products!$A$1:$G$49,4,FALSE)</f>
        <v>2.5</v>
      </c>
      <c r="K278">
        <f>VLOOKUP('Combined table'!B278,products!$A$1:$G$49,5,FALSE)</f>
        <v>27.484999999999996</v>
      </c>
      <c r="L278">
        <f>VLOOKUP('Combined table'!B278,products!$A$1:$G$49,6,FALSE)</f>
        <v>1.0993999999999999</v>
      </c>
      <c r="M278">
        <f>VLOOKUP('Combined table'!B278,products!$A$1:$G$49,7,FALSE)</f>
        <v>1.6490999999999998</v>
      </c>
      <c r="N278" t="str">
        <f>TEXT(A278,"mmm yyyy")</f>
        <v>Jun 2020</v>
      </c>
      <c r="O278">
        <f t="shared" si="4"/>
        <v>109.93999999999998</v>
      </c>
    </row>
    <row r="279" spans="1:15" x14ac:dyDescent="0.25">
      <c r="A279" s="3">
        <v>44183</v>
      </c>
      <c r="B279" t="s">
        <v>6171</v>
      </c>
      <c r="C279" s="2">
        <v>6</v>
      </c>
      <c r="D279" s="2" t="s">
        <v>2058</v>
      </c>
      <c r="E279" s="2" t="s">
        <v>60</v>
      </c>
      <c r="F279" s="2" t="s">
        <v>19</v>
      </c>
      <c r="G279" t="s">
        <v>6191</v>
      </c>
      <c r="H279" t="str">
        <f>VLOOKUP('Combined table'!B279,products!$A$1:$G$49,2,FALSE)</f>
        <v>Exc</v>
      </c>
      <c r="I279" t="str">
        <f>VLOOKUP('Combined table'!B279,products!$A$1:$G$49,3,FALSE)</f>
        <v>L</v>
      </c>
      <c r="J279">
        <f>VLOOKUP('Combined table'!B279,products!$A$1:$G$49,4,FALSE)</f>
        <v>1</v>
      </c>
      <c r="K279">
        <f>VLOOKUP('Combined table'!B279,products!$A$1:$G$49,5,FALSE)</f>
        <v>14.85</v>
      </c>
      <c r="L279">
        <f>VLOOKUP('Combined table'!B279,products!$A$1:$G$49,6,FALSE)</f>
        <v>1.4849999999999999</v>
      </c>
      <c r="M279">
        <f>VLOOKUP('Combined table'!B279,products!$A$1:$G$49,7,FALSE)</f>
        <v>1.6335</v>
      </c>
      <c r="N279" t="str">
        <f>TEXT(A279,"mmm yyyy")</f>
        <v>Dec 2020</v>
      </c>
      <c r="O279">
        <f t="shared" si="4"/>
        <v>89.1</v>
      </c>
    </row>
    <row r="280" spans="1:15" x14ac:dyDescent="0.25">
      <c r="A280" s="3">
        <v>43708</v>
      </c>
      <c r="B280" t="s">
        <v>6167</v>
      </c>
      <c r="C280" s="2">
        <v>2</v>
      </c>
      <c r="D280" s="2" t="s">
        <v>2064</v>
      </c>
      <c r="E280" s="2" t="s">
        <v>66</v>
      </c>
      <c r="F280" s="2" t="s">
        <v>19</v>
      </c>
      <c r="G280" t="s">
        <v>6190</v>
      </c>
      <c r="H280" t="str">
        <f>VLOOKUP('Combined table'!B280,products!$A$1:$G$49,2,FALSE)</f>
        <v>Ara</v>
      </c>
      <c r="I280" t="str">
        <f>VLOOKUP('Combined table'!B280,products!$A$1:$G$49,3,FALSE)</f>
        <v>L</v>
      </c>
      <c r="J280">
        <f>VLOOKUP('Combined table'!B280,products!$A$1:$G$49,4,FALSE)</f>
        <v>0.2</v>
      </c>
      <c r="K280">
        <f>VLOOKUP('Combined table'!B280,products!$A$1:$G$49,5,FALSE)</f>
        <v>3.8849999999999998</v>
      </c>
      <c r="L280">
        <f>VLOOKUP('Combined table'!B280,products!$A$1:$G$49,6,FALSE)</f>
        <v>1.9424999999999999</v>
      </c>
      <c r="M280">
        <f>VLOOKUP('Combined table'!B280,products!$A$1:$G$49,7,FALSE)</f>
        <v>0.34964999999999996</v>
      </c>
      <c r="N280" t="str">
        <f>TEXT(A280,"mmm yyyy")</f>
        <v>Aug 2019</v>
      </c>
      <c r="O280">
        <f t="shared" si="4"/>
        <v>7.77</v>
      </c>
    </row>
    <row r="281" spans="1:15" x14ac:dyDescent="0.25">
      <c r="A281" s="3">
        <v>43521</v>
      </c>
      <c r="B281" t="s">
        <v>6181</v>
      </c>
      <c r="C281" s="2">
        <v>1</v>
      </c>
      <c r="D281" s="2" t="s">
        <v>2070</v>
      </c>
      <c r="E281" s="2" t="s">
        <v>104</v>
      </c>
      <c r="F281" s="2" t="s">
        <v>19</v>
      </c>
      <c r="G281" t="s">
        <v>6190</v>
      </c>
      <c r="H281" t="str">
        <f>VLOOKUP('Combined table'!B281,products!$A$1:$G$49,2,FALSE)</f>
        <v>Lib</v>
      </c>
      <c r="I281" t="str">
        <f>VLOOKUP('Combined table'!B281,products!$A$1:$G$49,3,FALSE)</f>
        <v>M</v>
      </c>
      <c r="J281">
        <f>VLOOKUP('Combined table'!B281,products!$A$1:$G$49,4,FALSE)</f>
        <v>2.5</v>
      </c>
      <c r="K281">
        <f>VLOOKUP('Combined table'!B281,products!$A$1:$G$49,5,FALSE)</f>
        <v>33.464999999999996</v>
      </c>
      <c r="L281">
        <f>VLOOKUP('Combined table'!B281,products!$A$1:$G$49,6,FALSE)</f>
        <v>1.3385999999999998</v>
      </c>
      <c r="M281">
        <f>VLOOKUP('Combined table'!B281,products!$A$1:$G$49,7,FALSE)</f>
        <v>4.3504499999999995</v>
      </c>
      <c r="N281" t="str">
        <f>TEXT(A281,"mmm yyyy")</f>
        <v>Feb 2019</v>
      </c>
      <c r="O281">
        <f t="shared" si="4"/>
        <v>33.464999999999996</v>
      </c>
    </row>
    <row r="282" spans="1:15" x14ac:dyDescent="0.25">
      <c r="A282" s="3">
        <v>44234</v>
      </c>
      <c r="B282" t="s">
        <v>6139</v>
      </c>
      <c r="C282" s="2">
        <v>5</v>
      </c>
      <c r="D282" s="2" t="s">
        <v>2076</v>
      </c>
      <c r="E282" s="2" t="s">
        <v>189</v>
      </c>
      <c r="F282" s="2" t="s">
        <v>19</v>
      </c>
      <c r="G282" t="s">
        <v>6190</v>
      </c>
      <c r="H282" t="str">
        <f>VLOOKUP('Combined table'!B282,products!$A$1:$G$49,2,FALSE)</f>
        <v>Exc</v>
      </c>
      <c r="I282" t="str">
        <f>VLOOKUP('Combined table'!B282,products!$A$1:$G$49,3,FALSE)</f>
        <v>M</v>
      </c>
      <c r="J282">
        <f>VLOOKUP('Combined table'!B282,products!$A$1:$G$49,4,FALSE)</f>
        <v>0.5</v>
      </c>
      <c r="K282">
        <f>VLOOKUP('Combined table'!B282,products!$A$1:$G$49,5,FALSE)</f>
        <v>8.25</v>
      </c>
      <c r="L282">
        <f>VLOOKUP('Combined table'!B282,products!$A$1:$G$49,6,FALSE)</f>
        <v>1.65</v>
      </c>
      <c r="M282">
        <f>VLOOKUP('Combined table'!B282,products!$A$1:$G$49,7,FALSE)</f>
        <v>0.90749999999999997</v>
      </c>
      <c r="N282" t="str">
        <f>TEXT(A282,"mmm yyyy")</f>
        <v>Feb 2021</v>
      </c>
      <c r="O282">
        <f t="shared" si="4"/>
        <v>41.25</v>
      </c>
    </row>
    <row r="283" spans="1:15" x14ac:dyDescent="0.25">
      <c r="A283" s="3">
        <v>44210</v>
      </c>
      <c r="B283" t="s">
        <v>6171</v>
      </c>
      <c r="C283" s="2">
        <v>4</v>
      </c>
      <c r="D283" s="2" t="s">
        <v>2081</v>
      </c>
      <c r="E283" s="2" t="s">
        <v>112</v>
      </c>
      <c r="F283" s="2" t="s">
        <v>19</v>
      </c>
      <c r="G283" t="s">
        <v>6190</v>
      </c>
      <c r="H283" t="str">
        <f>VLOOKUP('Combined table'!B283,products!$A$1:$G$49,2,FALSE)</f>
        <v>Exc</v>
      </c>
      <c r="I283" t="str">
        <f>VLOOKUP('Combined table'!B283,products!$A$1:$G$49,3,FALSE)</f>
        <v>L</v>
      </c>
      <c r="J283">
        <f>VLOOKUP('Combined table'!B283,products!$A$1:$G$49,4,FALSE)</f>
        <v>1</v>
      </c>
      <c r="K283">
        <f>VLOOKUP('Combined table'!B283,products!$A$1:$G$49,5,FALSE)</f>
        <v>14.85</v>
      </c>
      <c r="L283">
        <f>VLOOKUP('Combined table'!B283,products!$A$1:$G$49,6,FALSE)</f>
        <v>1.4849999999999999</v>
      </c>
      <c r="M283">
        <f>VLOOKUP('Combined table'!B283,products!$A$1:$G$49,7,FALSE)</f>
        <v>1.6335</v>
      </c>
      <c r="N283" t="str">
        <f>TEXT(A283,"mmm yyyy")</f>
        <v>Jan 2021</v>
      </c>
      <c r="O283">
        <f t="shared" si="4"/>
        <v>59.4</v>
      </c>
    </row>
    <row r="284" spans="1:15" x14ac:dyDescent="0.25">
      <c r="A284" s="3">
        <v>43520</v>
      </c>
      <c r="B284" t="s">
        <v>6180</v>
      </c>
      <c r="C284" s="2">
        <v>1</v>
      </c>
      <c r="D284" s="2" t="s">
        <v>2087</v>
      </c>
      <c r="E284" s="2" t="s">
        <v>220</v>
      </c>
      <c r="F284" s="2" t="s">
        <v>28</v>
      </c>
      <c r="G284" t="s">
        <v>6191</v>
      </c>
      <c r="H284" t="str">
        <f>VLOOKUP('Combined table'!B284,products!$A$1:$G$49,2,FALSE)</f>
        <v>Ara</v>
      </c>
      <c r="I284" t="str">
        <f>VLOOKUP('Combined table'!B284,products!$A$1:$G$49,3,FALSE)</f>
        <v>L</v>
      </c>
      <c r="J284">
        <f>VLOOKUP('Combined table'!B284,products!$A$1:$G$49,4,FALSE)</f>
        <v>0.5</v>
      </c>
      <c r="K284">
        <f>VLOOKUP('Combined table'!B284,products!$A$1:$G$49,5,FALSE)</f>
        <v>7.77</v>
      </c>
      <c r="L284">
        <f>VLOOKUP('Combined table'!B284,products!$A$1:$G$49,6,FALSE)</f>
        <v>1.5539999999999998</v>
      </c>
      <c r="M284">
        <f>VLOOKUP('Combined table'!B284,products!$A$1:$G$49,7,FALSE)</f>
        <v>0.69929999999999992</v>
      </c>
      <c r="N284" t="str">
        <f>TEXT(A284,"mmm yyyy")</f>
        <v>Feb 2019</v>
      </c>
      <c r="O284">
        <f t="shared" si="4"/>
        <v>7.77</v>
      </c>
    </row>
    <row r="285" spans="1:15" x14ac:dyDescent="0.25">
      <c r="A285" s="3">
        <v>43639</v>
      </c>
      <c r="B285" t="s">
        <v>6172</v>
      </c>
      <c r="C285" s="2">
        <v>1</v>
      </c>
      <c r="D285" s="2" t="s">
        <v>2093</v>
      </c>
      <c r="E285" s="2" t="s">
        <v>176</v>
      </c>
      <c r="F285" s="2" t="s">
        <v>28</v>
      </c>
      <c r="G285" t="s">
        <v>6190</v>
      </c>
      <c r="H285" t="str">
        <f>VLOOKUP('Combined table'!B285,products!$A$1:$G$49,2,FALSE)</f>
        <v>Rob</v>
      </c>
      <c r="I285" t="str">
        <f>VLOOKUP('Combined table'!B285,products!$A$1:$G$49,3,FALSE)</f>
        <v>D</v>
      </c>
      <c r="J285">
        <f>VLOOKUP('Combined table'!B285,products!$A$1:$G$49,4,FALSE)</f>
        <v>0.5</v>
      </c>
      <c r="K285">
        <f>VLOOKUP('Combined table'!B285,products!$A$1:$G$49,5,FALSE)</f>
        <v>5.3699999999999992</v>
      </c>
      <c r="L285">
        <f>VLOOKUP('Combined table'!B285,products!$A$1:$G$49,6,FALSE)</f>
        <v>1.0739999999999998</v>
      </c>
      <c r="M285">
        <f>VLOOKUP('Combined table'!B285,products!$A$1:$G$49,7,FALSE)</f>
        <v>0.32219999999999993</v>
      </c>
      <c r="N285" t="str">
        <f>TEXT(A285,"mmm yyyy")</f>
        <v>Jun 2019</v>
      </c>
      <c r="O285">
        <f t="shared" si="4"/>
        <v>5.3699999999999992</v>
      </c>
    </row>
    <row r="286" spans="1:15" x14ac:dyDescent="0.25">
      <c r="A286" s="3">
        <v>43960</v>
      </c>
      <c r="B286" t="s">
        <v>6166</v>
      </c>
      <c r="C286" s="2">
        <v>3</v>
      </c>
      <c r="D286" s="2" t="s">
        <v>2099</v>
      </c>
      <c r="E286" s="2" t="s">
        <v>44</v>
      </c>
      <c r="F286" s="2" t="s">
        <v>19</v>
      </c>
      <c r="G286" t="s">
        <v>6191</v>
      </c>
      <c r="H286" t="str">
        <f>VLOOKUP('Combined table'!B286,products!$A$1:$G$49,2,FALSE)</f>
        <v>Exc</v>
      </c>
      <c r="I286" t="str">
        <f>VLOOKUP('Combined table'!B286,products!$A$1:$G$49,3,FALSE)</f>
        <v>M</v>
      </c>
      <c r="J286">
        <f>VLOOKUP('Combined table'!B286,products!$A$1:$G$49,4,FALSE)</f>
        <v>2.5</v>
      </c>
      <c r="K286">
        <f>VLOOKUP('Combined table'!B286,products!$A$1:$G$49,5,FALSE)</f>
        <v>31.624999999999996</v>
      </c>
      <c r="L286">
        <f>VLOOKUP('Combined table'!B286,products!$A$1:$G$49,6,FALSE)</f>
        <v>1.2649999999999999</v>
      </c>
      <c r="M286">
        <f>VLOOKUP('Combined table'!B286,products!$A$1:$G$49,7,FALSE)</f>
        <v>3.4787499999999998</v>
      </c>
      <c r="N286" t="str">
        <f>TEXT(A286,"mmm yyyy")</f>
        <v>May 2020</v>
      </c>
      <c r="O286">
        <f t="shared" si="4"/>
        <v>94.874999999999986</v>
      </c>
    </row>
    <row r="287" spans="1:15" x14ac:dyDescent="0.25">
      <c r="A287" s="3">
        <v>44030</v>
      </c>
      <c r="B287" t="s">
        <v>6164</v>
      </c>
      <c r="C287" s="2">
        <v>1</v>
      </c>
      <c r="D287" s="2" t="s">
        <v>2104</v>
      </c>
      <c r="E287" s="2" t="s">
        <v>120</v>
      </c>
      <c r="F287" s="2" t="s">
        <v>19</v>
      </c>
      <c r="G287" t="s">
        <v>6191</v>
      </c>
      <c r="H287" t="str">
        <f>VLOOKUP('Combined table'!B287,products!$A$1:$G$49,2,FALSE)</f>
        <v>Lib</v>
      </c>
      <c r="I287" t="str">
        <f>VLOOKUP('Combined table'!B287,products!$A$1:$G$49,3,FALSE)</f>
        <v>L</v>
      </c>
      <c r="J287">
        <f>VLOOKUP('Combined table'!B287,products!$A$1:$G$49,4,FALSE)</f>
        <v>2.5</v>
      </c>
      <c r="K287">
        <f>VLOOKUP('Combined table'!B287,products!$A$1:$G$49,5,FALSE)</f>
        <v>36.454999999999998</v>
      </c>
      <c r="L287">
        <f>VLOOKUP('Combined table'!B287,products!$A$1:$G$49,6,FALSE)</f>
        <v>1.4581999999999999</v>
      </c>
      <c r="M287">
        <f>VLOOKUP('Combined table'!B287,products!$A$1:$G$49,7,FALSE)</f>
        <v>4.7391499999999995</v>
      </c>
      <c r="N287" t="str">
        <f>TEXT(A287,"mmm yyyy")</f>
        <v>Jul 2020</v>
      </c>
      <c r="O287">
        <f t="shared" si="4"/>
        <v>36.454999999999998</v>
      </c>
    </row>
    <row r="288" spans="1:15" x14ac:dyDescent="0.25">
      <c r="A288" s="3">
        <v>43755</v>
      </c>
      <c r="B288" t="s">
        <v>6152</v>
      </c>
      <c r="C288" s="2">
        <v>4</v>
      </c>
      <c r="D288" s="2" t="s">
        <v>2109</v>
      </c>
      <c r="E288" s="2" t="s">
        <v>303</v>
      </c>
      <c r="F288" s="2" t="s">
        <v>19</v>
      </c>
      <c r="G288" t="s">
        <v>6190</v>
      </c>
      <c r="H288" t="str">
        <f>VLOOKUP('Combined table'!B288,products!$A$1:$G$49,2,FALSE)</f>
        <v>Ara</v>
      </c>
      <c r="I288" t="str">
        <f>VLOOKUP('Combined table'!B288,products!$A$1:$G$49,3,FALSE)</f>
        <v>M</v>
      </c>
      <c r="J288">
        <f>VLOOKUP('Combined table'!B288,products!$A$1:$G$49,4,FALSE)</f>
        <v>0.2</v>
      </c>
      <c r="K288">
        <f>VLOOKUP('Combined table'!B288,products!$A$1:$G$49,5,FALSE)</f>
        <v>3.375</v>
      </c>
      <c r="L288">
        <f>VLOOKUP('Combined table'!B288,products!$A$1:$G$49,6,FALSE)</f>
        <v>1.6875</v>
      </c>
      <c r="M288">
        <f>VLOOKUP('Combined table'!B288,products!$A$1:$G$49,7,FALSE)</f>
        <v>0.30374999999999996</v>
      </c>
      <c r="N288" t="str">
        <f>TEXT(A288,"mmm yyyy")</f>
        <v>Oct 2019</v>
      </c>
      <c r="O288">
        <f t="shared" si="4"/>
        <v>13.5</v>
      </c>
    </row>
    <row r="289" spans="1:15" x14ac:dyDescent="0.25">
      <c r="A289" s="3">
        <v>44697</v>
      </c>
      <c r="B289" t="s">
        <v>6178</v>
      </c>
      <c r="C289" s="2">
        <v>4</v>
      </c>
      <c r="D289" s="2" t="s">
        <v>2114</v>
      </c>
      <c r="E289" s="2" t="s">
        <v>241</v>
      </c>
      <c r="F289" s="2" t="s">
        <v>19</v>
      </c>
      <c r="G289" t="s">
        <v>6191</v>
      </c>
      <c r="H289" t="str">
        <f>VLOOKUP('Combined table'!B289,products!$A$1:$G$49,2,FALSE)</f>
        <v>Rob</v>
      </c>
      <c r="I289" t="str">
        <f>VLOOKUP('Combined table'!B289,products!$A$1:$G$49,3,FALSE)</f>
        <v>L</v>
      </c>
      <c r="J289">
        <f>VLOOKUP('Combined table'!B289,products!$A$1:$G$49,4,FALSE)</f>
        <v>0.2</v>
      </c>
      <c r="K289">
        <f>VLOOKUP('Combined table'!B289,products!$A$1:$G$49,5,FALSE)</f>
        <v>3.5849999999999995</v>
      </c>
      <c r="L289">
        <f>VLOOKUP('Combined table'!B289,products!$A$1:$G$49,6,FALSE)</f>
        <v>1.7924999999999998</v>
      </c>
      <c r="M289">
        <f>VLOOKUP('Combined table'!B289,products!$A$1:$G$49,7,FALSE)</f>
        <v>0.21509999999999996</v>
      </c>
      <c r="N289" t="str">
        <f>TEXT(A289,"mmm yyyy")</f>
        <v>May 2022</v>
      </c>
      <c r="O289">
        <f t="shared" si="4"/>
        <v>14.339999999999998</v>
      </c>
    </row>
    <row r="290" spans="1:15" x14ac:dyDescent="0.25">
      <c r="A290" s="3">
        <v>44279</v>
      </c>
      <c r="B290" t="s">
        <v>6139</v>
      </c>
      <c r="C290" s="2">
        <v>1</v>
      </c>
      <c r="D290" s="2" t="s">
        <v>2120</v>
      </c>
      <c r="E290" s="2" t="s">
        <v>403</v>
      </c>
      <c r="F290" s="2" t="s">
        <v>318</v>
      </c>
      <c r="G290" t="s">
        <v>6190</v>
      </c>
      <c r="H290" t="str">
        <f>VLOOKUP('Combined table'!B290,products!$A$1:$G$49,2,FALSE)</f>
        <v>Exc</v>
      </c>
      <c r="I290" t="str">
        <f>VLOOKUP('Combined table'!B290,products!$A$1:$G$49,3,FALSE)</f>
        <v>M</v>
      </c>
      <c r="J290">
        <f>VLOOKUP('Combined table'!B290,products!$A$1:$G$49,4,FALSE)</f>
        <v>0.5</v>
      </c>
      <c r="K290">
        <f>VLOOKUP('Combined table'!B290,products!$A$1:$G$49,5,FALSE)</f>
        <v>8.25</v>
      </c>
      <c r="L290">
        <f>VLOOKUP('Combined table'!B290,products!$A$1:$G$49,6,FALSE)</f>
        <v>1.65</v>
      </c>
      <c r="M290">
        <f>VLOOKUP('Combined table'!B290,products!$A$1:$G$49,7,FALSE)</f>
        <v>0.90749999999999997</v>
      </c>
      <c r="N290" t="str">
        <f>TEXT(A290,"mmm yyyy")</f>
        <v>Mar 2021</v>
      </c>
      <c r="O290">
        <f t="shared" si="4"/>
        <v>8.25</v>
      </c>
    </row>
    <row r="291" spans="1:15" x14ac:dyDescent="0.25">
      <c r="A291" s="3">
        <v>43772</v>
      </c>
      <c r="B291" t="s">
        <v>6163</v>
      </c>
      <c r="C291" s="2">
        <v>5</v>
      </c>
      <c r="D291" s="2" t="s">
        <v>2125</v>
      </c>
      <c r="E291" s="2" t="s">
        <v>222</v>
      </c>
      <c r="F291" s="2" t="s">
        <v>19</v>
      </c>
      <c r="G291" t="s">
        <v>6190</v>
      </c>
      <c r="H291" t="str">
        <f>VLOOKUP('Combined table'!B291,products!$A$1:$G$49,2,FALSE)</f>
        <v>Rob</v>
      </c>
      <c r="I291" t="str">
        <f>VLOOKUP('Combined table'!B291,products!$A$1:$G$49,3,FALSE)</f>
        <v>D</v>
      </c>
      <c r="J291">
        <f>VLOOKUP('Combined table'!B291,products!$A$1:$G$49,4,FALSE)</f>
        <v>0.2</v>
      </c>
      <c r="K291">
        <f>VLOOKUP('Combined table'!B291,products!$A$1:$G$49,5,FALSE)</f>
        <v>2.6849999999999996</v>
      </c>
      <c r="L291">
        <f>VLOOKUP('Combined table'!B291,products!$A$1:$G$49,6,FALSE)</f>
        <v>1.3424999999999998</v>
      </c>
      <c r="M291">
        <f>VLOOKUP('Combined table'!B291,products!$A$1:$G$49,7,FALSE)</f>
        <v>0.16109999999999997</v>
      </c>
      <c r="N291" t="str">
        <f>TEXT(A291,"mmm yyyy")</f>
        <v>Nov 2019</v>
      </c>
      <c r="O291">
        <f t="shared" si="4"/>
        <v>13.424999999999997</v>
      </c>
    </row>
    <row r="292" spans="1:15" x14ac:dyDescent="0.25">
      <c r="A292" s="3">
        <v>44497</v>
      </c>
      <c r="B292" t="s">
        <v>6147</v>
      </c>
      <c r="C292" s="2">
        <v>5</v>
      </c>
      <c r="D292" s="2" t="s">
        <v>2129</v>
      </c>
      <c r="E292" s="2" t="s">
        <v>27</v>
      </c>
      <c r="F292" s="2" t="s">
        <v>19</v>
      </c>
      <c r="G292" t="s">
        <v>6191</v>
      </c>
      <c r="H292" t="str">
        <f>VLOOKUP('Combined table'!B292,products!$A$1:$G$49,2,FALSE)</f>
        <v>Ara</v>
      </c>
      <c r="I292" t="str">
        <f>VLOOKUP('Combined table'!B292,products!$A$1:$G$49,3,FALSE)</f>
        <v>D</v>
      </c>
      <c r="J292">
        <f>VLOOKUP('Combined table'!B292,products!$A$1:$G$49,4,FALSE)</f>
        <v>1</v>
      </c>
      <c r="K292">
        <f>VLOOKUP('Combined table'!B292,products!$A$1:$G$49,5,FALSE)</f>
        <v>9.9499999999999993</v>
      </c>
      <c r="L292">
        <f>VLOOKUP('Combined table'!B292,products!$A$1:$G$49,6,FALSE)</f>
        <v>0.99499999999999988</v>
      </c>
      <c r="M292">
        <f>VLOOKUP('Combined table'!B292,products!$A$1:$G$49,7,FALSE)</f>
        <v>0.89549999999999985</v>
      </c>
      <c r="N292" t="str">
        <f>TEXT(A292,"mmm yyyy")</f>
        <v>Oct 2021</v>
      </c>
      <c r="O292">
        <f t="shared" si="4"/>
        <v>49.75</v>
      </c>
    </row>
    <row r="293" spans="1:15" x14ac:dyDescent="0.25">
      <c r="A293" s="3">
        <v>44181</v>
      </c>
      <c r="B293" t="s">
        <v>6139</v>
      </c>
      <c r="C293" s="2">
        <v>2</v>
      </c>
      <c r="D293" s="2" t="s">
        <v>2135</v>
      </c>
      <c r="E293" s="2" t="s">
        <v>447</v>
      </c>
      <c r="F293" s="2" t="s">
        <v>318</v>
      </c>
      <c r="G293" t="s">
        <v>6191</v>
      </c>
      <c r="H293" t="str">
        <f>VLOOKUP('Combined table'!B293,products!$A$1:$G$49,2,FALSE)</f>
        <v>Exc</v>
      </c>
      <c r="I293" t="str">
        <f>VLOOKUP('Combined table'!B293,products!$A$1:$G$49,3,FALSE)</f>
        <v>M</v>
      </c>
      <c r="J293">
        <f>VLOOKUP('Combined table'!B293,products!$A$1:$G$49,4,FALSE)</f>
        <v>0.5</v>
      </c>
      <c r="K293">
        <f>VLOOKUP('Combined table'!B293,products!$A$1:$G$49,5,FALSE)</f>
        <v>8.25</v>
      </c>
      <c r="L293">
        <f>VLOOKUP('Combined table'!B293,products!$A$1:$G$49,6,FALSE)</f>
        <v>1.65</v>
      </c>
      <c r="M293">
        <f>VLOOKUP('Combined table'!B293,products!$A$1:$G$49,7,FALSE)</f>
        <v>0.90749999999999997</v>
      </c>
      <c r="N293" t="str">
        <f>TEXT(A293,"mmm yyyy")</f>
        <v>Dec 2020</v>
      </c>
      <c r="O293">
        <f t="shared" si="4"/>
        <v>16.5</v>
      </c>
    </row>
    <row r="294" spans="1:15" x14ac:dyDescent="0.25">
      <c r="A294" s="3">
        <v>44529</v>
      </c>
      <c r="B294" t="s">
        <v>6158</v>
      </c>
      <c r="C294" s="2">
        <v>3</v>
      </c>
      <c r="D294" s="2" t="s">
        <v>2139</v>
      </c>
      <c r="E294" s="2" t="s">
        <v>144</v>
      </c>
      <c r="F294" s="2" t="s">
        <v>19</v>
      </c>
      <c r="G294" t="s">
        <v>6191</v>
      </c>
      <c r="H294" t="str">
        <f>VLOOKUP('Combined table'!B294,products!$A$1:$G$49,2,FALSE)</f>
        <v>Ara</v>
      </c>
      <c r="I294" t="str">
        <f>VLOOKUP('Combined table'!B294,products!$A$1:$G$49,3,FALSE)</f>
        <v>D</v>
      </c>
      <c r="J294">
        <f>VLOOKUP('Combined table'!B294,products!$A$1:$G$49,4,FALSE)</f>
        <v>0.5</v>
      </c>
      <c r="K294">
        <f>VLOOKUP('Combined table'!B294,products!$A$1:$G$49,5,FALSE)</f>
        <v>5.97</v>
      </c>
      <c r="L294">
        <f>VLOOKUP('Combined table'!B294,products!$A$1:$G$49,6,FALSE)</f>
        <v>1.194</v>
      </c>
      <c r="M294">
        <f>VLOOKUP('Combined table'!B294,products!$A$1:$G$49,7,FALSE)</f>
        <v>0.5373</v>
      </c>
      <c r="N294" t="str">
        <f>TEXT(A294,"mmm yyyy")</f>
        <v>Nov 2021</v>
      </c>
      <c r="O294">
        <f t="shared" si="4"/>
        <v>17.91</v>
      </c>
    </row>
    <row r="295" spans="1:15" x14ac:dyDescent="0.25">
      <c r="A295" s="3">
        <v>44275</v>
      </c>
      <c r="B295" t="s">
        <v>6158</v>
      </c>
      <c r="C295" s="2">
        <v>5</v>
      </c>
      <c r="D295" s="2" t="s">
        <v>2144</v>
      </c>
      <c r="E295" s="2" t="s">
        <v>164</v>
      </c>
      <c r="F295" s="2" t="s">
        <v>19</v>
      </c>
      <c r="G295" t="s">
        <v>6191</v>
      </c>
      <c r="H295" t="str">
        <f>VLOOKUP('Combined table'!B295,products!$A$1:$G$49,2,FALSE)</f>
        <v>Ara</v>
      </c>
      <c r="I295" t="str">
        <f>VLOOKUP('Combined table'!B295,products!$A$1:$G$49,3,FALSE)</f>
        <v>D</v>
      </c>
      <c r="J295">
        <f>VLOOKUP('Combined table'!B295,products!$A$1:$G$49,4,FALSE)</f>
        <v>0.5</v>
      </c>
      <c r="K295">
        <f>VLOOKUP('Combined table'!B295,products!$A$1:$G$49,5,FALSE)</f>
        <v>5.97</v>
      </c>
      <c r="L295">
        <f>VLOOKUP('Combined table'!B295,products!$A$1:$G$49,6,FALSE)</f>
        <v>1.194</v>
      </c>
      <c r="M295">
        <f>VLOOKUP('Combined table'!B295,products!$A$1:$G$49,7,FALSE)</f>
        <v>0.5373</v>
      </c>
      <c r="N295" t="str">
        <f>TEXT(A295,"mmm yyyy")</f>
        <v>Mar 2021</v>
      </c>
      <c r="O295">
        <f t="shared" si="4"/>
        <v>29.849999999999998</v>
      </c>
    </row>
    <row r="296" spans="1:15" x14ac:dyDescent="0.25">
      <c r="A296" s="3">
        <v>44659</v>
      </c>
      <c r="B296" t="s">
        <v>6171</v>
      </c>
      <c r="C296" s="2">
        <v>3</v>
      </c>
      <c r="D296" s="2" t="s">
        <v>2150</v>
      </c>
      <c r="E296" s="2" t="s">
        <v>170</v>
      </c>
      <c r="F296" s="2" t="s">
        <v>19</v>
      </c>
      <c r="G296" t="s">
        <v>6191</v>
      </c>
      <c r="H296" t="str">
        <f>VLOOKUP('Combined table'!B296,products!$A$1:$G$49,2,FALSE)</f>
        <v>Exc</v>
      </c>
      <c r="I296" t="str">
        <f>VLOOKUP('Combined table'!B296,products!$A$1:$G$49,3,FALSE)</f>
        <v>L</v>
      </c>
      <c r="J296">
        <f>VLOOKUP('Combined table'!B296,products!$A$1:$G$49,4,FALSE)</f>
        <v>1</v>
      </c>
      <c r="K296">
        <f>VLOOKUP('Combined table'!B296,products!$A$1:$G$49,5,FALSE)</f>
        <v>14.85</v>
      </c>
      <c r="L296">
        <f>VLOOKUP('Combined table'!B296,products!$A$1:$G$49,6,FALSE)</f>
        <v>1.4849999999999999</v>
      </c>
      <c r="M296">
        <f>VLOOKUP('Combined table'!B296,products!$A$1:$G$49,7,FALSE)</f>
        <v>1.6335</v>
      </c>
      <c r="N296" t="str">
        <f>TEXT(A296,"mmm yyyy")</f>
        <v>Apr 2022</v>
      </c>
      <c r="O296">
        <f t="shared" si="4"/>
        <v>44.55</v>
      </c>
    </row>
    <row r="297" spans="1:15" x14ac:dyDescent="0.25">
      <c r="A297" s="3">
        <v>44057</v>
      </c>
      <c r="B297" t="s">
        <v>6141</v>
      </c>
      <c r="C297" s="2">
        <v>2</v>
      </c>
      <c r="D297" s="2" t="s">
        <v>2155</v>
      </c>
      <c r="E297" s="2" t="s">
        <v>198</v>
      </c>
      <c r="F297" s="2" t="s">
        <v>19</v>
      </c>
      <c r="G297" t="s">
        <v>6191</v>
      </c>
      <c r="H297" t="str">
        <f>VLOOKUP('Combined table'!B297,products!$A$1:$G$49,2,FALSE)</f>
        <v>Exc</v>
      </c>
      <c r="I297" t="str">
        <f>VLOOKUP('Combined table'!B297,products!$A$1:$G$49,3,FALSE)</f>
        <v>M</v>
      </c>
      <c r="J297">
        <f>VLOOKUP('Combined table'!B297,products!$A$1:$G$49,4,FALSE)</f>
        <v>1</v>
      </c>
      <c r="K297">
        <f>VLOOKUP('Combined table'!B297,products!$A$1:$G$49,5,FALSE)</f>
        <v>13.75</v>
      </c>
      <c r="L297">
        <f>VLOOKUP('Combined table'!B297,products!$A$1:$G$49,6,FALSE)</f>
        <v>1.375</v>
      </c>
      <c r="M297">
        <f>VLOOKUP('Combined table'!B297,products!$A$1:$G$49,7,FALSE)</f>
        <v>1.5125</v>
      </c>
      <c r="N297" t="str">
        <f>TEXT(A297,"mmm yyyy")</f>
        <v>Aug 2020</v>
      </c>
      <c r="O297">
        <f t="shared" si="4"/>
        <v>27.5</v>
      </c>
    </row>
    <row r="298" spans="1:15" x14ac:dyDescent="0.25">
      <c r="A298" s="3">
        <v>43597</v>
      </c>
      <c r="B298" t="s">
        <v>6146</v>
      </c>
      <c r="C298" s="2">
        <v>6</v>
      </c>
      <c r="D298" s="2" t="s">
        <v>2159</v>
      </c>
      <c r="E298" s="2" t="s">
        <v>267</v>
      </c>
      <c r="F298" s="2" t="s">
        <v>19</v>
      </c>
      <c r="G298" t="s">
        <v>6190</v>
      </c>
      <c r="H298" t="str">
        <f>VLOOKUP('Combined table'!B298,products!$A$1:$G$49,2,FALSE)</f>
        <v>Rob</v>
      </c>
      <c r="I298" t="str">
        <f>VLOOKUP('Combined table'!B298,products!$A$1:$G$49,3,FALSE)</f>
        <v>M</v>
      </c>
      <c r="J298">
        <f>VLOOKUP('Combined table'!B298,products!$A$1:$G$49,4,FALSE)</f>
        <v>0.5</v>
      </c>
      <c r="K298">
        <f>VLOOKUP('Combined table'!B298,products!$A$1:$G$49,5,FALSE)</f>
        <v>5.97</v>
      </c>
      <c r="L298">
        <f>VLOOKUP('Combined table'!B298,products!$A$1:$G$49,6,FALSE)</f>
        <v>1.194</v>
      </c>
      <c r="M298">
        <f>VLOOKUP('Combined table'!B298,products!$A$1:$G$49,7,FALSE)</f>
        <v>0.35819999999999996</v>
      </c>
      <c r="N298" t="str">
        <f>TEXT(A298,"mmm yyyy")</f>
        <v>May 2019</v>
      </c>
      <c r="O298">
        <f t="shared" si="4"/>
        <v>35.82</v>
      </c>
    </row>
    <row r="299" spans="1:15" x14ac:dyDescent="0.25">
      <c r="A299" s="3">
        <v>44258</v>
      </c>
      <c r="B299" t="s">
        <v>6172</v>
      </c>
      <c r="C299" s="2">
        <v>3</v>
      </c>
      <c r="D299" s="2" t="s">
        <v>2165</v>
      </c>
      <c r="E299" s="2" t="s">
        <v>195</v>
      </c>
      <c r="F299" s="2" t="s">
        <v>19</v>
      </c>
      <c r="G299" t="s">
        <v>6190</v>
      </c>
      <c r="H299" t="str">
        <f>VLOOKUP('Combined table'!B299,products!$A$1:$G$49,2,FALSE)</f>
        <v>Rob</v>
      </c>
      <c r="I299" t="str">
        <f>VLOOKUP('Combined table'!B299,products!$A$1:$G$49,3,FALSE)</f>
        <v>D</v>
      </c>
      <c r="J299">
        <f>VLOOKUP('Combined table'!B299,products!$A$1:$G$49,4,FALSE)</f>
        <v>0.5</v>
      </c>
      <c r="K299">
        <f>VLOOKUP('Combined table'!B299,products!$A$1:$G$49,5,FALSE)</f>
        <v>5.3699999999999992</v>
      </c>
      <c r="L299">
        <f>VLOOKUP('Combined table'!B299,products!$A$1:$G$49,6,FALSE)</f>
        <v>1.0739999999999998</v>
      </c>
      <c r="M299">
        <f>VLOOKUP('Combined table'!B299,products!$A$1:$G$49,7,FALSE)</f>
        <v>0.32219999999999993</v>
      </c>
      <c r="N299" t="str">
        <f>TEXT(A299,"mmm yyyy")</f>
        <v>Mar 2021</v>
      </c>
      <c r="O299">
        <f t="shared" si="4"/>
        <v>16.11</v>
      </c>
    </row>
    <row r="300" spans="1:15" x14ac:dyDescent="0.25">
      <c r="A300" s="3">
        <v>43872</v>
      </c>
      <c r="B300" t="s">
        <v>6184</v>
      </c>
      <c r="C300" s="2">
        <v>6</v>
      </c>
      <c r="D300" s="2" t="s">
        <v>2171</v>
      </c>
      <c r="E300" s="2" t="s">
        <v>84</v>
      </c>
      <c r="F300" s="2" t="s">
        <v>19</v>
      </c>
      <c r="G300" t="s">
        <v>6190</v>
      </c>
      <c r="H300" t="str">
        <f>VLOOKUP('Combined table'!B300,products!$A$1:$G$49,2,FALSE)</f>
        <v>Exc</v>
      </c>
      <c r="I300" t="str">
        <f>VLOOKUP('Combined table'!B300,products!$A$1:$G$49,3,FALSE)</f>
        <v>L</v>
      </c>
      <c r="J300">
        <f>VLOOKUP('Combined table'!B300,products!$A$1:$G$49,4,FALSE)</f>
        <v>0.2</v>
      </c>
      <c r="K300">
        <f>VLOOKUP('Combined table'!B300,products!$A$1:$G$49,5,FALSE)</f>
        <v>4.4550000000000001</v>
      </c>
      <c r="L300">
        <f>VLOOKUP('Combined table'!B300,products!$A$1:$G$49,6,FALSE)</f>
        <v>2.2275</v>
      </c>
      <c r="M300">
        <f>VLOOKUP('Combined table'!B300,products!$A$1:$G$49,7,FALSE)</f>
        <v>0.49004999999999999</v>
      </c>
      <c r="N300" t="str">
        <f>TEXT(A300,"mmm yyyy")</f>
        <v>Feb 2020</v>
      </c>
      <c r="O300">
        <f t="shared" si="4"/>
        <v>26.73</v>
      </c>
    </row>
    <row r="301" spans="1:15" x14ac:dyDescent="0.25">
      <c r="A301" s="3">
        <v>43582</v>
      </c>
      <c r="B301" t="s">
        <v>6148</v>
      </c>
      <c r="C301" s="2">
        <v>6</v>
      </c>
      <c r="D301" s="2" t="s">
        <v>2177</v>
      </c>
      <c r="E301" s="2" t="s">
        <v>228</v>
      </c>
      <c r="F301" s="2" t="s">
        <v>19</v>
      </c>
      <c r="G301" t="s">
        <v>6190</v>
      </c>
      <c r="H301" t="str">
        <f>VLOOKUP('Combined table'!B301,products!$A$1:$G$49,2,FALSE)</f>
        <v>Exc</v>
      </c>
      <c r="I301" t="str">
        <f>VLOOKUP('Combined table'!B301,products!$A$1:$G$49,3,FALSE)</f>
        <v>L</v>
      </c>
      <c r="J301">
        <f>VLOOKUP('Combined table'!B301,products!$A$1:$G$49,4,FALSE)</f>
        <v>2.5</v>
      </c>
      <c r="K301">
        <f>VLOOKUP('Combined table'!B301,products!$A$1:$G$49,5,FALSE)</f>
        <v>34.154999999999994</v>
      </c>
      <c r="L301">
        <f>VLOOKUP('Combined table'!B301,products!$A$1:$G$49,6,FALSE)</f>
        <v>1.3661999999999999</v>
      </c>
      <c r="M301">
        <f>VLOOKUP('Combined table'!B301,products!$A$1:$G$49,7,FALSE)</f>
        <v>3.7570499999999996</v>
      </c>
      <c r="N301" t="str">
        <f>TEXT(A301,"mmm yyyy")</f>
        <v>Apr 2019</v>
      </c>
      <c r="O301">
        <f t="shared" si="4"/>
        <v>204.92999999999995</v>
      </c>
    </row>
    <row r="302" spans="1:15" x14ac:dyDescent="0.25">
      <c r="A302" s="3">
        <v>44646</v>
      </c>
      <c r="B302" t="s">
        <v>6140</v>
      </c>
      <c r="C302" s="2">
        <v>3</v>
      </c>
      <c r="D302" s="2" t="s">
        <v>2183</v>
      </c>
      <c r="E302" s="2" t="s">
        <v>73</v>
      </c>
      <c r="F302" s="2" t="s">
        <v>19</v>
      </c>
      <c r="G302" t="s">
        <v>6190</v>
      </c>
      <c r="H302" t="str">
        <f>VLOOKUP('Combined table'!B302,products!$A$1:$G$49,2,FALSE)</f>
        <v>Ara</v>
      </c>
      <c r="I302" t="str">
        <f>VLOOKUP('Combined table'!B302,products!$A$1:$G$49,3,FALSE)</f>
        <v>L</v>
      </c>
      <c r="J302">
        <f>VLOOKUP('Combined table'!B302,products!$A$1:$G$49,4,FALSE)</f>
        <v>1</v>
      </c>
      <c r="K302">
        <f>VLOOKUP('Combined table'!B302,products!$A$1:$G$49,5,FALSE)</f>
        <v>12.95</v>
      </c>
      <c r="L302">
        <f>VLOOKUP('Combined table'!B302,products!$A$1:$G$49,6,FALSE)</f>
        <v>1.2949999999999999</v>
      </c>
      <c r="M302">
        <f>VLOOKUP('Combined table'!B302,products!$A$1:$G$49,7,FALSE)</f>
        <v>1.1655</v>
      </c>
      <c r="N302" t="str">
        <f>TEXT(A302,"mmm yyyy")</f>
        <v>Mar 2022</v>
      </c>
      <c r="O302">
        <f t="shared" si="4"/>
        <v>38.849999999999994</v>
      </c>
    </row>
    <row r="303" spans="1:15" x14ac:dyDescent="0.25">
      <c r="A303" s="3">
        <v>44102</v>
      </c>
      <c r="B303" t="s">
        <v>6150</v>
      </c>
      <c r="C303" s="2">
        <v>4</v>
      </c>
      <c r="D303" s="2" t="s">
        <v>2189</v>
      </c>
      <c r="E303" s="2" t="s">
        <v>123</v>
      </c>
      <c r="F303" s="2" t="s">
        <v>19</v>
      </c>
      <c r="G303" t="s">
        <v>6190</v>
      </c>
      <c r="H303" t="str">
        <f>VLOOKUP('Combined table'!B303,products!$A$1:$G$49,2,FALSE)</f>
        <v>Lib</v>
      </c>
      <c r="I303" t="str">
        <f>VLOOKUP('Combined table'!B303,products!$A$1:$G$49,3,FALSE)</f>
        <v>D</v>
      </c>
      <c r="J303">
        <f>VLOOKUP('Combined table'!B303,products!$A$1:$G$49,4,FALSE)</f>
        <v>0.2</v>
      </c>
      <c r="K303">
        <f>VLOOKUP('Combined table'!B303,products!$A$1:$G$49,5,FALSE)</f>
        <v>3.8849999999999998</v>
      </c>
      <c r="L303">
        <f>VLOOKUP('Combined table'!B303,products!$A$1:$G$49,6,FALSE)</f>
        <v>1.9424999999999999</v>
      </c>
      <c r="M303">
        <f>VLOOKUP('Combined table'!B303,products!$A$1:$G$49,7,FALSE)</f>
        <v>0.50505</v>
      </c>
      <c r="N303" t="str">
        <f>TEXT(A303,"mmm yyyy")</f>
        <v>Sep 2020</v>
      </c>
      <c r="O303">
        <f t="shared" si="4"/>
        <v>15.54</v>
      </c>
    </row>
    <row r="304" spans="1:15" x14ac:dyDescent="0.25">
      <c r="A304" s="3">
        <v>43762</v>
      </c>
      <c r="B304" t="s">
        <v>6157</v>
      </c>
      <c r="C304" s="2">
        <v>1</v>
      </c>
      <c r="D304" s="2" t="s">
        <v>2195</v>
      </c>
      <c r="E304" s="2" t="s">
        <v>20</v>
      </c>
      <c r="F304" s="2" t="s">
        <v>19</v>
      </c>
      <c r="G304" t="s">
        <v>6191</v>
      </c>
      <c r="H304" t="str">
        <f>VLOOKUP('Combined table'!B304,products!$A$1:$G$49,2,FALSE)</f>
        <v>Ara</v>
      </c>
      <c r="I304" t="str">
        <f>VLOOKUP('Combined table'!B304,products!$A$1:$G$49,3,FALSE)</f>
        <v>M</v>
      </c>
      <c r="J304">
        <f>VLOOKUP('Combined table'!B304,products!$A$1:$G$49,4,FALSE)</f>
        <v>0.5</v>
      </c>
      <c r="K304">
        <f>VLOOKUP('Combined table'!B304,products!$A$1:$G$49,5,FALSE)</f>
        <v>6.75</v>
      </c>
      <c r="L304">
        <f>VLOOKUP('Combined table'!B304,products!$A$1:$G$49,6,FALSE)</f>
        <v>1.35</v>
      </c>
      <c r="M304">
        <f>VLOOKUP('Combined table'!B304,products!$A$1:$G$49,7,FALSE)</f>
        <v>0.60749999999999993</v>
      </c>
      <c r="N304" t="str">
        <f>TEXT(A304,"mmm yyyy")</f>
        <v>Oct 2019</v>
      </c>
      <c r="O304">
        <f t="shared" si="4"/>
        <v>6.75</v>
      </c>
    </row>
    <row r="305" spans="1:15" x14ac:dyDescent="0.25">
      <c r="A305" s="3">
        <v>44412</v>
      </c>
      <c r="B305" t="s">
        <v>6185</v>
      </c>
      <c r="C305" s="2">
        <v>4</v>
      </c>
      <c r="D305" s="2" t="s">
        <v>2201</v>
      </c>
      <c r="E305" s="2" t="s">
        <v>43</v>
      </c>
      <c r="F305" s="2" t="s">
        <v>19</v>
      </c>
      <c r="G305" t="s">
        <v>6190</v>
      </c>
      <c r="H305" t="str">
        <f>VLOOKUP('Combined table'!B305,products!$A$1:$G$49,2,FALSE)</f>
        <v>Exc</v>
      </c>
      <c r="I305" t="str">
        <f>VLOOKUP('Combined table'!B305,products!$A$1:$G$49,3,FALSE)</f>
        <v>D</v>
      </c>
      <c r="J305">
        <f>VLOOKUP('Combined table'!B305,products!$A$1:$G$49,4,FALSE)</f>
        <v>2.5</v>
      </c>
      <c r="K305">
        <f>VLOOKUP('Combined table'!B305,products!$A$1:$G$49,5,FALSE)</f>
        <v>27.945</v>
      </c>
      <c r="L305">
        <f>VLOOKUP('Combined table'!B305,products!$A$1:$G$49,6,FALSE)</f>
        <v>1.1177999999999999</v>
      </c>
      <c r="M305">
        <f>VLOOKUP('Combined table'!B305,products!$A$1:$G$49,7,FALSE)</f>
        <v>3.07395</v>
      </c>
      <c r="N305" t="str">
        <f>TEXT(A305,"mmm yyyy")</f>
        <v>Aug 2021</v>
      </c>
      <c r="O305">
        <f t="shared" si="4"/>
        <v>111.78</v>
      </c>
    </row>
    <row r="306" spans="1:15" x14ac:dyDescent="0.25">
      <c r="A306" s="3">
        <v>43828</v>
      </c>
      <c r="B306" t="s">
        <v>6167</v>
      </c>
      <c r="C306" s="2">
        <v>1</v>
      </c>
      <c r="D306" s="2" t="s">
        <v>2206</v>
      </c>
      <c r="E306" s="2" t="s">
        <v>316</v>
      </c>
      <c r="F306" s="2" t="s">
        <v>19</v>
      </c>
      <c r="G306" t="s">
        <v>6190</v>
      </c>
      <c r="H306" t="str">
        <f>VLOOKUP('Combined table'!B306,products!$A$1:$G$49,2,FALSE)</f>
        <v>Ara</v>
      </c>
      <c r="I306" t="str">
        <f>VLOOKUP('Combined table'!B306,products!$A$1:$G$49,3,FALSE)</f>
        <v>L</v>
      </c>
      <c r="J306">
        <f>VLOOKUP('Combined table'!B306,products!$A$1:$G$49,4,FALSE)</f>
        <v>0.2</v>
      </c>
      <c r="K306">
        <f>VLOOKUP('Combined table'!B306,products!$A$1:$G$49,5,FALSE)</f>
        <v>3.8849999999999998</v>
      </c>
      <c r="L306">
        <f>VLOOKUP('Combined table'!B306,products!$A$1:$G$49,6,FALSE)</f>
        <v>1.9424999999999999</v>
      </c>
      <c r="M306">
        <f>VLOOKUP('Combined table'!B306,products!$A$1:$G$49,7,FALSE)</f>
        <v>0.34964999999999996</v>
      </c>
      <c r="N306" t="str">
        <f>TEXT(A306,"mmm yyyy")</f>
        <v>Dec 2019</v>
      </c>
      <c r="O306">
        <f t="shared" si="4"/>
        <v>3.8849999999999998</v>
      </c>
    </row>
    <row r="307" spans="1:15" x14ac:dyDescent="0.25">
      <c r="A307" s="3">
        <v>43796</v>
      </c>
      <c r="B307" t="s">
        <v>6159</v>
      </c>
      <c r="C307" s="2">
        <v>5</v>
      </c>
      <c r="D307" s="2" t="s">
        <v>2211</v>
      </c>
      <c r="E307" s="2" t="s">
        <v>273</v>
      </c>
      <c r="F307" s="2" t="s">
        <v>28</v>
      </c>
      <c r="G307" t="s">
        <v>6191</v>
      </c>
      <c r="H307" t="str">
        <f>VLOOKUP('Combined table'!B307,products!$A$1:$G$49,2,FALSE)</f>
        <v>Lib</v>
      </c>
      <c r="I307" t="str">
        <f>VLOOKUP('Combined table'!B307,products!$A$1:$G$49,3,FALSE)</f>
        <v>M</v>
      </c>
      <c r="J307">
        <f>VLOOKUP('Combined table'!B307,products!$A$1:$G$49,4,FALSE)</f>
        <v>0.2</v>
      </c>
      <c r="K307">
        <f>VLOOKUP('Combined table'!B307,products!$A$1:$G$49,5,FALSE)</f>
        <v>4.3650000000000002</v>
      </c>
      <c r="L307">
        <f>VLOOKUP('Combined table'!B307,products!$A$1:$G$49,6,FALSE)</f>
        <v>2.1825000000000001</v>
      </c>
      <c r="M307">
        <f>VLOOKUP('Combined table'!B307,products!$A$1:$G$49,7,FALSE)</f>
        <v>0.56745000000000001</v>
      </c>
      <c r="N307" t="str">
        <f>TEXT(A307,"mmm yyyy")</f>
        <v>Nov 2019</v>
      </c>
      <c r="O307">
        <f t="shared" si="4"/>
        <v>21.825000000000003</v>
      </c>
    </row>
    <row r="308" spans="1:15" x14ac:dyDescent="0.25">
      <c r="A308" s="3">
        <v>43890</v>
      </c>
      <c r="B308" t="s">
        <v>6174</v>
      </c>
      <c r="C308" s="2">
        <v>5</v>
      </c>
      <c r="D308" s="2" t="s">
        <v>2217</v>
      </c>
      <c r="E308" s="2" t="s">
        <v>236</v>
      </c>
      <c r="F308" s="2" t="s">
        <v>19</v>
      </c>
      <c r="G308" t="s">
        <v>6191</v>
      </c>
      <c r="H308" t="str">
        <f>VLOOKUP('Combined table'!B308,products!$A$1:$G$49,2,FALSE)</f>
        <v>Rob</v>
      </c>
      <c r="I308" t="str">
        <f>VLOOKUP('Combined table'!B308,products!$A$1:$G$49,3,FALSE)</f>
        <v>M</v>
      </c>
      <c r="J308">
        <f>VLOOKUP('Combined table'!B308,products!$A$1:$G$49,4,FALSE)</f>
        <v>0.2</v>
      </c>
      <c r="K308">
        <f>VLOOKUP('Combined table'!B308,products!$A$1:$G$49,5,FALSE)</f>
        <v>2.9849999999999999</v>
      </c>
      <c r="L308">
        <f>VLOOKUP('Combined table'!B308,products!$A$1:$G$49,6,FALSE)</f>
        <v>1.4924999999999999</v>
      </c>
      <c r="M308">
        <f>VLOOKUP('Combined table'!B308,products!$A$1:$G$49,7,FALSE)</f>
        <v>0.17909999999999998</v>
      </c>
      <c r="N308" t="str">
        <f>TEXT(A308,"mmm yyyy")</f>
        <v>Feb 2020</v>
      </c>
      <c r="O308">
        <f t="shared" si="4"/>
        <v>14.924999999999999</v>
      </c>
    </row>
    <row r="309" spans="1:15" x14ac:dyDescent="0.25">
      <c r="A309" s="3">
        <v>44227</v>
      </c>
      <c r="B309" t="s">
        <v>6155</v>
      </c>
      <c r="C309" s="2">
        <v>3</v>
      </c>
      <c r="D309" s="2" t="s">
        <v>2223</v>
      </c>
      <c r="E309" s="2" t="s">
        <v>51</v>
      </c>
      <c r="F309" s="2" t="s">
        <v>19</v>
      </c>
      <c r="G309" t="s">
        <v>6190</v>
      </c>
      <c r="H309" t="str">
        <f>VLOOKUP('Combined table'!B309,products!$A$1:$G$49,2,FALSE)</f>
        <v>Ara</v>
      </c>
      <c r="I309" t="str">
        <f>VLOOKUP('Combined table'!B309,products!$A$1:$G$49,3,FALSE)</f>
        <v>M</v>
      </c>
      <c r="J309">
        <f>VLOOKUP('Combined table'!B309,products!$A$1:$G$49,4,FALSE)</f>
        <v>1</v>
      </c>
      <c r="K309">
        <f>VLOOKUP('Combined table'!B309,products!$A$1:$G$49,5,FALSE)</f>
        <v>11.25</v>
      </c>
      <c r="L309">
        <f>VLOOKUP('Combined table'!B309,products!$A$1:$G$49,6,FALSE)</f>
        <v>1.125</v>
      </c>
      <c r="M309">
        <f>VLOOKUP('Combined table'!B309,products!$A$1:$G$49,7,FALSE)</f>
        <v>1.0125</v>
      </c>
      <c r="N309" t="str">
        <f>TEXT(A309,"mmm yyyy")</f>
        <v>Jan 2021</v>
      </c>
      <c r="O309">
        <f t="shared" si="4"/>
        <v>33.75</v>
      </c>
    </row>
    <row r="310" spans="1:15" x14ac:dyDescent="0.25">
      <c r="A310" s="3">
        <v>44729</v>
      </c>
      <c r="B310" t="s">
        <v>6155</v>
      </c>
      <c r="C310" s="2">
        <v>3</v>
      </c>
      <c r="D310" s="2" t="s">
        <v>2229</v>
      </c>
      <c r="E310" s="2" t="s">
        <v>176</v>
      </c>
      <c r="F310" s="2" t="s">
        <v>28</v>
      </c>
      <c r="G310" t="s">
        <v>6191</v>
      </c>
      <c r="H310" t="str">
        <f>VLOOKUP('Combined table'!B310,products!$A$1:$G$49,2,FALSE)</f>
        <v>Ara</v>
      </c>
      <c r="I310" t="str">
        <f>VLOOKUP('Combined table'!B310,products!$A$1:$G$49,3,FALSE)</f>
        <v>M</v>
      </c>
      <c r="J310">
        <f>VLOOKUP('Combined table'!B310,products!$A$1:$G$49,4,FALSE)</f>
        <v>1</v>
      </c>
      <c r="K310">
        <f>VLOOKUP('Combined table'!B310,products!$A$1:$G$49,5,FALSE)</f>
        <v>11.25</v>
      </c>
      <c r="L310">
        <f>VLOOKUP('Combined table'!B310,products!$A$1:$G$49,6,FALSE)</f>
        <v>1.125</v>
      </c>
      <c r="M310">
        <f>VLOOKUP('Combined table'!B310,products!$A$1:$G$49,7,FALSE)</f>
        <v>1.0125</v>
      </c>
      <c r="N310" t="str">
        <f>TEXT(A310,"mmm yyyy")</f>
        <v>Jun 2022</v>
      </c>
      <c r="O310">
        <f t="shared" si="4"/>
        <v>33.75</v>
      </c>
    </row>
    <row r="311" spans="1:15" x14ac:dyDescent="0.25">
      <c r="A311" s="3">
        <v>43864</v>
      </c>
      <c r="B311" t="s">
        <v>6159</v>
      </c>
      <c r="C311" s="2">
        <v>6</v>
      </c>
      <c r="D311" s="2" t="s">
        <v>2234</v>
      </c>
      <c r="E311" s="2" t="s">
        <v>379</v>
      </c>
      <c r="F311" s="2" t="s">
        <v>19</v>
      </c>
      <c r="G311" t="s">
        <v>6190</v>
      </c>
      <c r="H311" t="str">
        <f>VLOOKUP('Combined table'!B311,products!$A$1:$G$49,2,FALSE)</f>
        <v>Lib</v>
      </c>
      <c r="I311" t="str">
        <f>VLOOKUP('Combined table'!B311,products!$A$1:$G$49,3,FALSE)</f>
        <v>M</v>
      </c>
      <c r="J311">
        <f>VLOOKUP('Combined table'!B311,products!$A$1:$G$49,4,FALSE)</f>
        <v>0.2</v>
      </c>
      <c r="K311">
        <f>VLOOKUP('Combined table'!B311,products!$A$1:$G$49,5,FALSE)</f>
        <v>4.3650000000000002</v>
      </c>
      <c r="L311">
        <f>VLOOKUP('Combined table'!B311,products!$A$1:$G$49,6,FALSE)</f>
        <v>2.1825000000000001</v>
      </c>
      <c r="M311">
        <f>VLOOKUP('Combined table'!B311,products!$A$1:$G$49,7,FALSE)</f>
        <v>0.56745000000000001</v>
      </c>
      <c r="N311" t="str">
        <f>TEXT(A311,"mmm yyyy")</f>
        <v>Feb 2020</v>
      </c>
      <c r="O311">
        <f t="shared" si="4"/>
        <v>26.19</v>
      </c>
    </row>
    <row r="312" spans="1:15" x14ac:dyDescent="0.25">
      <c r="A312" s="3">
        <v>44586</v>
      </c>
      <c r="B312" t="s">
        <v>6171</v>
      </c>
      <c r="C312" s="2">
        <v>1</v>
      </c>
      <c r="D312" s="2" t="s">
        <v>2240</v>
      </c>
      <c r="E312" s="2" t="s">
        <v>327</v>
      </c>
      <c r="F312" s="2" t="s">
        <v>318</v>
      </c>
      <c r="G312" t="s">
        <v>6191</v>
      </c>
      <c r="H312" t="str">
        <f>VLOOKUP('Combined table'!B312,products!$A$1:$G$49,2,FALSE)</f>
        <v>Exc</v>
      </c>
      <c r="I312" t="str">
        <f>VLOOKUP('Combined table'!B312,products!$A$1:$G$49,3,FALSE)</f>
        <v>L</v>
      </c>
      <c r="J312">
        <f>VLOOKUP('Combined table'!B312,products!$A$1:$G$49,4,FALSE)</f>
        <v>1</v>
      </c>
      <c r="K312">
        <f>VLOOKUP('Combined table'!B312,products!$A$1:$G$49,5,FALSE)</f>
        <v>14.85</v>
      </c>
      <c r="L312">
        <f>VLOOKUP('Combined table'!B312,products!$A$1:$G$49,6,FALSE)</f>
        <v>1.4849999999999999</v>
      </c>
      <c r="M312">
        <f>VLOOKUP('Combined table'!B312,products!$A$1:$G$49,7,FALSE)</f>
        <v>1.6335</v>
      </c>
      <c r="N312" t="str">
        <f>TEXT(A312,"mmm yyyy")</f>
        <v>Jan 2022</v>
      </c>
      <c r="O312">
        <f t="shared" si="4"/>
        <v>14.85</v>
      </c>
    </row>
    <row r="313" spans="1:15" x14ac:dyDescent="0.25">
      <c r="A313" s="3">
        <v>43951</v>
      </c>
      <c r="B313" t="s">
        <v>6166</v>
      </c>
      <c r="C313" s="2">
        <v>6</v>
      </c>
      <c r="D313" s="2" t="s">
        <v>2246</v>
      </c>
      <c r="E313" s="2" t="s">
        <v>35</v>
      </c>
      <c r="F313" s="2" t="s">
        <v>19</v>
      </c>
      <c r="G313" t="s">
        <v>6190</v>
      </c>
      <c r="H313" t="str">
        <f>VLOOKUP('Combined table'!B313,products!$A$1:$G$49,2,FALSE)</f>
        <v>Exc</v>
      </c>
      <c r="I313" t="str">
        <f>VLOOKUP('Combined table'!B313,products!$A$1:$G$49,3,FALSE)</f>
        <v>M</v>
      </c>
      <c r="J313">
        <f>VLOOKUP('Combined table'!B313,products!$A$1:$G$49,4,FALSE)</f>
        <v>2.5</v>
      </c>
      <c r="K313">
        <f>VLOOKUP('Combined table'!B313,products!$A$1:$G$49,5,FALSE)</f>
        <v>31.624999999999996</v>
      </c>
      <c r="L313">
        <f>VLOOKUP('Combined table'!B313,products!$A$1:$G$49,6,FALSE)</f>
        <v>1.2649999999999999</v>
      </c>
      <c r="M313">
        <f>VLOOKUP('Combined table'!B313,products!$A$1:$G$49,7,FALSE)</f>
        <v>3.4787499999999998</v>
      </c>
      <c r="N313" t="str">
        <f>TEXT(A313,"mmm yyyy")</f>
        <v>Apr 2020</v>
      </c>
      <c r="O313">
        <f t="shared" si="4"/>
        <v>189.74999999999997</v>
      </c>
    </row>
    <row r="314" spans="1:15" x14ac:dyDescent="0.25">
      <c r="A314" s="3">
        <v>44317</v>
      </c>
      <c r="B314" t="s">
        <v>6146</v>
      </c>
      <c r="C314" s="2">
        <v>1</v>
      </c>
      <c r="D314" s="2" t="s">
        <v>2252</v>
      </c>
      <c r="E314" s="2" t="s">
        <v>164</v>
      </c>
      <c r="F314" s="2" t="s">
        <v>19</v>
      </c>
      <c r="G314" t="s">
        <v>6190</v>
      </c>
      <c r="H314" t="str">
        <f>VLOOKUP('Combined table'!B314,products!$A$1:$G$49,2,FALSE)</f>
        <v>Rob</v>
      </c>
      <c r="I314" t="str">
        <f>VLOOKUP('Combined table'!B314,products!$A$1:$G$49,3,FALSE)</f>
        <v>M</v>
      </c>
      <c r="J314">
        <f>VLOOKUP('Combined table'!B314,products!$A$1:$G$49,4,FALSE)</f>
        <v>0.5</v>
      </c>
      <c r="K314">
        <f>VLOOKUP('Combined table'!B314,products!$A$1:$G$49,5,FALSE)</f>
        <v>5.97</v>
      </c>
      <c r="L314">
        <f>VLOOKUP('Combined table'!B314,products!$A$1:$G$49,6,FALSE)</f>
        <v>1.194</v>
      </c>
      <c r="M314">
        <f>VLOOKUP('Combined table'!B314,products!$A$1:$G$49,7,FALSE)</f>
        <v>0.35819999999999996</v>
      </c>
      <c r="N314" t="str">
        <f>TEXT(A314,"mmm yyyy")</f>
        <v>May 2021</v>
      </c>
      <c r="O314">
        <f t="shared" si="4"/>
        <v>5.97</v>
      </c>
    </row>
    <row r="315" spans="1:15" x14ac:dyDescent="0.25">
      <c r="A315" s="3">
        <v>44497</v>
      </c>
      <c r="B315" t="s">
        <v>6138</v>
      </c>
      <c r="C315" s="2">
        <v>3</v>
      </c>
      <c r="D315" s="2" t="s">
        <v>2258</v>
      </c>
      <c r="E315" s="2" t="s">
        <v>365</v>
      </c>
      <c r="F315" s="2" t="s">
        <v>28</v>
      </c>
      <c r="G315" t="s">
        <v>6190</v>
      </c>
      <c r="H315" t="str">
        <f>VLOOKUP('Combined table'!B315,products!$A$1:$G$49,2,FALSE)</f>
        <v>Rob</v>
      </c>
      <c r="I315" t="str">
        <f>VLOOKUP('Combined table'!B315,products!$A$1:$G$49,3,FALSE)</f>
        <v>M</v>
      </c>
      <c r="J315">
        <f>VLOOKUP('Combined table'!B315,products!$A$1:$G$49,4,FALSE)</f>
        <v>1</v>
      </c>
      <c r="K315">
        <f>VLOOKUP('Combined table'!B315,products!$A$1:$G$49,5,FALSE)</f>
        <v>9.9499999999999993</v>
      </c>
      <c r="L315">
        <f>VLOOKUP('Combined table'!B315,products!$A$1:$G$49,6,FALSE)</f>
        <v>0.99499999999999988</v>
      </c>
      <c r="M315">
        <f>VLOOKUP('Combined table'!B315,products!$A$1:$G$49,7,FALSE)</f>
        <v>0.59699999999999998</v>
      </c>
      <c r="N315" t="str">
        <f>TEXT(A315,"mmm yyyy")</f>
        <v>Oct 2021</v>
      </c>
      <c r="O315">
        <f t="shared" si="4"/>
        <v>29.849999999999998</v>
      </c>
    </row>
    <row r="316" spans="1:15" x14ac:dyDescent="0.25">
      <c r="A316" s="3">
        <v>44437</v>
      </c>
      <c r="B316" t="s">
        <v>6177</v>
      </c>
      <c r="C316" s="2">
        <v>5</v>
      </c>
      <c r="D316" s="2" t="s">
        <v>2264</v>
      </c>
      <c r="E316" s="2" t="s">
        <v>107</v>
      </c>
      <c r="F316" s="2" t="s">
        <v>19</v>
      </c>
      <c r="G316" t="s">
        <v>6191</v>
      </c>
      <c r="H316" t="str">
        <f>VLOOKUP('Combined table'!B316,products!$A$1:$G$49,2,FALSE)</f>
        <v>Rob</v>
      </c>
      <c r="I316" t="str">
        <f>VLOOKUP('Combined table'!B316,products!$A$1:$G$49,3,FALSE)</f>
        <v>D</v>
      </c>
      <c r="J316">
        <f>VLOOKUP('Combined table'!B316,products!$A$1:$G$49,4,FALSE)</f>
        <v>1</v>
      </c>
      <c r="K316">
        <f>VLOOKUP('Combined table'!B316,products!$A$1:$G$49,5,FALSE)</f>
        <v>8.9499999999999993</v>
      </c>
      <c r="L316">
        <f>VLOOKUP('Combined table'!B316,products!$A$1:$G$49,6,FALSE)</f>
        <v>0.89499999999999991</v>
      </c>
      <c r="M316">
        <f>VLOOKUP('Combined table'!B316,products!$A$1:$G$49,7,FALSE)</f>
        <v>0.53699999999999992</v>
      </c>
      <c r="N316" t="str">
        <f>TEXT(A316,"mmm yyyy")</f>
        <v>Aug 2021</v>
      </c>
      <c r="O316">
        <f t="shared" si="4"/>
        <v>44.75</v>
      </c>
    </row>
    <row r="317" spans="1:15" x14ac:dyDescent="0.25">
      <c r="A317" s="3">
        <v>43826</v>
      </c>
      <c r="B317" t="s">
        <v>6148</v>
      </c>
      <c r="C317" s="2">
        <v>1</v>
      </c>
      <c r="D317" s="2" t="s">
        <v>2269</v>
      </c>
      <c r="E317" s="2" t="s">
        <v>169</v>
      </c>
      <c r="F317" s="2" t="s">
        <v>19</v>
      </c>
      <c r="G317" t="s">
        <v>6190</v>
      </c>
      <c r="H317" t="str">
        <f>VLOOKUP('Combined table'!B317,products!$A$1:$G$49,2,FALSE)</f>
        <v>Exc</v>
      </c>
      <c r="I317" t="str">
        <f>VLOOKUP('Combined table'!B317,products!$A$1:$G$49,3,FALSE)</f>
        <v>L</v>
      </c>
      <c r="J317">
        <f>VLOOKUP('Combined table'!B317,products!$A$1:$G$49,4,FALSE)</f>
        <v>2.5</v>
      </c>
      <c r="K317">
        <f>VLOOKUP('Combined table'!B317,products!$A$1:$G$49,5,FALSE)</f>
        <v>34.154999999999994</v>
      </c>
      <c r="L317">
        <f>VLOOKUP('Combined table'!B317,products!$A$1:$G$49,6,FALSE)</f>
        <v>1.3661999999999999</v>
      </c>
      <c r="M317">
        <f>VLOOKUP('Combined table'!B317,products!$A$1:$G$49,7,FALSE)</f>
        <v>3.7570499999999996</v>
      </c>
      <c r="N317" t="str">
        <f>TEXT(A317,"mmm yyyy")</f>
        <v>Dec 2019</v>
      </c>
      <c r="O317">
        <f t="shared" si="4"/>
        <v>34.154999999999994</v>
      </c>
    </row>
    <row r="318" spans="1:15" x14ac:dyDescent="0.25">
      <c r="A318" s="3">
        <v>43641</v>
      </c>
      <c r="B318" t="s">
        <v>6148</v>
      </c>
      <c r="C318" s="2">
        <v>6</v>
      </c>
      <c r="D318" s="2" t="s">
        <v>2275</v>
      </c>
      <c r="E318" s="2" t="s">
        <v>1282</v>
      </c>
      <c r="F318" s="2" t="s">
        <v>318</v>
      </c>
      <c r="G318" t="s">
        <v>6191</v>
      </c>
      <c r="H318" t="str">
        <f>VLOOKUP('Combined table'!B318,products!$A$1:$G$49,2,FALSE)</f>
        <v>Exc</v>
      </c>
      <c r="I318" t="str">
        <f>VLOOKUP('Combined table'!B318,products!$A$1:$G$49,3,FALSE)</f>
        <v>L</v>
      </c>
      <c r="J318">
        <f>VLOOKUP('Combined table'!B318,products!$A$1:$G$49,4,FALSE)</f>
        <v>2.5</v>
      </c>
      <c r="K318">
        <f>VLOOKUP('Combined table'!B318,products!$A$1:$G$49,5,FALSE)</f>
        <v>34.154999999999994</v>
      </c>
      <c r="L318">
        <f>VLOOKUP('Combined table'!B318,products!$A$1:$G$49,6,FALSE)</f>
        <v>1.3661999999999999</v>
      </c>
      <c r="M318">
        <f>VLOOKUP('Combined table'!B318,products!$A$1:$G$49,7,FALSE)</f>
        <v>3.7570499999999996</v>
      </c>
      <c r="N318" t="str">
        <f>TEXT(A318,"mmm yyyy")</f>
        <v>Jun 2019</v>
      </c>
      <c r="O318">
        <f t="shared" si="4"/>
        <v>204.92999999999995</v>
      </c>
    </row>
    <row r="319" spans="1:15" x14ac:dyDescent="0.25">
      <c r="A319" s="3">
        <v>43526</v>
      </c>
      <c r="B319" t="s">
        <v>6144</v>
      </c>
      <c r="C319" s="2">
        <v>3</v>
      </c>
      <c r="D319" s="2" t="s">
        <v>2281</v>
      </c>
      <c r="E319" s="2" t="s">
        <v>75</v>
      </c>
      <c r="F319" s="2" t="s">
        <v>19</v>
      </c>
      <c r="G319" t="s">
        <v>6191</v>
      </c>
      <c r="H319" t="str">
        <f>VLOOKUP('Combined table'!B319,products!$A$1:$G$49,2,FALSE)</f>
        <v>Exc</v>
      </c>
      <c r="I319" t="str">
        <f>VLOOKUP('Combined table'!B319,products!$A$1:$G$49,3,FALSE)</f>
        <v>D</v>
      </c>
      <c r="J319">
        <f>VLOOKUP('Combined table'!B319,products!$A$1:$G$49,4,FALSE)</f>
        <v>0.5</v>
      </c>
      <c r="K319">
        <f>VLOOKUP('Combined table'!B319,products!$A$1:$G$49,5,FALSE)</f>
        <v>7.29</v>
      </c>
      <c r="L319">
        <f>VLOOKUP('Combined table'!B319,products!$A$1:$G$49,6,FALSE)</f>
        <v>1.458</v>
      </c>
      <c r="M319">
        <f>VLOOKUP('Combined table'!B319,products!$A$1:$G$49,7,FALSE)</f>
        <v>0.80190000000000006</v>
      </c>
      <c r="N319" t="str">
        <f>TEXT(A319,"mmm yyyy")</f>
        <v>Mar 2019</v>
      </c>
      <c r="O319">
        <f t="shared" si="4"/>
        <v>21.87</v>
      </c>
    </row>
    <row r="320" spans="1:15" x14ac:dyDescent="0.25">
      <c r="A320" s="3">
        <v>44563</v>
      </c>
      <c r="B320" t="s">
        <v>6175</v>
      </c>
      <c r="C320" s="2">
        <v>2</v>
      </c>
      <c r="D320" s="2" t="s">
        <v>2287</v>
      </c>
      <c r="E320" s="2" t="s">
        <v>29</v>
      </c>
      <c r="F320" s="2" t="s">
        <v>19</v>
      </c>
      <c r="G320" t="s">
        <v>6190</v>
      </c>
      <c r="H320" t="str">
        <f>VLOOKUP('Combined table'!B320,products!$A$1:$G$49,2,FALSE)</f>
        <v>Ara</v>
      </c>
      <c r="I320" t="str">
        <f>VLOOKUP('Combined table'!B320,products!$A$1:$G$49,3,FALSE)</f>
        <v>M</v>
      </c>
      <c r="J320">
        <f>VLOOKUP('Combined table'!B320,products!$A$1:$G$49,4,FALSE)</f>
        <v>2.5</v>
      </c>
      <c r="K320">
        <f>VLOOKUP('Combined table'!B320,products!$A$1:$G$49,5,FALSE)</f>
        <v>25.874999999999996</v>
      </c>
      <c r="L320">
        <f>VLOOKUP('Combined table'!B320,products!$A$1:$G$49,6,FALSE)</f>
        <v>1.0349999999999999</v>
      </c>
      <c r="M320">
        <f>VLOOKUP('Combined table'!B320,products!$A$1:$G$49,7,FALSE)</f>
        <v>2.3287499999999994</v>
      </c>
      <c r="N320" t="str">
        <f>TEXT(A320,"mmm yyyy")</f>
        <v>Jan 2022</v>
      </c>
      <c r="O320">
        <f t="shared" si="4"/>
        <v>51.749999999999993</v>
      </c>
    </row>
    <row r="321" spans="1:15" x14ac:dyDescent="0.25">
      <c r="A321" s="3">
        <v>43676</v>
      </c>
      <c r="B321" t="s">
        <v>6156</v>
      </c>
      <c r="C321" s="2">
        <v>2</v>
      </c>
      <c r="D321" s="2" t="s">
        <v>2293</v>
      </c>
      <c r="E321" s="2" t="s">
        <v>30</v>
      </c>
      <c r="F321" s="2" t="s">
        <v>19</v>
      </c>
      <c r="G321" t="s">
        <v>6190</v>
      </c>
      <c r="H321" t="str">
        <f>VLOOKUP('Combined table'!B321,products!$A$1:$G$49,2,FALSE)</f>
        <v>Exc</v>
      </c>
      <c r="I321" t="str">
        <f>VLOOKUP('Combined table'!B321,products!$A$1:$G$49,3,FALSE)</f>
        <v>M</v>
      </c>
      <c r="J321">
        <f>VLOOKUP('Combined table'!B321,products!$A$1:$G$49,4,FALSE)</f>
        <v>0.2</v>
      </c>
      <c r="K321">
        <f>VLOOKUP('Combined table'!B321,products!$A$1:$G$49,5,FALSE)</f>
        <v>4.125</v>
      </c>
      <c r="L321">
        <f>VLOOKUP('Combined table'!B321,products!$A$1:$G$49,6,FALSE)</f>
        <v>2.0625</v>
      </c>
      <c r="M321">
        <f>VLOOKUP('Combined table'!B321,products!$A$1:$G$49,7,FALSE)</f>
        <v>0.45374999999999999</v>
      </c>
      <c r="N321" t="str">
        <f>TEXT(A321,"mmm yyyy")</f>
        <v>Jul 2019</v>
      </c>
      <c r="O321">
        <f t="shared" si="4"/>
        <v>8.25</v>
      </c>
    </row>
    <row r="322" spans="1:15" x14ac:dyDescent="0.25">
      <c r="A322" s="3">
        <v>43676</v>
      </c>
      <c r="B322" t="s">
        <v>6167</v>
      </c>
      <c r="C322" s="2">
        <v>5</v>
      </c>
      <c r="D322" s="2" t="s">
        <v>2297</v>
      </c>
      <c r="E322" s="2" t="s">
        <v>213</v>
      </c>
      <c r="F322" s="2" t="s">
        <v>19</v>
      </c>
      <c r="G322" t="s">
        <v>6190</v>
      </c>
      <c r="H322" t="str">
        <f>VLOOKUP('Combined table'!B322,products!$A$1:$G$49,2,FALSE)</f>
        <v>Ara</v>
      </c>
      <c r="I322" t="str">
        <f>VLOOKUP('Combined table'!B322,products!$A$1:$G$49,3,FALSE)</f>
        <v>L</v>
      </c>
      <c r="J322">
        <f>VLOOKUP('Combined table'!B322,products!$A$1:$G$49,4,FALSE)</f>
        <v>0.2</v>
      </c>
      <c r="K322">
        <f>VLOOKUP('Combined table'!B322,products!$A$1:$G$49,5,FALSE)</f>
        <v>3.8849999999999998</v>
      </c>
      <c r="L322">
        <f>VLOOKUP('Combined table'!B322,products!$A$1:$G$49,6,FALSE)</f>
        <v>1.9424999999999999</v>
      </c>
      <c r="M322">
        <f>VLOOKUP('Combined table'!B322,products!$A$1:$G$49,7,FALSE)</f>
        <v>0.34964999999999996</v>
      </c>
      <c r="N322" t="str">
        <f>TEXT(A322,"mmm yyyy")</f>
        <v>Jul 2019</v>
      </c>
      <c r="O322">
        <f t="shared" si="4"/>
        <v>19.424999999999997</v>
      </c>
    </row>
    <row r="323" spans="1:15" x14ac:dyDescent="0.25">
      <c r="A323" s="3">
        <v>44170</v>
      </c>
      <c r="B323" t="s">
        <v>6152</v>
      </c>
      <c r="C323" s="2">
        <v>6</v>
      </c>
      <c r="D323" s="2" t="s">
        <v>2303</v>
      </c>
      <c r="E323" s="2" t="s">
        <v>390</v>
      </c>
      <c r="F323" s="2" t="s">
        <v>318</v>
      </c>
      <c r="G323" t="s">
        <v>6190</v>
      </c>
      <c r="H323" t="str">
        <f>VLOOKUP('Combined table'!B323,products!$A$1:$G$49,2,FALSE)</f>
        <v>Ara</v>
      </c>
      <c r="I323" t="str">
        <f>VLOOKUP('Combined table'!B323,products!$A$1:$G$49,3,FALSE)</f>
        <v>M</v>
      </c>
      <c r="J323">
        <f>VLOOKUP('Combined table'!B323,products!$A$1:$G$49,4,FALSE)</f>
        <v>0.2</v>
      </c>
      <c r="K323">
        <f>VLOOKUP('Combined table'!B323,products!$A$1:$G$49,5,FALSE)</f>
        <v>3.375</v>
      </c>
      <c r="L323">
        <f>VLOOKUP('Combined table'!B323,products!$A$1:$G$49,6,FALSE)</f>
        <v>1.6875</v>
      </c>
      <c r="M323">
        <f>VLOOKUP('Combined table'!B323,products!$A$1:$G$49,7,FALSE)</f>
        <v>0.30374999999999996</v>
      </c>
      <c r="N323" t="str">
        <f>TEXT(A323,"mmm yyyy")</f>
        <v>Dec 2020</v>
      </c>
      <c r="O323">
        <f t="shared" ref="O323:O386" si="5">C323*K323</f>
        <v>20.25</v>
      </c>
    </row>
    <row r="324" spans="1:15" x14ac:dyDescent="0.25">
      <c r="A324" s="3">
        <v>44182</v>
      </c>
      <c r="B324" t="s">
        <v>6169</v>
      </c>
      <c r="C324" s="2">
        <v>3</v>
      </c>
      <c r="D324" s="2" t="s">
        <v>2309</v>
      </c>
      <c r="E324" s="2" t="s">
        <v>455</v>
      </c>
      <c r="F324" s="2" t="s">
        <v>318</v>
      </c>
      <c r="G324" t="s">
        <v>6191</v>
      </c>
      <c r="H324" t="str">
        <f>VLOOKUP('Combined table'!B324,products!$A$1:$G$49,2,FALSE)</f>
        <v>Lib</v>
      </c>
      <c r="I324" t="str">
        <f>VLOOKUP('Combined table'!B324,products!$A$1:$G$49,3,FALSE)</f>
        <v>D</v>
      </c>
      <c r="J324">
        <f>VLOOKUP('Combined table'!B324,products!$A$1:$G$49,4,FALSE)</f>
        <v>0.5</v>
      </c>
      <c r="K324">
        <f>VLOOKUP('Combined table'!B324,products!$A$1:$G$49,5,FALSE)</f>
        <v>7.77</v>
      </c>
      <c r="L324">
        <f>VLOOKUP('Combined table'!B324,products!$A$1:$G$49,6,FALSE)</f>
        <v>1.5539999999999998</v>
      </c>
      <c r="M324">
        <f>VLOOKUP('Combined table'!B324,products!$A$1:$G$49,7,FALSE)</f>
        <v>1.0101</v>
      </c>
      <c r="N324" t="str">
        <f>TEXT(A324,"mmm yyyy")</f>
        <v>Dec 2020</v>
      </c>
      <c r="O324">
        <f t="shared" si="5"/>
        <v>23.31</v>
      </c>
    </row>
    <row r="325" spans="1:15" x14ac:dyDescent="0.25">
      <c r="A325" s="3">
        <v>44373</v>
      </c>
      <c r="B325" t="s">
        <v>6153</v>
      </c>
      <c r="C325" s="2">
        <v>5</v>
      </c>
      <c r="D325" s="2" t="s">
        <v>2315</v>
      </c>
      <c r="E325" s="2" t="s">
        <v>49</v>
      </c>
      <c r="F325" s="2" t="s">
        <v>19</v>
      </c>
      <c r="G325" t="s">
        <v>6190</v>
      </c>
      <c r="H325" t="str">
        <f>VLOOKUP('Combined table'!B325,products!$A$1:$G$49,2,FALSE)</f>
        <v>Exc</v>
      </c>
      <c r="I325" t="str">
        <f>VLOOKUP('Combined table'!B325,products!$A$1:$G$49,3,FALSE)</f>
        <v>D</v>
      </c>
      <c r="J325">
        <f>VLOOKUP('Combined table'!B325,products!$A$1:$G$49,4,FALSE)</f>
        <v>0.2</v>
      </c>
      <c r="K325">
        <f>VLOOKUP('Combined table'!B325,products!$A$1:$G$49,5,FALSE)</f>
        <v>3.645</v>
      </c>
      <c r="L325">
        <f>VLOOKUP('Combined table'!B325,products!$A$1:$G$49,6,FALSE)</f>
        <v>1.8225</v>
      </c>
      <c r="M325">
        <f>VLOOKUP('Combined table'!B325,products!$A$1:$G$49,7,FALSE)</f>
        <v>0.40095000000000003</v>
      </c>
      <c r="N325" t="str">
        <f>TEXT(A325,"mmm yyyy")</f>
        <v>Jun 2021</v>
      </c>
      <c r="O325">
        <f t="shared" si="5"/>
        <v>18.225000000000001</v>
      </c>
    </row>
    <row r="326" spans="1:15" x14ac:dyDescent="0.25">
      <c r="A326" s="3">
        <v>43666</v>
      </c>
      <c r="B326" t="s">
        <v>6141</v>
      </c>
      <c r="C326" s="2">
        <v>1</v>
      </c>
      <c r="D326" s="2" t="s">
        <v>2321</v>
      </c>
      <c r="E326" s="2" t="s">
        <v>67</v>
      </c>
      <c r="F326" s="2" t="s">
        <v>19</v>
      </c>
      <c r="G326" t="s">
        <v>6191</v>
      </c>
      <c r="H326" t="str">
        <f>VLOOKUP('Combined table'!B326,products!$A$1:$G$49,2,FALSE)</f>
        <v>Exc</v>
      </c>
      <c r="I326" t="str">
        <f>VLOOKUP('Combined table'!B326,products!$A$1:$G$49,3,FALSE)</f>
        <v>M</v>
      </c>
      <c r="J326">
        <f>VLOOKUP('Combined table'!B326,products!$A$1:$G$49,4,FALSE)</f>
        <v>1</v>
      </c>
      <c r="K326">
        <f>VLOOKUP('Combined table'!B326,products!$A$1:$G$49,5,FALSE)</f>
        <v>13.75</v>
      </c>
      <c r="L326">
        <f>VLOOKUP('Combined table'!B326,products!$A$1:$G$49,6,FALSE)</f>
        <v>1.375</v>
      </c>
      <c r="M326">
        <f>VLOOKUP('Combined table'!B326,products!$A$1:$G$49,7,FALSE)</f>
        <v>1.5125</v>
      </c>
      <c r="N326" t="str">
        <f>TEXT(A326,"mmm yyyy")</f>
        <v>Jul 2019</v>
      </c>
      <c r="O326">
        <f t="shared" si="5"/>
        <v>13.75</v>
      </c>
    </row>
    <row r="327" spans="1:15" x14ac:dyDescent="0.25">
      <c r="A327" s="3">
        <v>44756</v>
      </c>
      <c r="B327" t="s">
        <v>6182</v>
      </c>
      <c r="C327" s="2">
        <v>1</v>
      </c>
      <c r="D327" s="2" t="s">
        <v>2326</v>
      </c>
      <c r="E327" s="2" t="s">
        <v>150</v>
      </c>
      <c r="F327" s="2" t="s">
        <v>19</v>
      </c>
      <c r="G327" t="s">
        <v>6190</v>
      </c>
      <c r="H327" t="str">
        <f>VLOOKUP('Combined table'!B327,products!$A$1:$G$49,2,FALSE)</f>
        <v>Ara</v>
      </c>
      <c r="I327" t="str">
        <f>VLOOKUP('Combined table'!B327,products!$A$1:$G$49,3,FALSE)</f>
        <v>L</v>
      </c>
      <c r="J327">
        <f>VLOOKUP('Combined table'!B327,products!$A$1:$G$49,4,FALSE)</f>
        <v>2.5</v>
      </c>
      <c r="K327">
        <f>VLOOKUP('Combined table'!B327,products!$A$1:$G$49,5,FALSE)</f>
        <v>29.784999999999997</v>
      </c>
      <c r="L327">
        <f>VLOOKUP('Combined table'!B327,products!$A$1:$G$49,6,FALSE)</f>
        <v>1.1913999999999998</v>
      </c>
      <c r="M327">
        <f>VLOOKUP('Combined table'!B327,products!$A$1:$G$49,7,FALSE)</f>
        <v>2.6806499999999995</v>
      </c>
      <c r="N327" t="str">
        <f>TEXT(A327,"mmm yyyy")</f>
        <v>Jul 2022</v>
      </c>
      <c r="O327">
        <f t="shared" si="5"/>
        <v>29.784999999999997</v>
      </c>
    </row>
    <row r="328" spans="1:15" x14ac:dyDescent="0.25">
      <c r="A328" s="3">
        <v>44057</v>
      </c>
      <c r="B328" t="s">
        <v>6177</v>
      </c>
      <c r="C328" s="2">
        <v>5</v>
      </c>
      <c r="D328" s="2" t="s">
        <v>2332</v>
      </c>
      <c r="E328" s="2" t="s">
        <v>144</v>
      </c>
      <c r="F328" s="2" t="s">
        <v>19</v>
      </c>
      <c r="G328" t="s">
        <v>6191</v>
      </c>
      <c r="H328" t="str">
        <f>VLOOKUP('Combined table'!B328,products!$A$1:$G$49,2,FALSE)</f>
        <v>Rob</v>
      </c>
      <c r="I328" t="str">
        <f>VLOOKUP('Combined table'!B328,products!$A$1:$G$49,3,FALSE)</f>
        <v>D</v>
      </c>
      <c r="J328">
        <f>VLOOKUP('Combined table'!B328,products!$A$1:$G$49,4,FALSE)</f>
        <v>1</v>
      </c>
      <c r="K328">
        <f>VLOOKUP('Combined table'!B328,products!$A$1:$G$49,5,FALSE)</f>
        <v>8.9499999999999993</v>
      </c>
      <c r="L328">
        <f>VLOOKUP('Combined table'!B328,products!$A$1:$G$49,6,FALSE)</f>
        <v>0.89499999999999991</v>
      </c>
      <c r="M328">
        <f>VLOOKUP('Combined table'!B328,products!$A$1:$G$49,7,FALSE)</f>
        <v>0.53699999999999992</v>
      </c>
      <c r="N328" t="str">
        <f>TEXT(A328,"mmm yyyy")</f>
        <v>Aug 2020</v>
      </c>
      <c r="O328">
        <f t="shared" si="5"/>
        <v>44.75</v>
      </c>
    </row>
    <row r="329" spans="1:15" x14ac:dyDescent="0.25">
      <c r="A329" s="3">
        <v>43579</v>
      </c>
      <c r="B329" t="s">
        <v>6177</v>
      </c>
      <c r="C329" s="2">
        <v>5</v>
      </c>
      <c r="D329" s="2" t="s">
        <v>2337</v>
      </c>
      <c r="E329" s="2" t="s">
        <v>139</v>
      </c>
      <c r="F329" s="2" t="s">
        <v>19</v>
      </c>
      <c r="G329" t="s">
        <v>6190</v>
      </c>
      <c r="H329" t="str">
        <f>VLOOKUP('Combined table'!B329,products!$A$1:$G$49,2,FALSE)</f>
        <v>Rob</v>
      </c>
      <c r="I329" t="str">
        <f>VLOOKUP('Combined table'!B329,products!$A$1:$G$49,3,FALSE)</f>
        <v>D</v>
      </c>
      <c r="J329">
        <f>VLOOKUP('Combined table'!B329,products!$A$1:$G$49,4,FALSE)</f>
        <v>1</v>
      </c>
      <c r="K329">
        <f>VLOOKUP('Combined table'!B329,products!$A$1:$G$49,5,FALSE)</f>
        <v>8.9499999999999993</v>
      </c>
      <c r="L329">
        <f>VLOOKUP('Combined table'!B329,products!$A$1:$G$49,6,FALSE)</f>
        <v>0.89499999999999991</v>
      </c>
      <c r="M329">
        <f>VLOOKUP('Combined table'!B329,products!$A$1:$G$49,7,FALSE)</f>
        <v>0.53699999999999992</v>
      </c>
      <c r="N329" t="str">
        <f>TEXT(A329,"mmm yyyy")</f>
        <v>Apr 2019</v>
      </c>
      <c r="O329">
        <f t="shared" si="5"/>
        <v>44.75</v>
      </c>
    </row>
    <row r="330" spans="1:15" x14ac:dyDescent="0.25">
      <c r="A330" s="3">
        <v>43620</v>
      </c>
      <c r="B330" t="s">
        <v>6161</v>
      </c>
      <c r="C330" s="2">
        <v>4</v>
      </c>
      <c r="D330" s="2" t="s">
        <v>2343</v>
      </c>
      <c r="E330" s="2" t="s">
        <v>50</v>
      </c>
      <c r="F330" s="2" t="s">
        <v>19</v>
      </c>
      <c r="G330" t="s">
        <v>6190</v>
      </c>
      <c r="H330" t="str">
        <f>VLOOKUP('Combined table'!B330,products!$A$1:$G$49,2,FALSE)</f>
        <v>Lib</v>
      </c>
      <c r="I330" t="str">
        <f>VLOOKUP('Combined table'!B330,products!$A$1:$G$49,3,FALSE)</f>
        <v>L</v>
      </c>
      <c r="J330">
        <f>VLOOKUP('Combined table'!B330,products!$A$1:$G$49,4,FALSE)</f>
        <v>0.5</v>
      </c>
      <c r="K330">
        <f>VLOOKUP('Combined table'!B330,products!$A$1:$G$49,5,FALSE)</f>
        <v>9.51</v>
      </c>
      <c r="L330">
        <f>VLOOKUP('Combined table'!B330,products!$A$1:$G$49,6,FALSE)</f>
        <v>1.9019999999999999</v>
      </c>
      <c r="M330">
        <f>VLOOKUP('Combined table'!B330,products!$A$1:$G$49,7,FALSE)</f>
        <v>1.2363</v>
      </c>
      <c r="N330" t="str">
        <f>TEXT(A330,"mmm yyyy")</f>
        <v>Jun 2019</v>
      </c>
      <c r="O330">
        <f t="shared" si="5"/>
        <v>38.04</v>
      </c>
    </row>
    <row r="331" spans="1:15" x14ac:dyDescent="0.25">
      <c r="A331" s="3">
        <v>44781</v>
      </c>
      <c r="B331" t="s">
        <v>6172</v>
      </c>
      <c r="C331" s="2">
        <v>4</v>
      </c>
      <c r="D331" s="2" t="s">
        <v>2348</v>
      </c>
      <c r="E331" s="2" t="s">
        <v>131</v>
      </c>
      <c r="F331" s="2" t="s">
        <v>19</v>
      </c>
      <c r="G331" t="s">
        <v>6190</v>
      </c>
      <c r="H331" t="str">
        <f>VLOOKUP('Combined table'!B331,products!$A$1:$G$49,2,FALSE)</f>
        <v>Rob</v>
      </c>
      <c r="I331" t="str">
        <f>VLOOKUP('Combined table'!B331,products!$A$1:$G$49,3,FALSE)</f>
        <v>D</v>
      </c>
      <c r="J331">
        <f>VLOOKUP('Combined table'!B331,products!$A$1:$G$49,4,FALSE)</f>
        <v>0.5</v>
      </c>
      <c r="K331">
        <f>VLOOKUP('Combined table'!B331,products!$A$1:$G$49,5,FALSE)</f>
        <v>5.3699999999999992</v>
      </c>
      <c r="L331">
        <f>VLOOKUP('Combined table'!B331,products!$A$1:$G$49,6,FALSE)</f>
        <v>1.0739999999999998</v>
      </c>
      <c r="M331">
        <f>VLOOKUP('Combined table'!B331,products!$A$1:$G$49,7,FALSE)</f>
        <v>0.32219999999999993</v>
      </c>
      <c r="N331" t="str">
        <f>TEXT(A331,"mmm yyyy")</f>
        <v>Aug 2022</v>
      </c>
      <c r="O331">
        <f t="shared" si="5"/>
        <v>21.479999999999997</v>
      </c>
    </row>
    <row r="332" spans="1:15" x14ac:dyDescent="0.25">
      <c r="A332" s="3">
        <v>43782</v>
      </c>
      <c r="B332" t="s">
        <v>6172</v>
      </c>
      <c r="C332" s="2">
        <v>3</v>
      </c>
      <c r="D332" s="2" t="s">
        <v>2353</v>
      </c>
      <c r="E332" s="2" t="s">
        <v>47</v>
      </c>
      <c r="F332" s="2" t="s">
        <v>19</v>
      </c>
      <c r="G332" t="s">
        <v>6191</v>
      </c>
      <c r="H332" t="str">
        <f>VLOOKUP('Combined table'!B332,products!$A$1:$G$49,2,FALSE)</f>
        <v>Rob</v>
      </c>
      <c r="I332" t="str">
        <f>VLOOKUP('Combined table'!B332,products!$A$1:$G$49,3,FALSE)</f>
        <v>D</v>
      </c>
      <c r="J332">
        <f>VLOOKUP('Combined table'!B332,products!$A$1:$G$49,4,FALSE)</f>
        <v>0.5</v>
      </c>
      <c r="K332">
        <f>VLOOKUP('Combined table'!B332,products!$A$1:$G$49,5,FALSE)</f>
        <v>5.3699999999999992</v>
      </c>
      <c r="L332">
        <f>VLOOKUP('Combined table'!B332,products!$A$1:$G$49,6,FALSE)</f>
        <v>1.0739999999999998</v>
      </c>
      <c r="M332">
        <f>VLOOKUP('Combined table'!B332,products!$A$1:$G$49,7,FALSE)</f>
        <v>0.32219999999999993</v>
      </c>
      <c r="N332" t="str">
        <f>TEXT(A332,"mmm yyyy")</f>
        <v>Nov 2019</v>
      </c>
      <c r="O332">
        <f t="shared" si="5"/>
        <v>16.11</v>
      </c>
    </row>
    <row r="333" spans="1:15" x14ac:dyDescent="0.25">
      <c r="A333" s="3">
        <v>43989</v>
      </c>
      <c r="B333" t="s">
        <v>6151</v>
      </c>
      <c r="C333" s="2">
        <v>1</v>
      </c>
      <c r="D333" s="2" t="s">
        <v>2359</v>
      </c>
      <c r="E333" s="2" t="s">
        <v>117</v>
      </c>
      <c r="F333" s="2" t="s">
        <v>19</v>
      </c>
      <c r="G333" t="s">
        <v>6190</v>
      </c>
      <c r="H333" t="str">
        <f>VLOOKUP('Combined table'!B333,products!$A$1:$G$49,2,FALSE)</f>
        <v>Rob</v>
      </c>
      <c r="I333" t="str">
        <f>VLOOKUP('Combined table'!B333,products!$A$1:$G$49,3,FALSE)</f>
        <v>M</v>
      </c>
      <c r="J333">
        <f>VLOOKUP('Combined table'!B333,products!$A$1:$G$49,4,FALSE)</f>
        <v>2.5</v>
      </c>
      <c r="K333">
        <f>VLOOKUP('Combined table'!B333,products!$A$1:$G$49,5,FALSE)</f>
        <v>22.884999999999998</v>
      </c>
      <c r="L333">
        <f>VLOOKUP('Combined table'!B333,products!$A$1:$G$49,6,FALSE)</f>
        <v>0.91539999999999988</v>
      </c>
      <c r="M333">
        <f>VLOOKUP('Combined table'!B333,products!$A$1:$G$49,7,FALSE)</f>
        <v>1.3730999999999998</v>
      </c>
      <c r="N333" t="str">
        <f>TEXT(A333,"mmm yyyy")</f>
        <v>Jun 2020</v>
      </c>
      <c r="O333">
        <f t="shared" si="5"/>
        <v>22.884999999999998</v>
      </c>
    </row>
    <row r="334" spans="1:15" x14ac:dyDescent="0.25">
      <c r="A334" s="3">
        <v>43689</v>
      </c>
      <c r="B334" t="s">
        <v>6158</v>
      </c>
      <c r="C334" s="2">
        <v>3</v>
      </c>
      <c r="D334" s="2" t="s">
        <v>2365</v>
      </c>
      <c r="E334" s="2" t="s">
        <v>27</v>
      </c>
      <c r="F334" s="2" t="s">
        <v>19</v>
      </c>
      <c r="G334" t="s">
        <v>6190</v>
      </c>
      <c r="H334" t="str">
        <f>VLOOKUP('Combined table'!B334,products!$A$1:$G$49,2,FALSE)</f>
        <v>Ara</v>
      </c>
      <c r="I334" t="str">
        <f>VLOOKUP('Combined table'!B334,products!$A$1:$G$49,3,FALSE)</f>
        <v>D</v>
      </c>
      <c r="J334">
        <f>VLOOKUP('Combined table'!B334,products!$A$1:$G$49,4,FALSE)</f>
        <v>0.5</v>
      </c>
      <c r="K334">
        <f>VLOOKUP('Combined table'!B334,products!$A$1:$G$49,5,FALSE)</f>
        <v>5.97</v>
      </c>
      <c r="L334">
        <f>VLOOKUP('Combined table'!B334,products!$A$1:$G$49,6,FALSE)</f>
        <v>1.194</v>
      </c>
      <c r="M334">
        <f>VLOOKUP('Combined table'!B334,products!$A$1:$G$49,7,FALSE)</f>
        <v>0.5373</v>
      </c>
      <c r="N334" t="str">
        <f>TEXT(A334,"mmm yyyy")</f>
        <v>Aug 2019</v>
      </c>
      <c r="O334">
        <f t="shared" si="5"/>
        <v>17.91</v>
      </c>
    </row>
    <row r="335" spans="1:15" x14ac:dyDescent="0.25">
      <c r="A335" s="3">
        <v>43712</v>
      </c>
      <c r="B335" t="s">
        <v>6146</v>
      </c>
      <c r="C335" s="2">
        <v>4</v>
      </c>
      <c r="D335" s="2" t="s">
        <v>2371</v>
      </c>
      <c r="E335" s="2" t="s">
        <v>20</v>
      </c>
      <c r="F335" s="2" t="s">
        <v>19</v>
      </c>
      <c r="G335" t="s">
        <v>6190</v>
      </c>
      <c r="H335" t="str">
        <f>VLOOKUP('Combined table'!B335,products!$A$1:$G$49,2,FALSE)</f>
        <v>Rob</v>
      </c>
      <c r="I335" t="str">
        <f>VLOOKUP('Combined table'!B335,products!$A$1:$G$49,3,FALSE)</f>
        <v>M</v>
      </c>
      <c r="J335">
        <f>VLOOKUP('Combined table'!B335,products!$A$1:$G$49,4,FALSE)</f>
        <v>0.5</v>
      </c>
      <c r="K335">
        <f>VLOOKUP('Combined table'!B335,products!$A$1:$G$49,5,FALSE)</f>
        <v>5.97</v>
      </c>
      <c r="L335">
        <f>VLOOKUP('Combined table'!B335,products!$A$1:$G$49,6,FALSE)</f>
        <v>1.194</v>
      </c>
      <c r="M335">
        <f>VLOOKUP('Combined table'!B335,products!$A$1:$G$49,7,FALSE)</f>
        <v>0.35819999999999996</v>
      </c>
      <c r="N335" t="str">
        <f>TEXT(A335,"mmm yyyy")</f>
        <v>Sep 2019</v>
      </c>
      <c r="O335">
        <f t="shared" si="5"/>
        <v>23.88</v>
      </c>
    </row>
    <row r="336" spans="1:15" x14ac:dyDescent="0.25">
      <c r="A336" s="3">
        <v>43742</v>
      </c>
      <c r="B336" t="s">
        <v>6179</v>
      </c>
      <c r="C336" s="2">
        <v>5</v>
      </c>
      <c r="D336" s="2" t="s">
        <v>2377</v>
      </c>
      <c r="E336" s="2" t="s">
        <v>216</v>
      </c>
      <c r="F336" s="2" t="s">
        <v>19</v>
      </c>
      <c r="G336" t="s">
        <v>6191</v>
      </c>
      <c r="H336" t="str">
        <f>VLOOKUP('Combined table'!B336,products!$A$1:$G$49,2,FALSE)</f>
        <v>Rob</v>
      </c>
      <c r="I336" t="str">
        <f>VLOOKUP('Combined table'!B336,products!$A$1:$G$49,3,FALSE)</f>
        <v>L</v>
      </c>
      <c r="J336">
        <f>VLOOKUP('Combined table'!B336,products!$A$1:$G$49,4,FALSE)</f>
        <v>1</v>
      </c>
      <c r="K336">
        <f>VLOOKUP('Combined table'!B336,products!$A$1:$G$49,5,FALSE)</f>
        <v>11.95</v>
      </c>
      <c r="L336">
        <f>VLOOKUP('Combined table'!B336,products!$A$1:$G$49,6,FALSE)</f>
        <v>1.1949999999999998</v>
      </c>
      <c r="M336">
        <f>VLOOKUP('Combined table'!B336,products!$A$1:$G$49,7,FALSE)</f>
        <v>0.71699999999999997</v>
      </c>
      <c r="N336" t="str">
        <f>TEXT(A336,"mmm yyyy")</f>
        <v>Oct 2019</v>
      </c>
      <c r="O336">
        <f t="shared" si="5"/>
        <v>59.75</v>
      </c>
    </row>
    <row r="337" spans="1:15" x14ac:dyDescent="0.25">
      <c r="A337" s="3">
        <v>43885</v>
      </c>
      <c r="B337" t="s">
        <v>6145</v>
      </c>
      <c r="C337" s="2">
        <v>6</v>
      </c>
      <c r="D337" s="2" t="s">
        <v>2381</v>
      </c>
      <c r="E337" s="2" t="s">
        <v>115</v>
      </c>
      <c r="F337" s="2" t="s">
        <v>19</v>
      </c>
      <c r="G337" t="s">
        <v>6190</v>
      </c>
      <c r="H337" t="str">
        <f>VLOOKUP('Combined table'!B337,products!$A$1:$G$49,2,FALSE)</f>
        <v>Lib</v>
      </c>
      <c r="I337" t="str">
        <f>VLOOKUP('Combined table'!B337,products!$A$1:$G$49,3,FALSE)</f>
        <v>L</v>
      </c>
      <c r="J337">
        <f>VLOOKUP('Combined table'!B337,products!$A$1:$G$49,4,FALSE)</f>
        <v>0.2</v>
      </c>
      <c r="K337">
        <f>VLOOKUP('Combined table'!B337,products!$A$1:$G$49,5,FALSE)</f>
        <v>4.7549999999999999</v>
      </c>
      <c r="L337">
        <f>VLOOKUP('Combined table'!B337,products!$A$1:$G$49,6,FALSE)</f>
        <v>2.3774999999999999</v>
      </c>
      <c r="M337">
        <f>VLOOKUP('Combined table'!B337,products!$A$1:$G$49,7,FALSE)</f>
        <v>0.61814999999999998</v>
      </c>
      <c r="N337" t="str">
        <f>TEXT(A337,"mmm yyyy")</f>
        <v>Feb 2020</v>
      </c>
      <c r="O337">
        <f t="shared" si="5"/>
        <v>28.53</v>
      </c>
    </row>
    <row r="338" spans="1:15" x14ac:dyDescent="0.25">
      <c r="A338" s="3">
        <v>44434</v>
      </c>
      <c r="B338" t="s">
        <v>6155</v>
      </c>
      <c r="C338" s="2">
        <v>4</v>
      </c>
      <c r="D338" s="2" t="s">
        <v>2387</v>
      </c>
      <c r="E338" s="2" t="s">
        <v>253</v>
      </c>
      <c r="F338" s="2" t="s">
        <v>28</v>
      </c>
      <c r="G338" t="s">
        <v>6191</v>
      </c>
      <c r="H338" t="str">
        <f>VLOOKUP('Combined table'!B338,products!$A$1:$G$49,2,FALSE)</f>
        <v>Ara</v>
      </c>
      <c r="I338" t="str">
        <f>VLOOKUP('Combined table'!B338,products!$A$1:$G$49,3,FALSE)</f>
        <v>M</v>
      </c>
      <c r="J338">
        <f>VLOOKUP('Combined table'!B338,products!$A$1:$G$49,4,FALSE)</f>
        <v>1</v>
      </c>
      <c r="K338">
        <f>VLOOKUP('Combined table'!B338,products!$A$1:$G$49,5,FALSE)</f>
        <v>11.25</v>
      </c>
      <c r="L338">
        <f>VLOOKUP('Combined table'!B338,products!$A$1:$G$49,6,FALSE)</f>
        <v>1.125</v>
      </c>
      <c r="M338">
        <f>VLOOKUP('Combined table'!B338,products!$A$1:$G$49,7,FALSE)</f>
        <v>1.0125</v>
      </c>
      <c r="N338" t="str">
        <f>TEXT(A338,"mmm yyyy")</f>
        <v>Aug 2021</v>
      </c>
      <c r="O338">
        <f t="shared" si="5"/>
        <v>45</v>
      </c>
    </row>
    <row r="339" spans="1:15" x14ac:dyDescent="0.25">
      <c r="A339" s="3">
        <v>44472</v>
      </c>
      <c r="B339" t="s">
        <v>6185</v>
      </c>
      <c r="C339" s="2">
        <v>2</v>
      </c>
      <c r="D339" s="2" t="s">
        <v>2393</v>
      </c>
      <c r="E339" s="2" t="s">
        <v>39</v>
      </c>
      <c r="F339" s="2" t="s">
        <v>19</v>
      </c>
      <c r="G339" t="s">
        <v>6191</v>
      </c>
      <c r="H339" t="str">
        <f>VLOOKUP('Combined table'!B339,products!$A$1:$G$49,2,FALSE)</f>
        <v>Exc</v>
      </c>
      <c r="I339" t="str">
        <f>VLOOKUP('Combined table'!B339,products!$A$1:$G$49,3,FALSE)</f>
        <v>D</v>
      </c>
      <c r="J339">
        <f>VLOOKUP('Combined table'!B339,products!$A$1:$G$49,4,FALSE)</f>
        <v>2.5</v>
      </c>
      <c r="K339">
        <f>VLOOKUP('Combined table'!B339,products!$A$1:$G$49,5,FALSE)</f>
        <v>27.945</v>
      </c>
      <c r="L339">
        <f>VLOOKUP('Combined table'!B339,products!$A$1:$G$49,6,FALSE)</f>
        <v>1.1177999999999999</v>
      </c>
      <c r="M339">
        <f>VLOOKUP('Combined table'!B339,products!$A$1:$G$49,7,FALSE)</f>
        <v>3.07395</v>
      </c>
      <c r="N339" t="str">
        <f>TEXT(A339,"mmm yyyy")</f>
        <v>Oct 2021</v>
      </c>
      <c r="O339">
        <f t="shared" si="5"/>
        <v>55.89</v>
      </c>
    </row>
    <row r="340" spans="1:15" x14ac:dyDescent="0.25">
      <c r="A340" s="3">
        <v>43995</v>
      </c>
      <c r="B340" t="s">
        <v>6171</v>
      </c>
      <c r="C340" s="2">
        <v>4</v>
      </c>
      <c r="D340" s="2" t="s">
        <v>2398</v>
      </c>
      <c r="E340" s="2" t="s">
        <v>57</v>
      </c>
      <c r="F340" s="2" t="s">
        <v>19</v>
      </c>
      <c r="G340" t="s">
        <v>6191</v>
      </c>
      <c r="H340" t="str">
        <f>VLOOKUP('Combined table'!B340,products!$A$1:$G$49,2,FALSE)</f>
        <v>Exc</v>
      </c>
      <c r="I340" t="str">
        <f>VLOOKUP('Combined table'!B340,products!$A$1:$G$49,3,FALSE)</f>
        <v>L</v>
      </c>
      <c r="J340">
        <f>VLOOKUP('Combined table'!B340,products!$A$1:$G$49,4,FALSE)</f>
        <v>1</v>
      </c>
      <c r="K340">
        <f>VLOOKUP('Combined table'!B340,products!$A$1:$G$49,5,FALSE)</f>
        <v>14.85</v>
      </c>
      <c r="L340">
        <f>VLOOKUP('Combined table'!B340,products!$A$1:$G$49,6,FALSE)</f>
        <v>1.4849999999999999</v>
      </c>
      <c r="M340">
        <f>VLOOKUP('Combined table'!B340,products!$A$1:$G$49,7,FALSE)</f>
        <v>1.6335</v>
      </c>
      <c r="N340" t="str">
        <f>TEXT(A340,"mmm yyyy")</f>
        <v>Jun 2020</v>
      </c>
      <c r="O340">
        <f t="shared" si="5"/>
        <v>59.4</v>
      </c>
    </row>
    <row r="341" spans="1:15" x14ac:dyDescent="0.25">
      <c r="A341" s="3">
        <v>44256</v>
      </c>
      <c r="B341" t="s">
        <v>6153</v>
      </c>
      <c r="C341" s="2">
        <v>2</v>
      </c>
      <c r="D341" s="2" t="s">
        <v>2404</v>
      </c>
      <c r="E341" s="2" t="s">
        <v>241</v>
      </c>
      <c r="F341" s="2" t="s">
        <v>19</v>
      </c>
      <c r="G341" t="s">
        <v>6190</v>
      </c>
      <c r="H341" t="str">
        <f>VLOOKUP('Combined table'!B341,products!$A$1:$G$49,2,FALSE)</f>
        <v>Exc</v>
      </c>
      <c r="I341" t="str">
        <f>VLOOKUP('Combined table'!B341,products!$A$1:$G$49,3,FALSE)</f>
        <v>D</v>
      </c>
      <c r="J341">
        <f>VLOOKUP('Combined table'!B341,products!$A$1:$G$49,4,FALSE)</f>
        <v>0.2</v>
      </c>
      <c r="K341">
        <f>VLOOKUP('Combined table'!B341,products!$A$1:$G$49,5,FALSE)</f>
        <v>3.645</v>
      </c>
      <c r="L341">
        <f>VLOOKUP('Combined table'!B341,products!$A$1:$G$49,6,FALSE)</f>
        <v>1.8225</v>
      </c>
      <c r="M341">
        <f>VLOOKUP('Combined table'!B341,products!$A$1:$G$49,7,FALSE)</f>
        <v>0.40095000000000003</v>
      </c>
      <c r="N341" t="str">
        <f>TEXT(A341,"mmm yyyy")</f>
        <v>Mar 2021</v>
      </c>
      <c r="O341">
        <f t="shared" si="5"/>
        <v>7.29</v>
      </c>
    </row>
    <row r="342" spans="1:15" x14ac:dyDescent="0.25">
      <c r="A342" s="3">
        <v>43528</v>
      </c>
      <c r="B342" t="s">
        <v>6144</v>
      </c>
      <c r="C342" s="2">
        <v>1</v>
      </c>
      <c r="D342" s="2" t="s">
        <v>2410</v>
      </c>
      <c r="E342" s="2" t="s">
        <v>150</v>
      </c>
      <c r="F342" s="2" t="s">
        <v>19</v>
      </c>
      <c r="G342" t="s">
        <v>6190</v>
      </c>
      <c r="H342" t="str">
        <f>VLOOKUP('Combined table'!B342,products!$A$1:$G$49,2,FALSE)</f>
        <v>Exc</v>
      </c>
      <c r="I342" t="str">
        <f>VLOOKUP('Combined table'!B342,products!$A$1:$G$49,3,FALSE)</f>
        <v>D</v>
      </c>
      <c r="J342">
        <f>VLOOKUP('Combined table'!B342,products!$A$1:$G$49,4,FALSE)</f>
        <v>0.5</v>
      </c>
      <c r="K342">
        <f>VLOOKUP('Combined table'!B342,products!$A$1:$G$49,5,FALSE)</f>
        <v>7.29</v>
      </c>
      <c r="L342">
        <f>VLOOKUP('Combined table'!B342,products!$A$1:$G$49,6,FALSE)</f>
        <v>1.458</v>
      </c>
      <c r="M342">
        <f>VLOOKUP('Combined table'!B342,products!$A$1:$G$49,7,FALSE)</f>
        <v>0.80190000000000006</v>
      </c>
      <c r="N342" t="str">
        <f>TEXT(A342,"mmm yyyy")</f>
        <v>Mar 2019</v>
      </c>
      <c r="O342">
        <f t="shared" si="5"/>
        <v>7.29</v>
      </c>
    </row>
    <row r="343" spans="1:15" x14ac:dyDescent="0.25">
      <c r="A343" s="3">
        <v>43751</v>
      </c>
      <c r="B343" t="s">
        <v>6176</v>
      </c>
      <c r="C343" s="2">
        <v>2</v>
      </c>
      <c r="D343" s="2" t="s">
        <v>2416</v>
      </c>
      <c r="E343" s="2" t="s">
        <v>36</v>
      </c>
      <c r="F343" s="2" t="s">
        <v>19</v>
      </c>
      <c r="G343" t="s">
        <v>6191</v>
      </c>
      <c r="H343" t="str">
        <f>VLOOKUP('Combined table'!B343,products!$A$1:$G$49,2,FALSE)</f>
        <v>Exc</v>
      </c>
      <c r="I343" t="str">
        <f>VLOOKUP('Combined table'!B343,products!$A$1:$G$49,3,FALSE)</f>
        <v>L</v>
      </c>
      <c r="J343">
        <f>VLOOKUP('Combined table'!B343,products!$A$1:$G$49,4,FALSE)</f>
        <v>0.5</v>
      </c>
      <c r="K343">
        <f>VLOOKUP('Combined table'!B343,products!$A$1:$G$49,5,FALSE)</f>
        <v>8.91</v>
      </c>
      <c r="L343">
        <f>VLOOKUP('Combined table'!B343,products!$A$1:$G$49,6,FALSE)</f>
        <v>1.782</v>
      </c>
      <c r="M343">
        <f>VLOOKUP('Combined table'!B343,products!$A$1:$G$49,7,FALSE)</f>
        <v>0.98009999999999997</v>
      </c>
      <c r="N343" t="str">
        <f>TEXT(A343,"mmm yyyy")</f>
        <v>Oct 2019</v>
      </c>
      <c r="O343">
        <f t="shared" si="5"/>
        <v>17.82</v>
      </c>
    </row>
    <row r="344" spans="1:15" x14ac:dyDescent="0.25">
      <c r="A344" s="3">
        <v>43751</v>
      </c>
      <c r="B344" t="s">
        <v>6169</v>
      </c>
      <c r="C344" s="2">
        <v>5</v>
      </c>
      <c r="D344" s="2" t="s">
        <v>2421</v>
      </c>
      <c r="E344" s="2" t="s">
        <v>22</v>
      </c>
      <c r="F344" s="2" t="s">
        <v>19</v>
      </c>
      <c r="G344" t="s">
        <v>6191</v>
      </c>
      <c r="H344" t="str">
        <f>VLOOKUP('Combined table'!B344,products!$A$1:$G$49,2,FALSE)</f>
        <v>Lib</v>
      </c>
      <c r="I344" t="str">
        <f>VLOOKUP('Combined table'!B344,products!$A$1:$G$49,3,FALSE)</f>
        <v>D</v>
      </c>
      <c r="J344">
        <f>VLOOKUP('Combined table'!B344,products!$A$1:$G$49,4,FALSE)</f>
        <v>0.5</v>
      </c>
      <c r="K344">
        <f>VLOOKUP('Combined table'!B344,products!$A$1:$G$49,5,FALSE)</f>
        <v>7.77</v>
      </c>
      <c r="L344">
        <f>VLOOKUP('Combined table'!B344,products!$A$1:$G$49,6,FALSE)</f>
        <v>1.5539999999999998</v>
      </c>
      <c r="M344">
        <f>VLOOKUP('Combined table'!B344,products!$A$1:$G$49,7,FALSE)</f>
        <v>1.0101</v>
      </c>
      <c r="N344" t="str">
        <f>TEXT(A344,"mmm yyyy")</f>
        <v>Oct 2019</v>
      </c>
      <c r="O344">
        <f t="shared" si="5"/>
        <v>38.849999999999994</v>
      </c>
    </row>
    <row r="345" spans="1:15" x14ac:dyDescent="0.25">
      <c r="A345" s="3">
        <v>43692</v>
      </c>
      <c r="B345" t="s">
        <v>6172</v>
      </c>
      <c r="C345" s="2">
        <v>6</v>
      </c>
      <c r="D345" s="2" t="s">
        <v>2426</v>
      </c>
      <c r="E345" s="2" t="s">
        <v>105</v>
      </c>
      <c r="F345" s="2" t="s">
        <v>19</v>
      </c>
      <c r="G345" t="s">
        <v>6191</v>
      </c>
      <c r="H345" t="str">
        <f>VLOOKUP('Combined table'!B345,products!$A$1:$G$49,2,FALSE)</f>
        <v>Rob</v>
      </c>
      <c r="I345" t="str">
        <f>VLOOKUP('Combined table'!B345,products!$A$1:$G$49,3,FALSE)</f>
        <v>D</v>
      </c>
      <c r="J345">
        <f>VLOOKUP('Combined table'!B345,products!$A$1:$G$49,4,FALSE)</f>
        <v>0.5</v>
      </c>
      <c r="K345">
        <f>VLOOKUP('Combined table'!B345,products!$A$1:$G$49,5,FALSE)</f>
        <v>5.3699999999999992</v>
      </c>
      <c r="L345">
        <f>VLOOKUP('Combined table'!B345,products!$A$1:$G$49,6,FALSE)</f>
        <v>1.0739999999999998</v>
      </c>
      <c r="M345">
        <f>VLOOKUP('Combined table'!B345,products!$A$1:$G$49,7,FALSE)</f>
        <v>0.32219999999999993</v>
      </c>
      <c r="N345" t="str">
        <f>TEXT(A345,"mmm yyyy")</f>
        <v>Aug 2019</v>
      </c>
      <c r="O345">
        <f t="shared" si="5"/>
        <v>32.22</v>
      </c>
    </row>
    <row r="346" spans="1:15" x14ac:dyDescent="0.25">
      <c r="A346" s="3">
        <v>44529</v>
      </c>
      <c r="B346" t="s">
        <v>6138</v>
      </c>
      <c r="C346" s="2">
        <v>2</v>
      </c>
      <c r="D346" s="2" t="s">
        <v>2431</v>
      </c>
      <c r="E346" s="2" t="s">
        <v>428</v>
      </c>
      <c r="F346" s="2" t="s">
        <v>318</v>
      </c>
      <c r="G346" t="s">
        <v>6190</v>
      </c>
      <c r="H346" t="str">
        <f>VLOOKUP('Combined table'!B346,products!$A$1:$G$49,2,FALSE)</f>
        <v>Rob</v>
      </c>
      <c r="I346" t="str">
        <f>VLOOKUP('Combined table'!B346,products!$A$1:$G$49,3,FALSE)</f>
        <v>M</v>
      </c>
      <c r="J346">
        <f>VLOOKUP('Combined table'!B346,products!$A$1:$G$49,4,FALSE)</f>
        <v>1</v>
      </c>
      <c r="K346">
        <f>VLOOKUP('Combined table'!B346,products!$A$1:$G$49,5,FALSE)</f>
        <v>9.9499999999999993</v>
      </c>
      <c r="L346">
        <f>VLOOKUP('Combined table'!B346,products!$A$1:$G$49,6,FALSE)</f>
        <v>0.99499999999999988</v>
      </c>
      <c r="M346">
        <f>VLOOKUP('Combined table'!B346,products!$A$1:$G$49,7,FALSE)</f>
        <v>0.59699999999999998</v>
      </c>
      <c r="N346" t="str">
        <f>TEXT(A346,"mmm yyyy")</f>
        <v>Nov 2021</v>
      </c>
      <c r="O346">
        <f t="shared" si="5"/>
        <v>19.899999999999999</v>
      </c>
    </row>
    <row r="347" spans="1:15" x14ac:dyDescent="0.25">
      <c r="A347" s="3">
        <v>43849</v>
      </c>
      <c r="B347" t="s">
        <v>6179</v>
      </c>
      <c r="C347" s="2">
        <v>5</v>
      </c>
      <c r="D347" s="2" t="s">
        <v>2436</v>
      </c>
      <c r="E347" s="2" t="s">
        <v>187</v>
      </c>
      <c r="F347" s="2" t="s">
        <v>19</v>
      </c>
      <c r="G347" t="s">
        <v>6191</v>
      </c>
      <c r="H347" t="str">
        <f>VLOOKUP('Combined table'!B347,products!$A$1:$G$49,2,FALSE)</f>
        <v>Rob</v>
      </c>
      <c r="I347" t="str">
        <f>VLOOKUP('Combined table'!B347,products!$A$1:$G$49,3,FALSE)</f>
        <v>L</v>
      </c>
      <c r="J347">
        <f>VLOOKUP('Combined table'!B347,products!$A$1:$G$49,4,FALSE)</f>
        <v>1</v>
      </c>
      <c r="K347">
        <f>VLOOKUP('Combined table'!B347,products!$A$1:$G$49,5,FALSE)</f>
        <v>11.95</v>
      </c>
      <c r="L347">
        <f>VLOOKUP('Combined table'!B347,products!$A$1:$G$49,6,FALSE)</f>
        <v>1.1949999999999998</v>
      </c>
      <c r="M347">
        <f>VLOOKUP('Combined table'!B347,products!$A$1:$G$49,7,FALSE)</f>
        <v>0.71699999999999997</v>
      </c>
      <c r="N347" t="str">
        <f>TEXT(A347,"mmm yyyy")</f>
        <v>Jan 2020</v>
      </c>
      <c r="O347">
        <f t="shared" si="5"/>
        <v>59.75</v>
      </c>
    </row>
    <row r="348" spans="1:15" x14ac:dyDescent="0.25">
      <c r="A348" s="3">
        <v>44344</v>
      </c>
      <c r="B348" t="s">
        <v>6180</v>
      </c>
      <c r="C348" s="2">
        <v>3</v>
      </c>
      <c r="D348" s="2" t="s">
        <v>2442</v>
      </c>
      <c r="E348" s="2" t="s">
        <v>52</v>
      </c>
      <c r="F348" s="2" t="s">
        <v>19</v>
      </c>
      <c r="G348" t="s">
        <v>6190</v>
      </c>
      <c r="H348" t="str">
        <f>VLOOKUP('Combined table'!B348,products!$A$1:$G$49,2,FALSE)</f>
        <v>Ara</v>
      </c>
      <c r="I348" t="str">
        <f>VLOOKUP('Combined table'!B348,products!$A$1:$G$49,3,FALSE)</f>
        <v>L</v>
      </c>
      <c r="J348">
        <f>VLOOKUP('Combined table'!B348,products!$A$1:$G$49,4,FALSE)</f>
        <v>0.5</v>
      </c>
      <c r="K348">
        <f>VLOOKUP('Combined table'!B348,products!$A$1:$G$49,5,FALSE)</f>
        <v>7.77</v>
      </c>
      <c r="L348">
        <f>VLOOKUP('Combined table'!B348,products!$A$1:$G$49,6,FALSE)</f>
        <v>1.5539999999999998</v>
      </c>
      <c r="M348">
        <f>VLOOKUP('Combined table'!B348,products!$A$1:$G$49,7,FALSE)</f>
        <v>0.69929999999999992</v>
      </c>
      <c r="N348" t="str">
        <f>TEXT(A348,"mmm yyyy")</f>
        <v>May 2021</v>
      </c>
      <c r="O348">
        <f t="shared" si="5"/>
        <v>23.31</v>
      </c>
    </row>
    <row r="349" spans="1:15" x14ac:dyDescent="0.25">
      <c r="A349" s="3">
        <v>44576</v>
      </c>
      <c r="B349" t="s">
        <v>6162</v>
      </c>
      <c r="C349" s="2">
        <v>3</v>
      </c>
      <c r="D349" s="2" t="s">
        <v>2448</v>
      </c>
      <c r="E349" s="2" t="s">
        <v>148</v>
      </c>
      <c r="F349" s="2" t="s">
        <v>19</v>
      </c>
      <c r="G349" t="s">
        <v>6191</v>
      </c>
      <c r="H349" t="str">
        <f>VLOOKUP('Combined table'!B349,products!$A$1:$G$49,2,FALSE)</f>
        <v>Lib</v>
      </c>
      <c r="I349" t="str">
        <f>VLOOKUP('Combined table'!B349,products!$A$1:$G$49,3,FALSE)</f>
        <v>M</v>
      </c>
      <c r="J349">
        <f>VLOOKUP('Combined table'!B349,products!$A$1:$G$49,4,FALSE)</f>
        <v>1</v>
      </c>
      <c r="K349">
        <f>VLOOKUP('Combined table'!B349,products!$A$1:$G$49,5,FALSE)</f>
        <v>14.55</v>
      </c>
      <c r="L349">
        <f>VLOOKUP('Combined table'!B349,products!$A$1:$G$49,6,FALSE)</f>
        <v>1.4550000000000001</v>
      </c>
      <c r="M349">
        <f>VLOOKUP('Combined table'!B349,products!$A$1:$G$49,7,FALSE)</f>
        <v>1.8915000000000002</v>
      </c>
      <c r="N349" t="str">
        <f>TEXT(A349,"mmm yyyy")</f>
        <v>Jan 2022</v>
      </c>
      <c r="O349">
        <f t="shared" si="5"/>
        <v>43.650000000000006</v>
      </c>
    </row>
    <row r="350" spans="1:15" x14ac:dyDescent="0.25">
      <c r="A350" s="3">
        <v>43803</v>
      </c>
      <c r="B350" t="s">
        <v>6148</v>
      </c>
      <c r="C350" s="2">
        <v>6</v>
      </c>
      <c r="D350" s="2" t="s">
        <v>2454</v>
      </c>
      <c r="E350" s="2" t="s">
        <v>185</v>
      </c>
      <c r="F350" s="2" t="s">
        <v>19</v>
      </c>
      <c r="G350" t="s">
        <v>6191</v>
      </c>
      <c r="H350" t="str">
        <f>VLOOKUP('Combined table'!B350,products!$A$1:$G$49,2,FALSE)</f>
        <v>Exc</v>
      </c>
      <c r="I350" t="str">
        <f>VLOOKUP('Combined table'!B350,products!$A$1:$G$49,3,FALSE)</f>
        <v>L</v>
      </c>
      <c r="J350">
        <f>VLOOKUP('Combined table'!B350,products!$A$1:$G$49,4,FALSE)</f>
        <v>2.5</v>
      </c>
      <c r="K350">
        <f>VLOOKUP('Combined table'!B350,products!$A$1:$G$49,5,FALSE)</f>
        <v>34.154999999999994</v>
      </c>
      <c r="L350">
        <f>VLOOKUP('Combined table'!B350,products!$A$1:$G$49,6,FALSE)</f>
        <v>1.3661999999999999</v>
      </c>
      <c r="M350">
        <f>VLOOKUP('Combined table'!B350,products!$A$1:$G$49,7,FALSE)</f>
        <v>3.7570499999999996</v>
      </c>
      <c r="N350" t="str">
        <f>TEXT(A350,"mmm yyyy")</f>
        <v>Dec 2019</v>
      </c>
      <c r="O350">
        <f t="shared" si="5"/>
        <v>204.92999999999995</v>
      </c>
    </row>
    <row r="351" spans="1:15" x14ac:dyDescent="0.25">
      <c r="A351" s="3">
        <v>44743</v>
      </c>
      <c r="B351" t="s">
        <v>6178</v>
      </c>
      <c r="C351" s="2">
        <v>4</v>
      </c>
      <c r="D351" s="2" t="s">
        <v>2460</v>
      </c>
      <c r="E351" s="2" t="s">
        <v>27</v>
      </c>
      <c r="F351" s="2" t="s">
        <v>19</v>
      </c>
      <c r="G351" t="s">
        <v>6191</v>
      </c>
      <c r="H351" t="str">
        <f>VLOOKUP('Combined table'!B351,products!$A$1:$G$49,2,FALSE)</f>
        <v>Rob</v>
      </c>
      <c r="I351" t="str">
        <f>VLOOKUP('Combined table'!B351,products!$A$1:$G$49,3,FALSE)</f>
        <v>L</v>
      </c>
      <c r="J351">
        <f>VLOOKUP('Combined table'!B351,products!$A$1:$G$49,4,FALSE)</f>
        <v>0.2</v>
      </c>
      <c r="K351">
        <f>VLOOKUP('Combined table'!B351,products!$A$1:$G$49,5,FALSE)</f>
        <v>3.5849999999999995</v>
      </c>
      <c r="L351">
        <f>VLOOKUP('Combined table'!B351,products!$A$1:$G$49,6,FALSE)</f>
        <v>1.7924999999999998</v>
      </c>
      <c r="M351">
        <f>VLOOKUP('Combined table'!B351,products!$A$1:$G$49,7,FALSE)</f>
        <v>0.21509999999999996</v>
      </c>
      <c r="N351" t="str">
        <f>TEXT(A351,"mmm yyyy")</f>
        <v>Jul 2022</v>
      </c>
      <c r="O351">
        <f t="shared" si="5"/>
        <v>14.339999999999998</v>
      </c>
    </row>
    <row r="352" spans="1:15" x14ac:dyDescent="0.25">
      <c r="A352" s="3">
        <v>43592</v>
      </c>
      <c r="B352" t="s">
        <v>6158</v>
      </c>
      <c r="C352" s="2">
        <v>4</v>
      </c>
      <c r="D352" s="2" t="s">
        <v>2466</v>
      </c>
      <c r="E352" s="2" t="s">
        <v>175</v>
      </c>
      <c r="F352" s="2" t="s">
        <v>19</v>
      </c>
      <c r="G352" t="s">
        <v>6191</v>
      </c>
      <c r="H352" t="str">
        <f>VLOOKUP('Combined table'!B352,products!$A$1:$G$49,2,FALSE)</f>
        <v>Ara</v>
      </c>
      <c r="I352" t="str">
        <f>VLOOKUP('Combined table'!B352,products!$A$1:$G$49,3,FALSE)</f>
        <v>D</v>
      </c>
      <c r="J352">
        <f>VLOOKUP('Combined table'!B352,products!$A$1:$G$49,4,FALSE)</f>
        <v>0.5</v>
      </c>
      <c r="K352">
        <f>VLOOKUP('Combined table'!B352,products!$A$1:$G$49,5,FALSE)</f>
        <v>5.97</v>
      </c>
      <c r="L352">
        <f>VLOOKUP('Combined table'!B352,products!$A$1:$G$49,6,FALSE)</f>
        <v>1.194</v>
      </c>
      <c r="M352">
        <f>VLOOKUP('Combined table'!B352,products!$A$1:$G$49,7,FALSE)</f>
        <v>0.5373</v>
      </c>
      <c r="N352" t="str">
        <f>TEXT(A352,"mmm yyyy")</f>
        <v>May 2019</v>
      </c>
      <c r="O352">
        <f t="shared" si="5"/>
        <v>23.88</v>
      </c>
    </row>
    <row r="353" spans="1:15" x14ac:dyDescent="0.25">
      <c r="A353" s="3">
        <v>44066</v>
      </c>
      <c r="B353" t="s">
        <v>6155</v>
      </c>
      <c r="C353" s="2">
        <v>2</v>
      </c>
      <c r="D353" s="2" t="s">
        <v>2472</v>
      </c>
      <c r="E353" s="2" t="s">
        <v>196</v>
      </c>
      <c r="F353" s="2" t="s">
        <v>19</v>
      </c>
      <c r="G353" t="s">
        <v>6191</v>
      </c>
      <c r="H353" t="str">
        <f>VLOOKUP('Combined table'!B353,products!$A$1:$G$49,2,FALSE)</f>
        <v>Ara</v>
      </c>
      <c r="I353" t="str">
        <f>VLOOKUP('Combined table'!B353,products!$A$1:$G$49,3,FALSE)</f>
        <v>M</v>
      </c>
      <c r="J353">
        <f>VLOOKUP('Combined table'!B353,products!$A$1:$G$49,4,FALSE)</f>
        <v>1</v>
      </c>
      <c r="K353">
        <f>VLOOKUP('Combined table'!B353,products!$A$1:$G$49,5,FALSE)</f>
        <v>11.25</v>
      </c>
      <c r="L353">
        <f>VLOOKUP('Combined table'!B353,products!$A$1:$G$49,6,FALSE)</f>
        <v>1.125</v>
      </c>
      <c r="M353">
        <f>VLOOKUP('Combined table'!B353,products!$A$1:$G$49,7,FALSE)</f>
        <v>1.0125</v>
      </c>
      <c r="N353" t="str">
        <f>TEXT(A353,"mmm yyyy")</f>
        <v>Aug 2020</v>
      </c>
      <c r="O353">
        <f t="shared" si="5"/>
        <v>22.5</v>
      </c>
    </row>
    <row r="354" spans="1:15" x14ac:dyDescent="0.25">
      <c r="A354" s="3">
        <v>43984</v>
      </c>
      <c r="B354" t="s">
        <v>6144</v>
      </c>
      <c r="C354" s="2">
        <v>5</v>
      </c>
      <c r="D354" s="2" t="s">
        <v>2478</v>
      </c>
      <c r="E354" s="2" t="s">
        <v>272</v>
      </c>
      <c r="F354" s="2" t="s">
        <v>19</v>
      </c>
      <c r="G354" t="s">
        <v>6191</v>
      </c>
      <c r="H354" t="str">
        <f>VLOOKUP('Combined table'!B354,products!$A$1:$G$49,2,FALSE)</f>
        <v>Exc</v>
      </c>
      <c r="I354" t="str">
        <f>VLOOKUP('Combined table'!B354,products!$A$1:$G$49,3,FALSE)</f>
        <v>D</v>
      </c>
      <c r="J354">
        <f>VLOOKUP('Combined table'!B354,products!$A$1:$G$49,4,FALSE)</f>
        <v>0.5</v>
      </c>
      <c r="K354">
        <f>VLOOKUP('Combined table'!B354,products!$A$1:$G$49,5,FALSE)</f>
        <v>7.29</v>
      </c>
      <c r="L354">
        <f>VLOOKUP('Combined table'!B354,products!$A$1:$G$49,6,FALSE)</f>
        <v>1.458</v>
      </c>
      <c r="M354">
        <f>VLOOKUP('Combined table'!B354,products!$A$1:$G$49,7,FALSE)</f>
        <v>0.80190000000000006</v>
      </c>
      <c r="N354" t="str">
        <f>TEXT(A354,"mmm yyyy")</f>
        <v>Jun 2020</v>
      </c>
      <c r="O354">
        <f t="shared" si="5"/>
        <v>36.450000000000003</v>
      </c>
    </row>
    <row r="355" spans="1:15" x14ac:dyDescent="0.25">
      <c r="A355" s="3">
        <v>43860</v>
      </c>
      <c r="B355" t="s">
        <v>6157</v>
      </c>
      <c r="C355" s="2">
        <v>4</v>
      </c>
      <c r="D355" s="2" t="s">
        <v>2484</v>
      </c>
      <c r="E355" s="2" t="s">
        <v>187</v>
      </c>
      <c r="F355" s="2" t="s">
        <v>19</v>
      </c>
      <c r="G355" t="s">
        <v>6190</v>
      </c>
      <c r="H355" t="str">
        <f>VLOOKUP('Combined table'!B355,products!$A$1:$G$49,2,FALSE)</f>
        <v>Ara</v>
      </c>
      <c r="I355" t="str">
        <f>VLOOKUP('Combined table'!B355,products!$A$1:$G$49,3,FALSE)</f>
        <v>M</v>
      </c>
      <c r="J355">
        <f>VLOOKUP('Combined table'!B355,products!$A$1:$G$49,4,FALSE)</f>
        <v>0.5</v>
      </c>
      <c r="K355">
        <f>VLOOKUP('Combined table'!B355,products!$A$1:$G$49,5,FALSE)</f>
        <v>6.75</v>
      </c>
      <c r="L355">
        <f>VLOOKUP('Combined table'!B355,products!$A$1:$G$49,6,FALSE)</f>
        <v>1.35</v>
      </c>
      <c r="M355">
        <f>VLOOKUP('Combined table'!B355,products!$A$1:$G$49,7,FALSE)</f>
        <v>0.60749999999999993</v>
      </c>
      <c r="N355" t="str">
        <f>TEXT(A355,"mmm yyyy")</f>
        <v>Jan 2020</v>
      </c>
      <c r="O355">
        <f t="shared" si="5"/>
        <v>27</v>
      </c>
    </row>
    <row r="356" spans="1:15" x14ac:dyDescent="0.25">
      <c r="A356" s="3">
        <v>43876</v>
      </c>
      <c r="B356" t="s">
        <v>6175</v>
      </c>
      <c r="C356" s="2">
        <v>6</v>
      </c>
      <c r="D356" s="2" t="s">
        <v>2489</v>
      </c>
      <c r="E356" s="2" t="s">
        <v>270</v>
      </c>
      <c r="F356" s="2" t="s">
        <v>19</v>
      </c>
      <c r="G356" t="s">
        <v>6191</v>
      </c>
      <c r="H356" t="str">
        <f>VLOOKUP('Combined table'!B356,products!$A$1:$G$49,2,FALSE)</f>
        <v>Ara</v>
      </c>
      <c r="I356" t="str">
        <f>VLOOKUP('Combined table'!B356,products!$A$1:$G$49,3,FALSE)</f>
        <v>M</v>
      </c>
      <c r="J356">
        <f>VLOOKUP('Combined table'!B356,products!$A$1:$G$49,4,FALSE)</f>
        <v>2.5</v>
      </c>
      <c r="K356">
        <f>VLOOKUP('Combined table'!B356,products!$A$1:$G$49,5,FALSE)</f>
        <v>25.874999999999996</v>
      </c>
      <c r="L356">
        <f>VLOOKUP('Combined table'!B356,products!$A$1:$G$49,6,FALSE)</f>
        <v>1.0349999999999999</v>
      </c>
      <c r="M356">
        <f>VLOOKUP('Combined table'!B356,products!$A$1:$G$49,7,FALSE)</f>
        <v>2.3287499999999994</v>
      </c>
      <c r="N356" t="str">
        <f>TEXT(A356,"mmm yyyy")</f>
        <v>Feb 2020</v>
      </c>
      <c r="O356">
        <f t="shared" si="5"/>
        <v>155.24999999999997</v>
      </c>
    </row>
    <row r="357" spans="1:15" x14ac:dyDescent="0.25">
      <c r="A357" s="3">
        <v>44358</v>
      </c>
      <c r="B357" t="s">
        <v>6168</v>
      </c>
      <c r="C357" s="2">
        <v>5</v>
      </c>
      <c r="D357" s="2" t="s">
        <v>2494</v>
      </c>
      <c r="E357" s="2" t="s">
        <v>82</v>
      </c>
      <c r="F357" s="2" t="s">
        <v>19</v>
      </c>
      <c r="G357" t="s">
        <v>6190</v>
      </c>
      <c r="H357" t="str">
        <f>VLOOKUP('Combined table'!B357,products!$A$1:$G$49,2,FALSE)</f>
        <v>Ara</v>
      </c>
      <c r="I357" t="str">
        <f>VLOOKUP('Combined table'!B357,products!$A$1:$G$49,3,FALSE)</f>
        <v>D</v>
      </c>
      <c r="J357">
        <f>VLOOKUP('Combined table'!B357,products!$A$1:$G$49,4,FALSE)</f>
        <v>2.5</v>
      </c>
      <c r="K357">
        <f>VLOOKUP('Combined table'!B357,products!$A$1:$G$49,5,FALSE)</f>
        <v>22.884999999999998</v>
      </c>
      <c r="L357">
        <f>VLOOKUP('Combined table'!B357,products!$A$1:$G$49,6,FALSE)</f>
        <v>0.91539999999999988</v>
      </c>
      <c r="M357">
        <f>VLOOKUP('Combined table'!B357,products!$A$1:$G$49,7,FALSE)</f>
        <v>2.0596499999999995</v>
      </c>
      <c r="N357" t="str">
        <f>TEXT(A357,"mmm yyyy")</f>
        <v>Jun 2021</v>
      </c>
      <c r="O357">
        <f t="shared" si="5"/>
        <v>114.42499999999998</v>
      </c>
    </row>
    <row r="358" spans="1:15" x14ac:dyDescent="0.25">
      <c r="A358" s="3">
        <v>44631</v>
      </c>
      <c r="B358" t="s">
        <v>6143</v>
      </c>
      <c r="C358" s="2">
        <v>4</v>
      </c>
      <c r="D358" s="2" t="s">
        <v>2500</v>
      </c>
      <c r="E358" s="2" t="s">
        <v>131</v>
      </c>
      <c r="F358" s="2" t="s">
        <v>19</v>
      </c>
      <c r="G358" t="s">
        <v>6190</v>
      </c>
      <c r="H358" t="str">
        <f>VLOOKUP('Combined table'!B358,products!$A$1:$G$49,2,FALSE)</f>
        <v>Lib</v>
      </c>
      <c r="I358" t="str">
        <f>VLOOKUP('Combined table'!B358,products!$A$1:$G$49,3,FALSE)</f>
        <v>D</v>
      </c>
      <c r="J358">
        <f>VLOOKUP('Combined table'!B358,products!$A$1:$G$49,4,FALSE)</f>
        <v>1</v>
      </c>
      <c r="K358">
        <f>VLOOKUP('Combined table'!B358,products!$A$1:$G$49,5,FALSE)</f>
        <v>12.95</v>
      </c>
      <c r="L358">
        <f>VLOOKUP('Combined table'!B358,products!$A$1:$G$49,6,FALSE)</f>
        <v>1.2949999999999999</v>
      </c>
      <c r="M358">
        <f>VLOOKUP('Combined table'!B358,products!$A$1:$G$49,7,FALSE)</f>
        <v>1.6835</v>
      </c>
      <c r="N358" t="str">
        <f>TEXT(A358,"mmm yyyy")</f>
        <v>Mar 2022</v>
      </c>
      <c r="O358">
        <f t="shared" si="5"/>
        <v>51.8</v>
      </c>
    </row>
    <row r="359" spans="1:15" x14ac:dyDescent="0.25">
      <c r="A359" s="3">
        <v>44448</v>
      </c>
      <c r="B359" t="s">
        <v>6175</v>
      </c>
      <c r="C359" s="2">
        <v>6</v>
      </c>
      <c r="D359" s="2" t="s">
        <v>2506</v>
      </c>
      <c r="E359" s="2" t="s">
        <v>296</v>
      </c>
      <c r="F359" s="2" t="s">
        <v>19</v>
      </c>
      <c r="G359" t="s">
        <v>6191</v>
      </c>
      <c r="H359" t="str">
        <f>VLOOKUP('Combined table'!B359,products!$A$1:$G$49,2,FALSE)</f>
        <v>Ara</v>
      </c>
      <c r="I359" t="str">
        <f>VLOOKUP('Combined table'!B359,products!$A$1:$G$49,3,FALSE)</f>
        <v>M</v>
      </c>
      <c r="J359">
        <f>VLOOKUP('Combined table'!B359,products!$A$1:$G$49,4,FALSE)</f>
        <v>2.5</v>
      </c>
      <c r="K359">
        <f>VLOOKUP('Combined table'!B359,products!$A$1:$G$49,5,FALSE)</f>
        <v>25.874999999999996</v>
      </c>
      <c r="L359">
        <f>VLOOKUP('Combined table'!B359,products!$A$1:$G$49,6,FALSE)</f>
        <v>1.0349999999999999</v>
      </c>
      <c r="M359">
        <f>VLOOKUP('Combined table'!B359,products!$A$1:$G$49,7,FALSE)</f>
        <v>2.3287499999999994</v>
      </c>
      <c r="N359" t="str">
        <f>TEXT(A359,"mmm yyyy")</f>
        <v>Sep 2021</v>
      </c>
      <c r="O359">
        <f t="shared" si="5"/>
        <v>155.24999999999997</v>
      </c>
    </row>
    <row r="360" spans="1:15" x14ac:dyDescent="0.25">
      <c r="A360" s="3">
        <v>43599</v>
      </c>
      <c r="B360" t="s">
        <v>6182</v>
      </c>
      <c r="C360" s="2">
        <v>1</v>
      </c>
      <c r="D360" s="2" t="s">
        <v>2511</v>
      </c>
      <c r="E360" s="2" t="s">
        <v>143</v>
      </c>
      <c r="F360" s="2" t="s">
        <v>19</v>
      </c>
      <c r="G360" t="s">
        <v>6191</v>
      </c>
      <c r="H360" t="str">
        <f>VLOOKUP('Combined table'!B360,products!$A$1:$G$49,2,FALSE)</f>
        <v>Ara</v>
      </c>
      <c r="I360" t="str">
        <f>VLOOKUP('Combined table'!B360,products!$A$1:$G$49,3,FALSE)</f>
        <v>L</v>
      </c>
      <c r="J360">
        <f>VLOOKUP('Combined table'!B360,products!$A$1:$G$49,4,FALSE)</f>
        <v>2.5</v>
      </c>
      <c r="K360">
        <f>VLOOKUP('Combined table'!B360,products!$A$1:$G$49,5,FALSE)</f>
        <v>29.784999999999997</v>
      </c>
      <c r="L360">
        <f>VLOOKUP('Combined table'!B360,products!$A$1:$G$49,6,FALSE)</f>
        <v>1.1913999999999998</v>
      </c>
      <c r="M360">
        <f>VLOOKUP('Combined table'!B360,products!$A$1:$G$49,7,FALSE)</f>
        <v>2.6806499999999995</v>
      </c>
      <c r="N360" t="str">
        <f>TEXT(A360,"mmm yyyy")</f>
        <v>May 2019</v>
      </c>
      <c r="O360">
        <f t="shared" si="5"/>
        <v>29.784999999999997</v>
      </c>
    </row>
    <row r="361" spans="1:15" x14ac:dyDescent="0.25">
      <c r="A361" s="3">
        <v>43563</v>
      </c>
      <c r="B361" t="s">
        <v>6178</v>
      </c>
      <c r="C361" s="2">
        <v>6</v>
      </c>
      <c r="D361" s="2" t="s">
        <v>2517</v>
      </c>
      <c r="E361" s="2" t="s">
        <v>286</v>
      </c>
      <c r="F361" s="2" t="s">
        <v>28</v>
      </c>
      <c r="G361" t="s">
        <v>6191</v>
      </c>
      <c r="H361" t="str">
        <f>VLOOKUP('Combined table'!B361,products!$A$1:$G$49,2,FALSE)</f>
        <v>Rob</v>
      </c>
      <c r="I361" t="str">
        <f>VLOOKUP('Combined table'!B361,products!$A$1:$G$49,3,FALSE)</f>
        <v>L</v>
      </c>
      <c r="J361">
        <f>VLOOKUP('Combined table'!B361,products!$A$1:$G$49,4,FALSE)</f>
        <v>0.2</v>
      </c>
      <c r="K361">
        <f>VLOOKUP('Combined table'!B361,products!$A$1:$G$49,5,FALSE)</f>
        <v>3.5849999999999995</v>
      </c>
      <c r="L361">
        <f>VLOOKUP('Combined table'!B361,products!$A$1:$G$49,6,FALSE)</f>
        <v>1.7924999999999998</v>
      </c>
      <c r="M361">
        <f>VLOOKUP('Combined table'!B361,products!$A$1:$G$49,7,FALSE)</f>
        <v>0.21509999999999996</v>
      </c>
      <c r="N361" t="str">
        <f>TEXT(A361,"mmm yyyy")</f>
        <v>Apr 2019</v>
      </c>
      <c r="O361">
        <f t="shared" si="5"/>
        <v>21.509999999999998</v>
      </c>
    </row>
    <row r="362" spans="1:15" x14ac:dyDescent="0.25">
      <c r="A362" s="3">
        <v>44058</v>
      </c>
      <c r="B362" t="s">
        <v>6149</v>
      </c>
      <c r="C362" s="2">
        <v>2</v>
      </c>
      <c r="D362" s="2" t="s">
        <v>2523</v>
      </c>
      <c r="E362" s="2" t="s">
        <v>60</v>
      </c>
      <c r="F362" s="2" t="s">
        <v>19</v>
      </c>
      <c r="G362" t="s">
        <v>6191</v>
      </c>
      <c r="H362" t="str">
        <f>VLOOKUP('Combined table'!B362,products!$A$1:$G$49,2,FALSE)</f>
        <v>Rob</v>
      </c>
      <c r="I362" t="str">
        <f>VLOOKUP('Combined table'!B362,products!$A$1:$G$49,3,FALSE)</f>
        <v>D</v>
      </c>
      <c r="J362">
        <f>VLOOKUP('Combined table'!B362,products!$A$1:$G$49,4,FALSE)</f>
        <v>2.5</v>
      </c>
      <c r="K362">
        <f>VLOOKUP('Combined table'!B362,products!$A$1:$G$49,5,FALSE)</f>
        <v>20.584999999999997</v>
      </c>
      <c r="L362">
        <f>VLOOKUP('Combined table'!B362,products!$A$1:$G$49,6,FALSE)</f>
        <v>0.82339999999999991</v>
      </c>
      <c r="M362">
        <f>VLOOKUP('Combined table'!B362,products!$A$1:$G$49,7,FALSE)</f>
        <v>1.2350999999999999</v>
      </c>
      <c r="N362" t="str">
        <f>TEXT(A362,"mmm yyyy")</f>
        <v>Aug 2020</v>
      </c>
      <c r="O362">
        <f t="shared" si="5"/>
        <v>41.169999999999995</v>
      </c>
    </row>
    <row r="363" spans="1:15" x14ac:dyDescent="0.25">
      <c r="A363" s="3">
        <v>44058</v>
      </c>
      <c r="B363" t="s">
        <v>6146</v>
      </c>
      <c r="C363" s="2">
        <v>1</v>
      </c>
      <c r="D363" s="2" t="s">
        <v>2528</v>
      </c>
      <c r="E363" s="2" t="s">
        <v>130</v>
      </c>
      <c r="F363" s="2" t="s">
        <v>19</v>
      </c>
      <c r="G363" t="s">
        <v>6190</v>
      </c>
      <c r="H363" t="str">
        <f>VLOOKUP('Combined table'!B363,products!$A$1:$G$49,2,FALSE)</f>
        <v>Rob</v>
      </c>
      <c r="I363" t="str">
        <f>VLOOKUP('Combined table'!B363,products!$A$1:$G$49,3,FALSE)</f>
        <v>M</v>
      </c>
      <c r="J363">
        <f>VLOOKUP('Combined table'!B363,products!$A$1:$G$49,4,FALSE)</f>
        <v>0.5</v>
      </c>
      <c r="K363">
        <f>VLOOKUP('Combined table'!B363,products!$A$1:$G$49,5,FALSE)</f>
        <v>5.97</v>
      </c>
      <c r="L363">
        <f>VLOOKUP('Combined table'!B363,products!$A$1:$G$49,6,FALSE)</f>
        <v>1.194</v>
      </c>
      <c r="M363">
        <f>VLOOKUP('Combined table'!B363,products!$A$1:$G$49,7,FALSE)</f>
        <v>0.35819999999999996</v>
      </c>
      <c r="N363" t="str">
        <f>TEXT(A363,"mmm yyyy")</f>
        <v>Aug 2020</v>
      </c>
      <c r="O363">
        <f t="shared" si="5"/>
        <v>5.97</v>
      </c>
    </row>
    <row r="364" spans="1:15" x14ac:dyDescent="0.25">
      <c r="A364" s="3">
        <v>44686</v>
      </c>
      <c r="B364" t="s">
        <v>6171</v>
      </c>
      <c r="C364" s="2">
        <v>5</v>
      </c>
      <c r="D364" s="2" t="s">
        <v>2534</v>
      </c>
      <c r="E364" s="2" t="s">
        <v>184</v>
      </c>
      <c r="F364" s="2" t="s">
        <v>19</v>
      </c>
      <c r="G364" t="s">
        <v>6190</v>
      </c>
      <c r="H364" t="str">
        <f>VLOOKUP('Combined table'!B364,products!$A$1:$G$49,2,FALSE)</f>
        <v>Exc</v>
      </c>
      <c r="I364" t="str">
        <f>VLOOKUP('Combined table'!B364,products!$A$1:$G$49,3,FALSE)</f>
        <v>L</v>
      </c>
      <c r="J364">
        <f>VLOOKUP('Combined table'!B364,products!$A$1:$G$49,4,FALSE)</f>
        <v>1</v>
      </c>
      <c r="K364">
        <f>VLOOKUP('Combined table'!B364,products!$A$1:$G$49,5,FALSE)</f>
        <v>14.85</v>
      </c>
      <c r="L364">
        <f>VLOOKUP('Combined table'!B364,products!$A$1:$G$49,6,FALSE)</f>
        <v>1.4849999999999999</v>
      </c>
      <c r="M364">
        <f>VLOOKUP('Combined table'!B364,products!$A$1:$G$49,7,FALSE)</f>
        <v>1.6335</v>
      </c>
      <c r="N364" t="str">
        <f>TEXT(A364,"mmm yyyy")</f>
        <v>May 2022</v>
      </c>
      <c r="O364">
        <f t="shared" si="5"/>
        <v>74.25</v>
      </c>
    </row>
    <row r="365" spans="1:15" x14ac:dyDescent="0.25">
      <c r="A365" s="3">
        <v>44282</v>
      </c>
      <c r="B365" t="s">
        <v>6162</v>
      </c>
      <c r="C365" s="2">
        <v>6</v>
      </c>
      <c r="D365" s="2" t="s">
        <v>2540</v>
      </c>
      <c r="E365" s="2" t="s">
        <v>92</v>
      </c>
      <c r="F365" s="2" t="s">
        <v>19</v>
      </c>
      <c r="G365" t="s">
        <v>6191</v>
      </c>
      <c r="H365" t="str">
        <f>VLOOKUP('Combined table'!B365,products!$A$1:$G$49,2,FALSE)</f>
        <v>Lib</v>
      </c>
      <c r="I365" t="str">
        <f>VLOOKUP('Combined table'!B365,products!$A$1:$G$49,3,FALSE)</f>
        <v>M</v>
      </c>
      <c r="J365">
        <f>VLOOKUP('Combined table'!B365,products!$A$1:$G$49,4,FALSE)</f>
        <v>1</v>
      </c>
      <c r="K365">
        <f>VLOOKUP('Combined table'!B365,products!$A$1:$G$49,5,FALSE)</f>
        <v>14.55</v>
      </c>
      <c r="L365">
        <f>VLOOKUP('Combined table'!B365,products!$A$1:$G$49,6,FALSE)</f>
        <v>1.4550000000000001</v>
      </c>
      <c r="M365">
        <f>VLOOKUP('Combined table'!B365,products!$A$1:$G$49,7,FALSE)</f>
        <v>1.8915000000000002</v>
      </c>
      <c r="N365" t="str">
        <f>TEXT(A365,"mmm yyyy")</f>
        <v>Mar 2021</v>
      </c>
      <c r="O365">
        <f t="shared" si="5"/>
        <v>87.300000000000011</v>
      </c>
    </row>
    <row r="366" spans="1:15" x14ac:dyDescent="0.25">
      <c r="A366" s="3">
        <v>43582</v>
      </c>
      <c r="B366" t="s">
        <v>6183</v>
      </c>
      <c r="C366" s="2">
        <v>6</v>
      </c>
      <c r="D366" s="2" t="s">
        <v>2545</v>
      </c>
      <c r="E366" s="2" t="s">
        <v>30</v>
      </c>
      <c r="F366" s="2" t="s">
        <v>19</v>
      </c>
      <c r="G366" t="s">
        <v>6190</v>
      </c>
      <c r="H366" t="str">
        <f>VLOOKUP('Combined table'!B366,products!$A$1:$G$49,2,FALSE)</f>
        <v>Exc</v>
      </c>
      <c r="I366" t="str">
        <f>VLOOKUP('Combined table'!B366,products!$A$1:$G$49,3,FALSE)</f>
        <v>D</v>
      </c>
      <c r="J366">
        <f>VLOOKUP('Combined table'!B366,products!$A$1:$G$49,4,FALSE)</f>
        <v>1</v>
      </c>
      <c r="K366">
        <f>VLOOKUP('Combined table'!B366,products!$A$1:$G$49,5,FALSE)</f>
        <v>12.15</v>
      </c>
      <c r="L366">
        <f>VLOOKUP('Combined table'!B366,products!$A$1:$G$49,6,FALSE)</f>
        <v>1.2150000000000001</v>
      </c>
      <c r="M366">
        <f>VLOOKUP('Combined table'!B366,products!$A$1:$G$49,7,FALSE)</f>
        <v>1.3365</v>
      </c>
      <c r="N366" t="str">
        <f>TEXT(A366,"mmm yyyy")</f>
        <v>Apr 2019</v>
      </c>
      <c r="O366">
        <f t="shared" si="5"/>
        <v>72.900000000000006</v>
      </c>
    </row>
    <row r="367" spans="1:15" x14ac:dyDescent="0.25">
      <c r="A367" s="3">
        <v>44464</v>
      </c>
      <c r="B367" t="s">
        <v>6169</v>
      </c>
      <c r="C367" s="2">
        <v>1</v>
      </c>
      <c r="D367" s="2" t="s">
        <v>2551</v>
      </c>
      <c r="E367" s="2" t="s">
        <v>282</v>
      </c>
      <c r="F367" s="2" t="s">
        <v>19</v>
      </c>
      <c r="G367" t="s">
        <v>6191</v>
      </c>
      <c r="H367" t="str">
        <f>VLOOKUP('Combined table'!B367,products!$A$1:$G$49,2,FALSE)</f>
        <v>Lib</v>
      </c>
      <c r="I367" t="str">
        <f>VLOOKUP('Combined table'!B367,products!$A$1:$G$49,3,FALSE)</f>
        <v>D</v>
      </c>
      <c r="J367">
        <f>VLOOKUP('Combined table'!B367,products!$A$1:$G$49,4,FALSE)</f>
        <v>0.5</v>
      </c>
      <c r="K367">
        <f>VLOOKUP('Combined table'!B367,products!$A$1:$G$49,5,FALSE)</f>
        <v>7.77</v>
      </c>
      <c r="L367">
        <f>VLOOKUP('Combined table'!B367,products!$A$1:$G$49,6,FALSE)</f>
        <v>1.5539999999999998</v>
      </c>
      <c r="M367">
        <f>VLOOKUP('Combined table'!B367,products!$A$1:$G$49,7,FALSE)</f>
        <v>1.0101</v>
      </c>
      <c r="N367" t="str">
        <f>TEXT(A367,"mmm yyyy")</f>
        <v>Sep 2021</v>
      </c>
      <c r="O367">
        <f t="shared" si="5"/>
        <v>7.77</v>
      </c>
    </row>
    <row r="368" spans="1:15" x14ac:dyDescent="0.25">
      <c r="A368" s="3">
        <v>43874</v>
      </c>
      <c r="B368" t="s">
        <v>6144</v>
      </c>
      <c r="C368" s="2">
        <v>6</v>
      </c>
      <c r="D368" s="2" t="s">
        <v>2556</v>
      </c>
      <c r="E368" s="2" t="s">
        <v>311</v>
      </c>
      <c r="F368" s="2" t="s">
        <v>19</v>
      </c>
      <c r="G368" t="s">
        <v>6191</v>
      </c>
      <c r="H368" t="str">
        <f>VLOOKUP('Combined table'!B368,products!$A$1:$G$49,2,FALSE)</f>
        <v>Exc</v>
      </c>
      <c r="I368" t="str">
        <f>VLOOKUP('Combined table'!B368,products!$A$1:$G$49,3,FALSE)</f>
        <v>D</v>
      </c>
      <c r="J368">
        <f>VLOOKUP('Combined table'!B368,products!$A$1:$G$49,4,FALSE)</f>
        <v>0.5</v>
      </c>
      <c r="K368">
        <f>VLOOKUP('Combined table'!B368,products!$A$1:$G$49,5,FALSE)</f>
        <v>7.29</v>
      </c>
      <c r="L368">
        <f>VLOOKUP('Combined table'!B368,products!$A$1:$G$49,6,FALSE)</f>
        <v>1.458</v>
      </c>
      <c r="M368">
        <f>VLOOKUP('Combined table'!B368,products!$A$1:$G$49,7,FALSE)</f>
        <v>0.80190000000000006</v>
      </c>
      <c r="N368" t="str">
        <f>TEXT(A368,"mmm yyyy")</f>
        <v>Feb 2020</v>
      </c>
      <c r="O368">
        <f t="shared" si="5"/>
        <v>43.74</v>
      </c>
    </row>
    <row r="369" spans="1:15" x14ac:dyDescent="0.25">
      <c r="A369" s="3">
        <v>44393</v>
      </c>
      <c r="B369" t="s">
        <v>6159</v>
      </c>
      <c r="C369" s="2">
        <v>2</v>
      </c>
      <c r="D369" s="2" t="s">
        <v>2561</v>
      </c>
      <c r="E369" s="2" t="s">
        <v>295</v>
      </c>
      <c r="F369" s="2" t="s">
        <v>19</v>
      </c>
      <c r="G369" t="s">
        <v>6190</v>
      </c>
      <c r="H369" t="str">
        <f>VLOOKUP('Combined table'!B369,products!$A$1:$G$49,2,FALSE)</f>
        <v>Lib</v>
      </c>
      <c r="I369" t="str">
        <f>VLOOKUP('Combined table'!B369,products!$A$1:$G$49,3,FALSE)</f>
        <v>M</v>
      </c>
      <c r="J369">
        <f>VLOOKUP('Combined table'!B369,products!$A$1:$G$49,4,FALSE)</f>
        <v>0.2</v>
      </c>
      <c r="K369">
        <f>VLOOKUP('Combined table'!B369,products!$A$1:$G$49,5,FALSE)</f>
        <v>4.3650000000000002</v>
      </c>
      <c r="L369">
        <f>VLOOKUP('Combined table'!B369,products!$A$1:$G$49,6,FALSE)</f>
        <v>2.1825000000000001</v>
      </c>
      <c r="M369">
        <f>VLOOKUP('Combined table'!B369,products!$A$1:$G$49,7,FALSE)</f>
        <v>0.56745000000000001</v>
      </c>
      <c r="N369" t="str">
        <f>TEXT(A369,"mmm yyyy")</f>
        <v>Jul 2021</v>
      </c>
      <c r="O369">
        <f t="shared" si="5"/>
        <v>8.73</v>
      </c>
    </row>
    <row r="370" spans="1:15" x14ac:dyDescent="0.25">
      <c r="A370" s="3">
        <v>44692</v>
      </c>
      <c r="B370" t="s">
        <v>6166</v>
      </c>
      <c r="C370" s="2">
        <v>2</v>
      </c>
      <c r="D370" s="2" t="s">
        <v>2565</v>
      </c>
      <c r="E370" s="2" t="s">
        <v>302</v>
      </c>
      <c r="F370" s="2" t="s">
        <v>19</v>
      </c>
      <c r="G370" t="s">
        <v>6191</v>
      </c>
      <c r="H370" t="str">
        <f>VLOOKUP('Combined table'!B370,products!$A$1:$G$49,2,FALSE)</f>
        <v>Exc</v>
      </c>
      <c r="I370" t="str">
        <f>VLOOKUP('Combined table'!B370,products!$A$1:$G$49,3,FALSE)</f>
        <v>M</v>
      </c>
      <c r="J370">
        <f>VLOOKUP('Combined table'!B370,products!$A$1:$G$49,4,FALSE)</f>
        <v>2.5</v>
      </c>
      <c r="K370">
        <f>VLOOKUP('Combined table'!B370,products!$A$1:$G$49,5,FALSE)</f>
        <v>31.624999999999996</v>
      </c>
      <c r="L370">
        <f>VLOOKUP('Combined table'!B370,products!$A$1:$G$49,6,FALSE)</f>
        <v>1.2649999999999999</v>
      </c>
      <c r="M370">
        <f>VLOOKUP('Combined table'!B370,products!$A$1:$G$49,7,FALSE)</f>
        <v>3.4787499999999998</v>
      </c>
      <c r="N370" t="str">
        <f>TEXT(A370,"mmm yyyy")</f>
        <v>May 2022</v>
      </c>
      <c r="O370">
        <f t="shared" si="5"/>
        <v>63.249999999999993</v>
      </c>
    </row>
    <row r="371" spans="1:15" x14ac:dyDescent="0.25">
      <c r="A371" s="3">
        <v>43500</v>
      </c>
      <c r="B371" t="s">
        <v>6176</v>
      </c>
      <c r="C371" s="2">
        <v>1</v>
      </c>
      <c r="D371" s="2" t="s">
        <v>2571</v>
      </c>
      <c r="E371" s="2" t="s">
        <v>107</v>
      </c>
      <c r="F371" s="2" t="s">
        <v>19</v>
      </c>
      <c r="G371" t="s">
        <v>6190</v>
      </c>
      <c r="H371" t="str">
        <f>VLOOKUP('Combined table'!B371,products!$A$1:$G$49,2,FALSE)</f>
        <v>Exc</v>
      </c>
      <c r="I371" t="str">
        <f>VLOOKUP('Combined table'!B371,products!$A$1:$G$49,3,FALSE)</f>
        <v>L</v>
      </c>
      <c r="J371">
        <f>VLOOKUP('Combined table'!B371,products!$A$1:$G$49,4,FALSE)</f>
        <v>0.5</v>
      </c>
      <c r="K371">
        <f>VLOOKUP('Combined table'!B371,products!$A$1:$G$49,5,FALSE)</f>
        <v>8.91</v>
      </c>
      <c r="L371">
        <f>VLOOKUP('Combined table'!B371,products!$A$1:$G$49,6,FALSE)</f>
        <v>1.782</v>
      </c>
      <c r="M371">
        <f>VLOOKUP('Combined table'!B371,products!$A$1:$G$49,7,FALSE)</f>
        <v>0.98009999999999997</v>
      </c>
      <c r="N371" t="str">
        <f>TEXT(A371,"mmm yyyy")</f>
        <v>Feb 2019</v>
      </c>
      <c r="O371">
        <f t="shared" si="5"/>
        <v>8.91</v>
      </c>
    </row>
    <row r="372" spans="1:15" x14ac:dyDescent="0.25">
      <c r="A372" s="3">
        <v>43501</v>
      </c>
      <c r="B372" t="s">
        <v>6183</v>
      </c>
      <c r="C372" s="2">
        <v>2</v>
      </c>
      <c r="D372" s="2" t="s">
        <v>2575</v>
      </c>
      <c r="E372" s="2" t="s">
        <v>216</v>
      </c>
      <c r="F372" s="2" t="s">
        <v>19</v>
      </c>
      <c r="G372" t="s">
        <v>6190</v>
      </c>
      <c r="H372" t="str">
        <f>VLOOKUP('Combined table'!B372,products!$A$1:$G$49,2,FALSE)</f>
        <v>Exc</v>
      </c>
      <c r="I372" t="str">
        <f>VLOOKUP('Combined table'!B372,products!$A$1:$G$49,3,FALSE)</f>
        <v>D</v>
      </c>
      <c r="J372">
        <f>VLOOKUP('Combined table'!B372,products!$A$1:$G$49,4,FALSE)</f>
        <v>1</v>
      </c>
      <c r="K372">
        <f>VLOOKUP('Combined table'!B372,products!$A$1:$G$49,5,FALSE)</f>
        <v>12.15</v>
      </c>
      <c r="L372">
        <f>VLOOKUP('Combined table'!B372,products!$A$1:$G$49,6,FALSE)</f>
        <v>1.2150000000000001</v>
      </c>
      <c r="M372">
        <f>VLOOKUP('Combined table'!B372,products!$A$1:$G$49,7,FALSE)</f>
        <v>1.3365</v>
      </c>
      <c r="N372" t="str">
        <f>TEXT(A372,"mmm yyyy")</f>
        <v>Feb 2019</v>
      </c>
      <c r="O372">
        <f t="shared" si="5"/>
        <v>24.3</v>
      </c>
    </row>
    <row r="373" spans="1:15" x14ac:dyDescent="0.25">
      <c r="A373" s="3">
        <v>44705</v>
      </c>
      <c r="B373" t="s">
        <v>6180</v>
      </c>
      <c r="C373" s="2">
        <v>6</v>
      </c>
      <c r="D373" s="2" t="s">
        <v>2581</v>
      </c>
      <c r="E373" s="2" t="s">
        <v>105</v>
      </c>
      <c r="F373" s="2" t="s">
        <v>19</v>
      </c>
      <c r="G373" t="s">
        <v>6190</v>
      </c>
      <c r="H373" t="str">
        <f>VLOOKUP('Combined table'!B373,products!$A$1:$G$49,2,FALSE)</f>
        <v>Ara</v>
      </c>
      <c r="I373" t="str">
        <f>VLOOKUP('Combined table'!B373,products!$A$1:$G$49,3,FALSE)</f>
        <v>L</v>
      </c>
      <c r="J373">
        <f>VLOOKUP('Combined table'!B373,products!$A$1:$G$49,4,FALSE)</f>
        <v>0.5</v>
      </c>
      <c r="K373">
        <f>VLOOKUP('Combined table'!B373,products!$A$1:$G$49,5,FALSE)</f>
        <v>7.77</v>
      </c>
      <c r="L373">
        <f>VLOOKUP('Combined table'!B373,products!$A$1:$G$49,6,FALSE)</f>
        <v>1.5539999999999998</v>
      </c>
      <c r="M373">
        <f>VLOOKUP('Combined table'!B373,products!$A$1:$G$49,7,FALSE)</f>
        <v>0.69929999999999992</v>
      </c>
      <c r="N373" t="str">
        <f>TEXT(A373,"mmm yyyy")</f>
        <v>May 2022</v>
      </c>
      <c r="O373">
        <f t="shared" si="5"/>
        <v>46.62</v>
      </c>
    </row>
    <row r="374" spans="1:15" x14ac:dyDescent="0.25">
      <c r="A374" s="3">
        <v>44108</v>
      </c>
      <c r="B374" t="s">
        <v>6173</v>
      </c>
      <c r="C374" s="2">
        <v>6</v>
      </c>
      <c r="D374" s="2" t="s">
        <v>2587</v>
      </c>
      <c r="E374" s="2" t="s">
        <v>166</v>
      </c>
      <c r="F374" s="2" t="s">
        <v>19</v>
      </c>
      <c r="G374" t="s">
        <v>6191</v>
      </c>
      <c r="H374" t="str">
        <f>VLOOKUP('Combined table'!B374,products!$A$1:$G$49,2,FALSE)</f>
        <v>Rob</v>
      </c>
      <c r="I374" t="str">
        <f>VLOOKUP('Combined table'!B374,products!$A$1:$G$49,3,FALSE)</f>
        <v>L</v>
      </c>
      <c r="J374">
        <f>VLOOKUP('Combined table'!B374,products!$A$1:$G$49,4,FALSE)</f>
        <v>0.5</v>
      </c>
      <c r="K374">
        <f>VLOOKUP('Combined table'!B374,products!$A$1:$G$49,5,FALSE)</f>
        <v>7.169999999999999</v>
      </c>
      <c r="L374">
        <f>VLOOKUP('Combined table'!B374,products!$A$1:$G$49,6,FALSE)</f>
        <v>1.4339999999999997</v>
      </c>
      <c r="M374">
        <f>VLOOKUP('Combined table'!B374,products!$A$1:$G$49,7,FALSE)</f>
        <v>0.43019999999999992</v>
      </c>
      <c r="N374" t="str">
        <f>TEXT(A374,"mmm yyyy")</f>
        <v>Oct 2020</v>
      </c>
      <c r="O374">
        <f t="shared" si="5"/>
        <v>43.019999999999996</v>
      </c>
    </row>
    <row r="375" spans="1:15" x14ac:dyDescent="0.25">
      <c r="A375" s="3">
        <v>44742</v>
      </c>
      <c r="B375" t="s">
        <v>6158</v>
      </c>
      <c r="C375" s="2">
        <v>3</v>
      </c>
      <c r="D375" s="2" t="s">
        <v>2593</v>
      </c>
      <c r="E375" s="2" t="s">
        <v>2596</v>
      </c>
      <c r="F375" s="2" t="s">
        <v>318</v>
      </c>
      <c r="G375" t="s">
        <v>6190</v>
      </c>
      <c r="H375" t="str">
        <f>VLOOKUP('Combined table'!B375,products!$A$1:$G$49,2,FALSE)</f>
        <v>Ara</v>
      </c>
      <c r="I375" t="str">
        <f>VLOOKUP('Combined table'!B375,products!$A$1:$G$49,3,FALSE)</f>
        <v>D</v>
      </c>
      <c r="J375">
        <f>VLOOKUP('Combined table'!B375,products!$A$1:$G$49,4,FALSE)</f>
        <v>0.5</v>
      </c>
      <c r="K375">
        <f>VLOOKUP('Combined table'!B375,products!$A$1:$G$49,5,FALSE)</f>
        <v>5.97</v>
      </c>
      <c r="L375">
        <f>VLOOKUP('Combined table'!B375,products!$A$1:$G$49,6,FALSE)</f>
        <v>1.194</v>
      </c>
      <c r="M375">
        <f>VLOOKUP('Combined table'!B375,products!$A$1:$G$49,7,FALSE)</f>
        <v>0.5373</v>
      </c>
      <c r="N375" t="str">
        <f>TEXT(A375,"mmm yyyy")</f>
        <v>Jun 2022</v>
      </c>
      <c r="O375">
        <f t="shared" si="5"/>
        <v>17.91</v>
      </c>
    </row>
    <row r="376" spans="1:15" x14ac:dyDescent="0.25">
      <c r="A376" s="3">
        <v>44125</v>
      </c>
      <c r="B376" t="s">
        <v>6161</v>
      </c>
      <c r="C376" s="2">
        <v>4</v>
      </c>
      <c r="D376" s="2" t="s">
        <v>2599</v>
      </c>
      <c r="E376" s="2" t="s">
        <v>162</v>
      </c>
      <c r="F376" s="2" t="s">
        <v>19</v>
      </c>
      <c r="G376" t="s">
        <v>6190</v>
      </c>
      <c r="H376" t="str">
        <f>VLOOKUP('Combined table'!B376,products!$A$1:$G$49,2,FALSE)</f>
        <v>Lib</v>
      </c>
      <c r="I376" t="str">
        <f>VLOOKUP('Combined table'!B376,products!$A$1:$G$49,3,FALSE)</f>
        <v>L</v>
      </c>
      <c r="J376">
        <f>VLOOKUP('Combined table'!B376,products!$A$1:$G$49,4,FALSE)</f>
        <v>0.5</v>
      </c>
      <c r="K376">
        <f>VLOOKUP('Combined table'!B376,products!$A$1:$G$49,5,FALSE)</f>
        <v>9.51</v>
      </c>
      <c r="L376">
        <f>VLOOKUP('Combined table'!B376,products!$A$1:$G$49,6,FALSE)</f>
        <v>1.9019999999999999</v>
      </c>
      <c r="M376">
        <f>VLOOKUP('Combined table'!B376,products!$A$1:$G$49,7,FALSE)</f>
        <v>1.2363</v>
      </c>
      <c r="N376" t="str">
        <f>TEXT(A376,"mmm yyyy")</f>
        <v>Oct 2020</v>
      </c>
      <c r="O376">
        <f t="shared" si="5"/>
        <v>38.04</v>
      </c>
    </row>
    <row r="377" spans="1:15" x14ac:dyDescent="0.25">
      <c r="A377" s="3">
        <v>44120</v>
      </c>
      <c r="B377" t="s">
        <v>6152</v>
      </c>
      <c r="C377" s="2">
        <v>2</v>
      </c>
      <c r="D377" s="2" t="s">
        <v>2605</v>
      </c>
      <c r="E377" s="2" t="s">
        <v>203</v>
      </c>
      <c r="F377" s="2" t="s">
        <v>19</v>
      </c>
      <c r="G377" t="s">
        <v>6190</v>
      </c>
      <c r="H377" t="str">
        <f>VLOOKUP('Combined table'!B377,products!$A$1:$G$49,2,FALSE)</f>
        <v>Ara</v>
      </c>
      <c r="I377" t="str">
        <f>VLOOKUP('Combined table'!B377,products!$A$1:$G$49,3,FALSE)</f>
        <v>M</v>
      </c>
      <c r="J377">
        <f>VLOOKUP('Combined table'!B377,products!$A$1:$G$49,4,FALSE)</f>
        <v>0.2</v>
      </c>
      <c r="K377">
        <f>VLOOKUP('Combined table'!B377,products!$A$1:$G$49,5,FALSE)</f>
        <v>3.375</v>
      </c>
      <c r="L377">
        <f>VLOOKUP('Combined table'!B377,products!$A$1:$G$49,6,FALSE)</f>
        <v>1.6875</v>
      </c>
      <c r="M377">
        <f>VLOOKUP('Combined table'!B377,products!$A$1:$G$49,7,FALSE)</f>
        <v>0.30374999999999996</v>
      </c>
      <c r="N377" t="str">
        <f>TEXT(A377,"mmm yyyy")</f>
        <v>Oct 2020</v>
      </c>
      <c r="O377">
        <f t="shared" si="5"/>
        <v>6.75</v>
      </c>
    </row>
    <row r="378" spans="1:15" x14ac:dyDescent="0.25">
      <c r="A378" s="3">
        <v>44097</v>
      </c>
      <c r="B378" t="s">
        <v>6146</v>
      </c>
      <c r="C378" s="2">
        <v>1</v>
      </c>
      <c r="D378" s="2" t="s">
        <v>2611</v>
      </c>
      <c r="E378" s="2" t="s">
        <v>183</v>
      </c>
      <c r="F378" s="2" t="s">
        <v>19</v>
      </c>
      <c r="G378" t="s">
        <v>6190</v>
      </c>
      <c r="H378" t="str">
        <f>VLOOKUP('Combined table'!B378,products!$A$1:$G$49,2,FALSE)</f>
        <v>Rob</v>
      </c>
      <c r="I378" t="str">
        <f>VLOOKUP('Combined table'!B378,products!$A$1:$G$49,3,FALSE)</f>
        <v>M</v>
      </c>
      <c r="J378">
        <f>VLOOKUP('Combined table'!B378,products!$A$1:$G$49,4,FALSE)</f>
        <v>0.5</v>
      </c>
      <c r="K378">
        <f>VLOOKUP('Combined table'!B378,products!$A$1:$G$49,5,FALSE)</f>
        <v>5.97</v>
      </c>
      <c r="L378">
        <f>VLOOKUP('Combined table'!B378,products!$A$1:$G$49,6,FALSE)</f>
        <v>1.194</v>
      </c>
      <c r="M378">
        <f>VLOOKUP('Combined table'!B378,products!$A$1:$G$49,7,FALSE)</f>
        <v>0.35819999999999996</v>
      </c>
      <c r="N378" t="str">
        <f>TEXT(A378,"mmm yyyy")</f>
        <v>Sep 2020</v>
      </c>
      <c r="O378">
        <f t="shared" si="5"/>
        <v>5.97</v>
      </c>
    </row>
    <row r="379" spans="1:15" x14ac:dyDescent="0.25">
      <c r="A379" s="3">
        <v>43532</v>
      </c>
      <c r="B379" t="s">
        <v>6163</v>
      </c>
      <c r="C379" s="2">
        <v>3</v>
      </c>
      <c r="D379" s="2" t="s">
        <v>2617</v>
      </c>
      <c r="E379" s="2" t="s">
        <v>1700</v>
      </c>
      <c r="F379" s="2" t="s">
        <v>318</v>
      </c>
      <c r="G379" t="s">
        <v>6191</v>
      </c>
      <c r="H379" t="str">
        <f>VLOOKUP('Combined table'!B379,products!$A$1:$G$49,2,FALSE)</f>
        <v>Rob</v>
      </c>
      <c r="I379" t="str">
        <f>VLOOKUP('Combined table'!B379,products!$A$1:$G$49,3,FALSE)</f>
        <v>D</v>
      </c>
      <c r="J379">
        <f>VLOOKUP('Combined table'!B379,products!$A$1:$G$49,4,FALSE)</f>
        <v>0.2</v>
      </c>
      <c r="K379">
        <f>VLOOKUP('Combined table'!B379,products!$A$1:$G$49,5,FALSE)</f>
        <v>2.6849999999999996</v>
      </c>
      <c r="L379">
        <f>VLOOKUP('Combined table'!B379,products!$A$1:$G$49,6,FALSE)</f>
        <v>1.3424999999999998</v>
      </c>
      <c r="M379">
        <f>VLOOKUP('Combined table'!B379,products!$A$1:$G$49,7,FALSE)</f>
        <v>0.16109999999999997</v>
      </c>
      <c r="N379" t="str">
        <f>TEXT(A379,"mmm yyyy")</f>
        <v>Mar 2019</v>
      </c>
      <c r="O379">
        <f t="shared" si="5"/>
        <v>8.0549999999999997</v>
      </c>
    </row>
    <row r="380" spans="1:15" x14ac:dyDescent="0.25">
      <c r="A380" s="3">
        <v>44377</v>
      </c>
      <c r="B380" t="s">
        <v>6180</v>
      </c>
      <c r="C380" s="2">
        <v>3</v>
      </c>
      <c r="D380" s="2" t="s">
        <v>2623</v>
      </c>
      <c r="E380" s="2" t="s">
        <v>468</v>
      </c>
      <c r="F380" s="2" t="s">
        <v>318</v>
      </c>
      <c r="G380" t="s">
        <v>6190</v>
      </c>
      <c r="H380" t="str">
        <f>VLOOKUP('Combined table'!B380,products!$A$1:$G$49,2,FALSE)</f>
        <v>Ara</v>
      </c>
      <c r="I380" t="str">
        <f>VLOOKUP('Combined table'!B380,products!$A$1:$G$49,3,FALSE)</f>
        <v>L</v>
      </c>
      <c r="J380">
        <f>VLOOKUP('Combined table'!B380,products!$A$1:$G$49,4,FALSE)</f>
        <v>0.5</v>
      </c>
      <c r="K380">
        <f>VLOOKUP('Combined table'!B380,products!$A$1:$G$49,5,FALSE)</f>
        <v>7.77</v>
      </c>
      <c r="L380">
        <f>VLOOKUP('Combined table'!B380,products!$A$1:$G$49,6,FALSE)</f>
        <v>1.5539999999999998</v>
      </c>
      <c r="M380">
        <f>VLOOKUP('Combined table'!B380,products!$A$1:$G$49,7,FALSE)</f>
        <v>0.69929999999999992</v>
      </c>
      <c r="N380" t="str">
        <f>TEXT(A380,"mmm yyyy")</f>
        <v>Jun 2021</v>
      </c>
      <c r="O380">
        <f t="shared" si="5"/>
        <v>23.31</v>
      </c>
    </row>
    <row r="381" spans="1:15" x14ac:dyDescent="0.25">
      <c r="A381" s="3">
        <v>43690</v>
      </c>
      <c r="B381" t="s">
        <v>6173</v>
      </c>
      <c r="C381" s="2">
        <v>6</v>
      </c>
      <c r="D381" s="2" t="s">
        <v>2629</v>
      </c>
      <c r="E381" s="2" t="s">
        <v>70</v>
      </c>
      <c r="F381" s="2" t="s">
        <v>28</v>
      </c>
      <c r="G381" t="s">
        <v>6190</v>
      </c>
      <c r="H381" t="str">
        <f>VLOOKUP('Combined table'!B381,products!$A$1:$G$49,2,FALSE)</f>
        <v>Rob</v>
      </c>
      <c r="I381" t="str">
        <f>VLOOKUP('Combined table'!B381,products!$A$1:$G$49,3,FALSE)</f>
        <v>L</v>
      </c>
      <c r="J381">
        <f>VLOOKUP('Combined table'!B381,products!$A$1:$G$49,4,FALSE)</f>
        <v>0.5</v>
      </c>
      <c r="K381">
        <f>VLOOKUP('Combined table'!B381,products!$A$1:$G$49,5,FALSE)</f>
        <v>7.169999999999999</v>
      </c>
      <c r="L381">
        <f>VLOOKUP('Combined table'!B381,products!$A$1:$G$49,6,FALSE)</f>
        <v>1.4339999999999997</v>
      </c>
      <c r="M381">
        <f>VLOOKUP('Combined table'!B381,products!$A$1:$G$49,7,FALSE)</f>
        <v>0.43019999999999992</v>
      </c>
      <c r="N381" t="str">
        <f>TEXT(A381,"mmm yyyy")</f>
        <v>Aug 2019</v>
      </c>
      <c r="O381">
        <f t="shared" si="5"/>
        <v>43.019999999999996</v>
      </c>
    </row>
    <row r="382" spans="1:15" x14ac:dyDescent="0.25">
      <c r="A382" s="3">
        <v>44249</v>
      </c>
      <c r="B382" t="s">
        <v>6169</v>
      </c>
      <c r="C382" s="2">
        <v>3</v>
      </c>
      <c r="D382" s="2" t="s">
        <v>2634</v>
      </c>
      <c r="E382" s="2" t="s">
        <v>83</v>
      </c>
      <c r="F382" s="2" t="s">
        <v>19</v>
      </c>
      <c r="G382" t="s">
        <v>6191</v>
      </c>
      <c r="H382" t="str">
        <f>VLOOKUP('Combined table'!B382,products!$A$1:$G$49,2,FALSE)</f>
        <v>Lib</v>
      </c>
      <c r="I382" t="str">
        <f>VLOOKUP('Combined table'!B382,products!$A$1:$G$49,3,FALSE)</f>
        <v>D</v>
      </c>
      <c r="J382">
        <f>VLOOKUP('Combined table'!B382,products!$A$1:$G$49,4,FALSE)</f>
        <v>0.5</v>
      </c>
      <c r="K382">
        <f>VLOOKUP('Combined table'!B382,products!$A$1:$G$49,5,FALSE)</f>
        <v>7.77</v>
      </c>
      <c r="L382">
        <f>VLOOKUP('Combined table'!B382,products!$A$1:$G$49,6,FALSE)</f>
        <v>1.5539999999999998</v>
      </c>
      <c r="M382">
        <f>VLOOKUP('Combined table'!B382,products!$A$1:$G$49,7,FALSE)</f>
        <v>1.0101</v>
      </c>
      <c r="N382" t="str">
        <f>TEXT(A382,"mmm yyyy")</f>
        <v>Feb 2021</v>
      </c>
      <c r="O382">
        <f t="shared" si="5"/>
        <v>23.31</v>
      </c>
    </row>
    <row r="383" spans="1:15" x14ac:dyDescent="0.25">
      <c r="A383" s="3">
        <v>44646</v>
      </c>
      <c r="B383" t="s">
        <v>6154</v>
      </c>
      <c r="C383" s="2">
        <v>5</v>
      </c>
      <c r="D383" s="2" t="s">
        <v>2640</v>
      </c>
      <c r="E383" s="2" t="s">
        <v>27</v>
      </c>
      <c r="F383" s="2" t="s">
        <v>19</v>
      </c>
      <c r="G383" t="s">
        <v>6190</v>
      </c>
      <c r="H383" t="str">
        <f>VLOOKUP('Combined table'!B383,products!$A$1:$G$49,2,FALSE)</f>
        <v>Ara</v>
      </c>
      <c r="I383" t="str">
        <f>VLOOKUP('Combined table'!B383,products!$A$1:$G$49,3,FALSE)</f>
        <v>D</v>
      </c>
      <c r="J383">
        <f>VLOOKUP('Combined table'!B383,products!$A$1:$G$49,4,FALSE)</f>
        <v>0.2</v>
      </c>
      <c r="K383">
        <f>VLOOKUP('Combined table'!B383,products!$A$1:$G$49,5,FALSE)</f>
        <v>2.9849999999999999</v>
      </c>
      <c r="L383">
        <f>VLOOKUP('Combined table'!B383,products!$A$1:$G$49,6,FALSE)</f>
        <v>1.4924999999999999</v>
      </c>
      <c r="M383">
        <f>VLOOKUP('Combined table'!B383,products!$A$1:$G$49,7,FALSE)</f>
        <v>0.26865</v>
      </c>
      <c r="N383" t="str">
        <f>TEXT(A383,"mmm yyyy")</f>
        <v>Mar 2022</v>
      </c>
      <c r="O383">
        <f t="shared" si="5"/>
        <v>14.924999999999999</v>
      </c>
    </row>
    <row r="384" spans="1:15" x14ac:dyDescent="0.25">
      <c r="A384" s="3">
        <v>43840</v>
      </c>
      <c r="B384" t="s">
        <v>6144</v>
      </c>
      <c r="C384" s="2">
        <v>3</v>
      </c>
      <c r="D384" s="2" t="s">
        <v>2646</v>
      </c>
      <c r="E384" s="2" t="s">
        <v>20</v>
      </c>
      <c r="F384" s="2" t="s">
        <v>19</v>
      </c>
      <c r="G384" t="s">
        <v>6191</v>
      </c>
      <c r="H384" t="str">
        <f>VLOOKUP('Combined table'!B384,products!$A$1:$G$49,2,FALSE)</f>
        <v>Exc</v>
      </c>
      <c r="I384" t="str">
        <f>VLOOKUP('Combined table'!B384,products!$A$1:$G$49,3,FALSE)</f>
        <v>D</v>
      </c>
      <c r="J384">
        <f>VLOOKUP('Combined table'!B384,products!$A$1:$G$49,4,FALSE)</f>
        <v>0.5</v>
      </c>
      <c r="K384">
        <f>VLOOKUP('Combined table'!B384,products!$A$1:$G$49,5,FALSE)</f>
        <v>7.29</v>
      </c>
      <c r="L384">
        <f>VLOOKUP('Combined table'!B384,products!$A$1:$G$49,6,FALSE)</f>
        <v>1.458</v>
      </c>
      <c r="M384">
        <f>VLOOKUP('Combined table'!B384,products!$A$1:$G$49,7,FALSE)</f>
        <v>0.80190000000000006</v>
      </c>
      <c r="N384" t="str">
        <f>TEXT(A384,"mmm yyyy")</f>
        <v>Jan 2020</v>
      </c>
      <c r="O384">
        <f t="shared" si="5"/>
        <v>21.87</v>
      </c>
    </row>
    <row r="385" spans="1:15" x14ac:dyDescent="0.25">
      <c r="A385" s="3">
        <v>43586</v>
      </c>
      <c r="B385" t="s">
        <v>6176</v>
      </c>
      <c r="C385" s="2">
        <v>6</v>
      </c>
      <c r="D385" s="2" t="s">
        <v>2652</v>
      </c>
      <c r="E385" s="2" t="s">
        <v>172</v>
      </c>
      <c r="F385" s="2" t="s">
        <v>19</v>
      </c>
      <c r="G385" t="s">
        <v>6190</v>
      </c>
      <c r="H385" t="str">
        <f>VLOOKUP('Combined table'!B385,products!$A$1:$G$49,2,FALSE)</f>
        <v>Exc</v>
      </c>
      <c r="I385" t="str">
        <f>VLOOKUP('Combined table'!B385,products!$A$1:$G$49,3,FALSE)</f>
        <v>L</v>
      </c>
      <c r="J385">
        <f>VLOOKUP('Combined table'!B385,products!$A$1:$G$49,4,FALSE)</f>
        <v>0.5</v>
      </c>
      <c r="K385">
        <f>VLOOKUP('Combined table'!B385,products!$A$1:$G$49,5,FALSE)</f>
        <v>8.91</v>
      </c>
      <c r="L385">
        <f>VLOOKUP('Combined table'!B385,products!$A$1:$G$49,6,FALSE)</f>
        <v>1.782</v>
      </c>
      <c r="M385">
        <f>VLOOKUP('Combined table'!B385,products!$A$1:$G$49,7,FALSE)</f>
        <v>0.98009999999999997</v>
      </c>
      <c r="N385" t="str">
        <f>TEXT(A385,"mmm yyyy")</f>
        <v>May 2019</v>
      </c>
      <c r="O385">
        <f t="shared" si="5"/>
        <v>53.46</v>
      </c>
    </row>
    <row r="386" spans="1:15" x14ac:dyDescent="0.25">
      <c r="A386" s="3">
        <v>43870</v>
      </c>
      <c r="B386" t="s">
        <v>6182</v>
      </c>
      <c r="C386" s="2">
        <v>4</v>
      </c>
      <c r="D386" s="2" t="s">
        <v>2657</v>
      </c>
      <c r="E386" s="2" t="s">
        <v>52</v>
      </c>
      <c r="F386" s="2" t="s">
        <v>19</v>
      </c>
      <c r="G386" t="s">
        <v>6191</v>
      </c>
      <c r="H386" t="str">
        <f>VLOOKUP('Combined table'!B386,products!$A$1:$G$49,2,FALSE)</f>
        <v>Ara</v>
      </c>
      <c r="I386" t="str">
        <f>VLOOKUP('Combined table'!B386,products!$A$1:$G$49,3,FALSE)</f>
        <v>L</v>
      </c>
      <c r="J386">
        <f>VLOOKUP('Combined table'!B386,products!$A$1:$G$49,4,FALSE)</f>
        <v>2.5</v>
      </c>
      <c r="K386">
        <f>VLOOKUP('Combined table'!B386,products!$A$1:$G$49,5,FALSE)</f>
        <v>29.784999999999997</v>
      </c>
      <c r="L386">
        <f>VLOOKUP('Combined table'!B386,products!$A$1:$G$49,6,FALSE)</f>
        <v>1.1913999999999998</v>
      </c>
      <c r="M386">
        <f>VLOOKUP('Combined table'!B386,products!$A$1:$G$49,7,FALSE)</f>
        <v>2.6806499999999995</v>
      </c>
      <c r="N386" t="str">
        <f>TEXT(A386,"mmm yyyy")</f>
        <v>Feb 2020</v>
      </c>
      <c r="O386">
        <f t="shared" si="5"/>
        <v>119.13999999999999</v>
      </c>
    </row>
    <row r="387" spans="1:15" x14ac:dyDescent="0.25">
      <c r="A387" s="3">
        <v>44559</v>
      </c>
      <c r="B387" t="s">
        <v>6160</v>
      </c>
      <c r="C387" s="2">
        <v>5</v>
      </c>
      <c r="D387" s="2" t="s">
        <v>2662</v>
      </c>
      <c r="E387" s="2" t="s">
        <v>116</v>
      </c>
      <c r="F387" s="2" t="s">
        <v>19</v>
      </c>
      <c r="G387" t="s">
        <v>6190</v>
      </c>
      <c r="H387" t="str">
        <f>VLOOKUP('Combined table'!B387,products!$A$1:$G$49,2,FALSE)</f>
        <v>Lib</v>
      </c>
      <c r="I387" t="str">
        <f>VLOOKUP('Combined table'!B387,products!$A$1:$G$49,3,FALSE)</f>
        <v>M</v>
      </c>
      <c r="J387">
        <f>VLOOKUP('Combined table'!B387,products!$A$1:$G$49,4,FALSE)</f>
        <v>0.5</v>
      </c>
      <c r="K387">
        <f>VLOOKUP('Combined table'!B387,products!$A$1:$G$49,5,FALSE)</f>
        <v>8.73</v>
      </c>
      <c r="L387">
        <f>VLOOKUP('Combined table'!B387,products!$A$1:$G$49,6,FALSE)</f>
        <v>1.746</v>
      </c>
      <c r="M387">
        <f>VLOOKUP('Combined table'!B387,products!$A$1:$G$49,7,FALSE)</f>
        <v>1.1349</v>
      </c>
      <c r="N387" t="str">
        <f>TEXT(A387,"mmm yyyy")</f>
        <v>Dec 2021</v>
      </c>
      <c r="O387">
        <f t="shared" ref="O387:O450" si="6">C387*K387</f>
        <v>43.650000000000006</v>
      </c>
    </row>
    <row r="388" spans="1:15" x14ac:dyDescent="0.25">
      <c r="A388" s="3">
        <v>44083</v>
      </c>
      <c r="B388" t="s">
        <v>6154</v>
      </c>
      <c r="C388" s="2">
        <v>6</v>
      </c>
      <c r="D388" s="2" t="s">
        <v>2668</v>
      </c>
      <c r="E388" s="2" t="s">
        <v>83</v>
      </c>
      <c r="F388" s="2" t="s">
        <v>19</v>
      </c>
      <c r="G388" t="s">
        <v>6190</v>
      </c>
      <c r="H388" t="str">
        <f>VLOOKUP('Combined table'!B388,products!$A$1:$G$49,2,FALSE)</f>
        <v>Ara</v>
      </c>
      <c r="I388" t="str">
        <f>VLOOKUP('Combined table'!B388,products!$A$1:$G$49,3,FALSE)</f>
        <v>D</v>
      </c>
      <c r="J388">
        <f>VLOOKUP('Combined table'!B388,products!$A$1:$G$49,4,FALSE)</f>
        <v>0.2</v>
      </c>
      <c r="K388">
        <f>VLOOKUP('Combined table'!B388,products!$A$1:$G$49,5,FALSE)</f>
        <v>2.9849999999999999</v>
      </c>
      <c r="L388">
        <f>VLOOKUP('Combined table'!B388,products!$A$1:$G$49,6,FALSE)</f>
        <v>1.4924999999999999</v>
      </c>
      <c r="M388">
        <f>VLOOKUP('Combined table'!B388,products!$A$1:$G$49,7,FALSE)</f>
        <v>0.26865</v>
      </c>
      <c r="N388" t="str">
        <f>TEXT(A388,"mmm yyyy")</f>
        <v>Sep 2020</v>
      </c>
      <c r="O388">
        <f t="shared" si="6"/>
        <v>17.91</v>
      </c>
    </row>
    <row r="389" spans="1:15" x14ac:dyDescent="0.25">
      <c r="A389" s="3">
        <v>44455</v>
      </c>
      <c r="B389" t="s">
        <v>6171</v>
      </c>
      <c r="C389" s="2">
        <v>5</v>
      </c>
      <c r="D389" s="2" t="s">
        <v>2673</v>
      </c>
      <c r="E389" s="2" t="s">
        <v>18</v>
      </c>
      <c r="F389" s="2" t="s">
        <v>19</v>
      </c>
      <c r="G389" t="s">
        <v>6190</v>
      </c>
      <c r="H389" t="str">
        <f>VLOOKUP('Combined table'!B389,products!$A$1:$G$49,2,FALSE)</f>
        <v>Exc</v>
      </c>
      <c r="I389" t="str">
        <f>VLOOKUP('Combined table'!B389,products!$A$1:$G$49,3,FALSE)</f>
        <v>L</v>
      </c>
      <c r="J389">
        <f>VLOOKUP('Combined table'!B389,products!$A$1:$G$49,4,FALSE)</f>
        <v>1</v>
      </c>
      <c r="K389">
        <f>VLOOKUP('Combined table'!B389,products!$A$1:$G$49,5,FALSE)</f>
        <v>14.85</v>
      </c>
      <c r="L389">
        <f>VLOOKUP('Combined table'!B389,products!$A$1:$G$49,6,FALSE)</f>
        <v>1.4849999999999999</v>
      </c>
      <c r="M389">
        <f>VLOOKUP('Combined table'!B389,products!$A$1:$G$49,7,FALSE)</f>
        <v>1.6335</v>
      </c>
      <c r="N389" t="str">
        <f>TEXT(A389,"mmm yyyy")</f>
        <v>Sep 2021</v>
      </c>
      <c r="O389">
        <f t="shared" si="6"/>
        <v>74.25</v>
      </c>
    </row>
    <row r="390" spans="1:15" x14ac:dyDescent="0.25">
      <c r="A390" s="3">
        <v>44130</v>
      </c>
      <c r="B390" t="s">
        <v>6150</v>
      </c>
      <c r="C390" s="2">
        <v>3</v>
      </c>
      <c r="D390" s="2" t="s">
        <v>2679</v>
      </c>
      <c r="E390" s="2" t="s">
        <v>259</v>
      </c>
      <c r="F390" s="2" t="s">
        <v>19</v>
      </c>
      <c r="G390" t="s">
        <v>6190</v>
      </c>
      <c r="H390" t="str">
        <f>VLOOKUP('Combined table'!B390,products!$A$1:$G$49,2,FALSE)</f>
        <v>Lib</v>
      </c>
      <c r="I390" t="str">
        <f>VLOOKUP('Combined table'!B390,products!$A$1:$G$49,3,FALSE)</f>
        <v>D</v>
      </c>
      <c r="J390">
        <f>VLOOKUP('Combined table'!B390,products!$A$1:$G$49,4,FALSE)</f>
        <v>0.2</v>
      </c>
      <c r="K390">
        <f>VLOOKUP('Combined table'!B390,products!$A$1:$G$49,5,FALSE)</f>
        <v>3.8849999999999998</v>
      </c>
      <c r="L390">
        <f>VLOOKUP('Combined table'!B390,products!$A$1:$G$49,6,FALSE)</f>
        <v>1.9424999999999999</v>
      </c>
      <c r="M390">
        <f>VLOOKUP('Combined table'!B390,products!$A$1:$G$49,7,FALSE)</f>
        <v>0.50505</v>
      </c>
      <c r="N390" t="str">
        <f>TEXT(A390,"mmm yyyy")</f>
        <v>Oct 2020</v>
      </c>
      <c r="O390">
        <f t="shared" si="6"/>
        <v>11.654999999999999</v>
      </c>
    </row>
    <row r="391" spans="1:15" x14ac:dyDescent="0.25">
      <c r="A391" s="3">
        <v>43536</v>
      </c>
      <c r="B391" t="s">
        <v>6169</v>
      </c>
      <c r="C391" s="2">
        <v>3</v>
      </c>
      <c r="D391" s="2" t="s">
        <v>2685</v>
      </c>
      <c r="E391" s="2" t="s">
        <v>171</v>
      </c>
      <c r="F391" s="2" t="s">
        <v>19</v>
      </c>
      <c r="G391" t="s">
        <v>6190</v>
      </c>
      <c r="H391" t="str">
        <f>VLOOKUP('Combined table'!B391,products!$A$1:$G$49,2,FALSE)</f>
        <v>Lib</v>
      </c>
      <c r="I391" t="str">
        <f>VLOOKUP('Combined table'!B391,products!$A$1:$G$49,3,FALSE)</f>
        <v>D</v>
      </c>
      <c r="J391">
        <f>VLOOKUP('Combined table'!B391,products!$A$1:$G$49,4,FALSE)</f>
        <v>0.5</v>
      </c>
      <c r="K391">
        <f>VLOOKUP('Combined table'!B391,products!$A$1:$G$49,5,FALSE)</f>
        <v>7.77</v>
      </c>
      <c r="L391">
        <f>VLOOKUP('Combined table'!B391,products!$A$1:$G$49,6,FALSE)</f>
        <v>1.5539999999999998</v>
      </c>
      <c r="M391">
        <f>VLOOKUP('Combined table'!B391,products!$A$1:$G$49,7,FALSE)</f>
        <v>1.0101</v>
      </c>
      <c r="N391" t="str">
        <f>TEXT(A391,"mmm yyyy")</f>
        <v>Mar 2019</v>
      </c>
      <c r="O391">
        <f t="shared" si="6"/>
        <v>23.31</v>
      </c>
    </row>
    <row r="392" spans="1:15" x14ac:dyDescent="0.25">
      <c r="A392" s="3">
        <v>44245</v>
      </c>
      <c r="B392" t="s">
        <v>6144</v>
      </c>
      <c r="C392" s="2">
        <v>2</v>
      </c>
      <c r="D392" s="2" t="s">
        <v>2691</v>
      </c>
      <c r="E392" s="2" t="s">
        <v>173</v>
      </c>
      <c r="F392" s="2" t="s">
        <v>19</v>
      </c>
      <c r="G392" t="s">
        <v>6190</v>
      </c>
      <c r="H392" t="str">
        <f>VLOOKUP('Combined table'!B392,products!$A$1:$G$49,2,FALSE)</f>
        <v>Exc</v>
      </c>
      <c r="I392" t="str">
        <f>VLOOKUP('Combined table'!B392,products!$A$1:$G$49,3,FALSE)</f>
        <v>D</v>
      </c>
      <c r="J392">
        <f>VLOOKUP('Combined table'!B392,products!$A$1:$G$49,4,FALSE)</f>
        <v>0.5</v>
      </c>
      <c r="K392">
        <f>VLOOKUP('Combined table'!B392,products!$A$1:$G$49,5,FALSE)</f>
        <v>7.29</v>
      </c>
      <c r="L392">
        <f>VLOOKUP('Combined table'!B392,products!$A$1:$G$49,6,FALSE)</f>
        <v>1.458</v>
      </c>
      <c r="M392">
        <f>VLOOKUP('Combined table'!B392,products!$A$1:$G$49,7,FALSE)</f>
        <v>0.80190000000000006</v>
      </c>
      <c r="N392" t="str">
        <f>TEXT(A392,"mmm yyyy")</f>
        <v>Feb 2021</v>
      </c>
      <c r="O392">
        <f t="shared" si="6"/>
        <v>14.58</v>
      </c>
    </row>
    <row r="393" spans="1:15" x14ac:dyDescent="0.25">
      <c r="A393" s="3">
        <v>44133</v>
      </c>
      <c r="B393" t="s">
        <v>6157</v>
      </c>
      <c r="C393" s="2">
        <v>2</v>
      </c>
      <c r="D393" s="2" t="s">
        <v>2696</v>
      </c>
      <c r="E393" s="2" t="s">
        <v>33</v>
      </c>
      <c r="F393" s="2" t="s">
        <v>19</v>
      </c>
      <c r="G393" t="s">
        <v>6191</v>
      </c>
      <c r="H393" t="str">
        <f>VLOOKUP('Combined table'!B393,products!$A$1:$G$49,2,FALSE)</f>
        <v>Ara</v>
      </c>
      <c r="I393" t="str">
        <f>VLOOKUP('Combined table'!B393,products!$A$1:$G$49,3,FALSE)</f>
        <v>M</v>
      </c>
      <c r="J393">
        <f>VLOOKUP('Combined table'!B393,products!$A$1:$G$49,4,FALSE)</f>
        <v>0.5</v>
      </c>
      <c r="K393">
        <f>VLOOKUP('Combined table'!B393,products!$A$1:$G$49,5,FALSE)</f>
        <v>6.75</v>
      </c>
      <c r="L393">
        <f>VLOOKUP('Combined table'!B393,products!$A$1:$G$49,6,FALSE)</f>
        <v>1.35</v>
      </c>
      <c r="M393">
        <f>VLOOKUP('Combined table'!B393,products!$A$1:$G$49,7,FALSE)</f>
        <v>0.60749999999999993</v>
      </c>
      <c r="N393" t="str">
        <f>TEXT(A393,"mmm yyyy")</f>
        <v>Oct 2020</v>
      </c>
      <c r="O393">
        <f t="shared" si="6"/>
        <v>13.5</v>
      </c>
    </row>
    <row r="394" spans="1:15" x14ac:dyDescent="0.25">
      <c r="A394" s="3">
        <v>44445</v>
      </c>
      <c r="B394" t="s">
        <v>6171</v>
      </c>
      <c r="C394" s="2">
        <v>6</v>
      </c>
      <c r="D394" s="2" t="s">
        <v>2701</v>
      </c>
      <c r="E394" s="2" t="s">
        <v>178</v>
      </c>
      <c r="F394" s="2" t="s">
        <v>19</v>
      </c>
      <c r="G394" t="s">
        <v>6191</v>
      </c>
      <c r="H394" t="str">
        <f>VLOOKUP('Combined table'!B394,products!$A$1:$G$49,2,FALSE)</f>
        <v>Exc</v>
      </c>
      <c r="I394" t="str">
        <f>VLOOKUP('Combined table'!B394,products!$A$1:$G$49,3,FALSE)</f>
        <v>L</v>
      </c>
      <c r="J394">
        <f>VLOOKUP('Combined table'!B394,products!$A$1:$G$49,4,FALSE)</f>
        <v>1</v>
      </c>
      <c r="K394">
        <f>VLOOKUP('Combined table'!B394,products!$A$1:$G$49,5,FALSE)</f>
        <v>14.85</v>
      </c>
      <c r="L394">
        <f>VLOOKUP('Combined table'!B394,products!$A$1:$G$49,6,FALSE)</f>
        <v>1.4849999999999999</v>
      </c>
      <c r="M394">
        <f>VLOOKUP('Combined table'!B394,products!$A$1:$G$49,7,FALSE)</f>
        <v>1.6335</v>
      </c>
      <c r="N394" t="str">
        <f>TEXT(A394,"mmm yyyy")</f>
        <v>Sep 2021</v>
      </c>
      <c r="O394">
        <f t="shared" si="6"/>
        <v>89.1</v>
      </c>
    </row>
    <row r="395" spans="1:15" x14ac:dyDescent="0.25">
      <c r="A395" s="3">
        <v>44445</v>
      </c>
      <c r="B395" t="s">
        <v>6167</v>
      </c>
      <c r="C395" s="2">
        <v>1</v>
      </c>
      <c r="D395" s="2" t="s">
        <v>2706</v>
      </c>
      <c r="E395" s="2" t="s">
        <v>261</v>
      </c>
      <c r="F395" s="2" t="s">
        <v>19</v>
      </c>
      <c r="G395" t="s">
        <v>6190</v>
      </c>
      <c r="H395" t="str">
        <f>VLOOKUP('Combined table'!B395,products!$A$1:$G$49,2,FALSE)</f>
        <v>Ara</v>
      </c>
      <c r="I395" t="str">
        <f>VLOOKUP('Combined table'!B395,products!$A$1:$G$49,3,FALSE)</f>
        <v>L</v>
      </c>
      <c r="J395">
        <f>VLOOKUP('Combined table'!B395,products!$A$1:$G$49,4,FALSE)</f>
        <v>0.2</v>
      </c>
      <c r="K395">
        <f>VLOOKUP('Combined table'!B395,products!$A$1:$G$49,5,FALSE)</f>
        <v>3.8849999999999998</v>
      </c>
      <c r="L395">
        <f>VLOOKUP('Combined table'!B395,products!$A$1:$G$49,6,FALSE)</f>
        <v>1.9424999999999999</v>
      </c>
      <c r="M395">
        <f>VLOOKUP('Combined table'!B395,products!$A$1:$G$49,7,FALSE)</f>
        <v>0.34964999999999996</v>
      </c>
      <c r="N395" t="str">
        <f>TEXT(A395,"mmm yyyy")</f>
        <v>Sep 2021</v>
      </c>
      <c r="O395">
        <f t="shared" si="6"/>
        <v>3.8849999999999998</v>
      </c>
    </row>
    <row r="396" spans="1:15" x14ac:dyDescent="0.25">
      <c r="A396" s="3">
        <v>44083</v>
      </c>
      <c r="B396" t="s">
        <v>6142</v>
      </c>
      <c r="C396" s="2">
        <v>4</v>
      </c>
      <c r="D396" s="2" t="s">
        <v>2712</v>
      </c>
      <c r="E396" s="2" t="s">
        <v>33</v>
      </c>
      <c r="F396" s="2" t="s">
        <v>19</v>
      </c>
      <c r="G396" t="s">
        <v>6191</v>
      </c>
      <c r="H396" t="str">
        <f>VLOOKUP('Combined table'!B396,products!$A$1:$G$49,2,FALSE)</f>
        <v>Rob</v>
      </c>
      <c r="I396" t="str">
        <f>VLOOKUP('Combined table'!B396,products!$A$1:$G$49,3,FALSE)</f>
        <v>L</v>
      </c>
      <c r="J396">
        <f>VLOOKUP('Combined table'!B396,products!$A$1:$G$49,4,FALSE)</f>
        <v>2.5</v>
      </c>
      <c r="K396">
        <f>VLOOKUP('Combined table'!B396,products!$A$1:$G$49,5,FALSE)</f>
        <v>27.484999999999996</v>
      </c>
      <c r="L396">
        <f>VLOOKUP('Combined table'!B396,products!$A$1:$G$49,6,FALSE)</f>
        <v>1.0993999999999999</v>
      </c>
      <c r="M396">
        <f>VLOOKUP('Combined table'!B396,products!$A$1:$G$49,7,FALSE)</f>
        <v>1.6490999999999998</v>
      </c>
      <c r="N396" t="str">
        <f>TEXT(A396,"mmm yyyy")</f>
        <v>Sep 2020</v>
      </c>
      <c r="O396">
        <f t="shared" si="6"/>
        <v>109.93999999999998</v>
      </c>
    </row>
    <row r="397" spans="1:15" x14ac:dyDescent="0.25">
      <c r="A397" s="3">
        <v>44465</v>
      </c>
      <c r="B397" t="s">
        <v>6169</v>
      </c>
      <c r="C397" s="2">
        <v>6</v>
      </c>
      <c r="D397" s="2" t="s">
        <v>2718</v>
      </c>
      <c r="E397" s="2" t="s">
        <v>47</v>
      </c>
      <c r="F397" s="2" t="s">
        <v>19</v>
      </c>
      <c r="G397" t="s">
        <v>6190</v>
      </c>
      <c r="H397" t="str">
        <f>VLOOKUP('Combined table'!B397,products!$A$1:$G$49,2,FALSE)</f>
        <v>Lib</v>
      </c>
      <c r="I397" t="str">
        <f>VLOOKUP('Combined table'!B397,products!$A$1:$G$49,3,FALSE)</f>
        <v>D</v>
      </c>
      <c r="J397">
        <f>VLOOKUP('Combined table'!B397,products!$A$1:$G$49,4,FALSE)</f>
        <v>0.5</v>
      </c>
      <c r="K397">
        <f>VLOOKUP('Combined table'!B397,products!$A$1:$G$49,5,FALSE)</f>
        <v>7.77</v>
      </c>
      <c r="L397">
        <f>VLOOKUP('Combined table'!B397,products!$A$1:$G$49,6,FALSE)</f>
        <v>1.5539999999999998</v>
      </c>
      <c r="M397">
        <f>VLOOKUP('Combined table'!B397,products!$A$1:$G$49,7,FALSE)</f>
        <v>1.0101</v>
      </c>
      <c r="N397" t="str">
        <f>TEXT(A397,"mmm yyyy")</f>
        <v>Sep 2021</v>
      </c>
      <c r="O397">
        <f t="shared" si="6"/>
        <v>46.62</v>
      </c>
    </row>
    <row r="398" spans="1:15" x14ac:dyDescent="0.25">
      <c r="A398" s="3">
        <v>44140</v>
      </c>
      <c r="B398" t="s">
        <v>6180</v>
      </c>
      <c r="C398" s="2">
        <v>5</v>
      </c>
      <c r="D398" s="2" t="s">
        <v>2723</v>
      </c>
      <c r="E398" s="2" t="s">
        <v>272</v>
      </c>
      <c r="F398" s="2" t="s">
        <v>19</v>
      </c>
      <c r="G398" t="s">
        <v>6191</v>
      </c>
      <c r="H398" t="str">
        <f>VLOOKUP('Combined table'!B398,products!$A$1:$G$49,2,FALSE)</f>
        <v>Ara</v>
      </c>
      <c r="I398" t="str">
        <f>VLOOKUP('Combined table'!B398,products!$A$1:$G$49,3,FALSE)</f>
        <v>L</v>
      </c>
      <c r="J398">
        <f>VLOOKUP('Combined table'!B398,products!$A$1:$G$49,4,FALSE)</f>
        <v>0.5</v>
      </c>
      <c r="K398">
        <f>VLOOKUP('Combined table'!B398,products!$A$1:$G$49,5,FALSE)</f>
        <v>7.77</v>
      </c>
      <c r="L398">
        <f>VLOOKUP('Combined table'!B398,products!$A$1:$G$49,6,FALSE)</f>
        <v>1.5539999999999998</v>
      </c>
      <c r="M398">
        <f>VLOOKUP('Combined table'!B398,products!$A$1:$G$49,7,FALSE)</f>
        <v>0.69929999999999992</v>
      </c>
      <c r="N398" t="str">
        <f>TEXT(A398,"mmm yyyy")</f>
        <v>Nov 2020</v>
      </c>
      <c r="O398">
        <f t="shared" si="6"/>
        <v>38.849999999999994</v>
      </c>
    </row>
    <row r="399" spans="1:15" x14ac:dyDescent="0.25">
      <c r="A399" s="3">
        <v>43720</v>
      </c>
      <c r="B399" t="s">
        <v>6169</v>
      </c>
      <c r="C399" s="2">
        <v>4</v>
      </c>
      <c r="D399" s="2" t="s">
        <v>2729</v>
      </c>
      <c r="E399" s="2" t="s">
        <v>219</v>
      </c>
      <c r="F399" s="2" t="s">
        <v>19</v>
      </c>
      <c r="G399" t="s">
        <v>6190</v>
      </c>
      <c r="H399" t="str">
        <f>VLOOKUP('Combined table'!B399,products!$A$1:$G$49,2,FALSE)</f>
        <v>Lib</v>
      </c>
      <c r="I399" t="str">
        <f>VLOOKUP('Combined table'!B399,products!$A$1:$G$49,3,FALSE)</f>
        <v>D</v>
      </c>
      <c r="J399">
        <f>VLOOKUP('Combined table'!B399,products!$A$1:$G$49,4,FALSE)</f>
        <v>0.5</v>
      </c>
      <c r="K399">
        <f>VLOOKUP('Combined table'!B399,products!$A$1:$G$49,5,FALSE)</f>
        <v>7.77</v>
      </c>
      <c r="L399">
        <f>VLOOKUP('Combined table'!B399,products!$A$1:$G$49,6,FALSE)</f>
        <v>1.5539999999999998</v>
      </c>
      <c r="M399">
        <f>VLOOKUP('Combined table'!B399,products!$A$1:$G$49,7,FALSE)</f>
        <v>1.0101</v>
      </c>
      <c r="N399" t="str">
        <f>TEXT(A399,"mmm yyyy")</f>
        <v>Sep 2019</v>
      </c>
      <c r="O399">
        <f t="shared" si="6"/>
        <v>31.08</v>
      </c>
    </row>
    <row r="400" spans="1:15" x14ac:dyDescent="0.25">
      <c r="A400" s="3">
        <v>43677</v>
      </c>
      <c r="B400" t="s">
        <v>6154</v>
      </c>
      <c r="C400" s="2">
        <v>6</v>
      </c>
      <c r="D400" s="2" t="s">
        <v>2735</v>
      </c>
      <c r="E400" s="2" t="s">
        <v>91</v>
      </c>
      <c r="F400" s="2" t="s">
        <v>19</v>
      </c>
      <c r="G400" t="s">
        <v>6190</v>
      </c>
      <c r="H400" t="str">
        <f>VLOOKUP('Combined table'!B400,products!$A$1:$G$49,2,FALSE)</f>
        <v>Ara</v>
      </c>
      <c r="I400" t="str">
        <f>VLOOKUP('Combined table'!B400,products!$A$1:$G$49,3,FALSE)</f>
        <v>D</v>
      </c>
      <c r="J400">
        <f>VLOOKUP('Combined table'!B400,products!$A$1:$G$49,4,FALSE)</f>
        <v>0.2</v>
      </c>
      <c r="K400">
        <f>VLOOKUP('Combined table'!B400,products!$A$1:$G$49,5,FALSE)</f>
        <v>2.9849999999999999</v>
      </c>
      <c r="L400">
        <f>VLOOKUP('Combined table'!B400,products!$A$1:$G$49,6,FALSE)</f>
        <v>1.4924999999999999</v>
      </c>
      <c r="M400">
        <f>VLOOKUP('Combined table'!B400,products!$A$1:$G$49,7,FALSE)</f>
        <v>0.26865</v>
      </c>
      <c r="N400" t="str">
        <f>TEXT(A400,"mmm yyyy")</f>
        <v>Jul 2019</v>
      </c>
      <c r="O400">
        <f t="shared" si="6"/>
        <v>17.91</v>
      </c>
    </row>
    <row r="401" spans="1:15" x14ac:dyDescent="0.25">
      <c r="A401" s="3">
        <v>43539</v>
      </c>
      <c r="B401" t="s">
        <v>6185</v>
      </c>
      <c r="C401" s="2">
        <v>6</v>
      </c>
      <c r="D401" s="2" t="s">
        <v>2741</v>
      </c>
      <c r="E401" s="2" t="s">
        <v>305</v>
      </c>
      <c r="F401" s="2" t="s">
        <v>28</v>
      </c>
      <c r="G401" t="s">
        <v>6191</v>
      </c>
      <c r="H401" t="str">
        <f>VLOOKUP('Combined table'!B401,products!$A$1:$G$49,2,FALSE)</f>
        <v>Exc</v>
      </c>
      <c r="I401" t="str">
        <f>VLOOKUP('Combined table'!B401,products!$A$1:$G$49,3,FALSE)</f>
        <v>D</v>
      </c>
      <c r="J401">
        <f>VLOOKUP('Combined table'!B401,products!$A$1:$G$49,4,FALSE)</f>
        <v>2.5</v>
      </c>
      <c r="K401">
        <f>VLOOKUP('Combined table'!B401,products!$A$1:$G$49,5,FALSE)</f>
        <v>27.945</v>
      </c>
      <c r="L401">
        <f>VLOOKUP('Combined table'!B401,products!$A$1:$G$49,6,FALSE)</f>
        <v>1.1177999999999999</v>
      </c>
      <c r="M401">
        <f>VLOOKUP('Combined table'!B401,products!$A$1:$G$49,7,FALSE)</f>
        <v>3.07395</v>
      </c>
      <c r="N401" t="str">
        <f>TEXT(A401,"mmm yyyy")</f>
        <v>Mar 2019</v>
      </c>
      <c r="O401">
        <f t="shared" si="6"/>
        <v>167.67000000000002</v>
      </c>
    </row>
    <row r="402" spans="1:15" x14ac:dyDescent="0.25">
      <c r="A402" s="3">
        <v>44332</v>
      </c>
      <c r="B402" t="s">
        <v>6170</v>
      </c>
      <c r="C402" s="2">
        <v>4</v>
      </c>
      <c r="D402" s="2" t="s">
        <v>2747</v>
      </c>
      <c r="E402" s="2" t="s">
        <v>47</v>
      </c>
      <c r="F402" s="2" t="s">
        <v>19</v>
      </c>
      <c r="G402" t="s">
        <v>6191</v>
      </c>
      <c r="H402" t="str">
        <f>VLOOKUP('Combined table'!B402,products!$A$1:$G$49,2,FALSE)</f>
        <v>Lib</v>
      </c>
      <c r="I402" t="str">
        <f>VLOOKUP('Combined table'!B402,products!$A$1:$G$49,3,FALSE)</f>
        <v>L</v>
      </c>
      <c r="J402">
        <f>VLOOKUP('Combined table'!B402,products!$A$1:$G$49,4,FALSE)</f>
        <v>1</v>
      </c>
      <c r="K402">
        <f>VLOOKUP('Combined table'!B402,products!$A$1:$G$49,5,FALSE)</f>
        <v>15.85</v>
      </c>
      <c r="L402">
        <f>VLOOKUP('Combined table'!B402,products!$A$1:$G$49,6,FALSE)</f>
        <v>1.585</v>
      </c>
      <c r="M402">
        <f>VLOOKUP('Combined table'!B402,products!$A$1:$G$49,7,FALSE)</f>
        <v>2.0605000000000002</v>
      </c>
      <c r="N402" t="str">
        <f>TEXT(A402,"mmm yyyy")</f>
        <v>May 2021</v>
      </c>
      <c r="O402">
        <f t="shared" si="6"/>
        <v>63.4</v>
      </c>
    </row>
    <row r="403" spans="1:15" x14ac:dyDescent="0.25">
      <c r="A403" s="3">
        <v>43591</v>
      </c>
      <c r="B403" t="s">
        <v>6159</v>
      </c>
      <c r="C403" s="2">
        <v>2</v>
      </c>
      <c r="D403" s="2" t="s">
        <v>2753</v>
      </c>
      <c r="E403" s="2" t="s">
        <v>49</v>
      </c>
      <c r="F403" s="2" t="s">
        <v>19</v>
      </c>
      <c r="G403" t="s">
        <v>6190</v>
      </c>
      <c r="H403" t="str">
        <f>VLOOKUP('Combined table'!B403,products!$A$1:$G$49,2,FALSE)</f>
        <v>Lib</v>
      </c>
      <c r="I403" t="str">
        <f>VLOOKUP('Combined table'!B403,products!$A$1:$G$49,3,FALSE)</f>
        <v>M</v>
      </c>
      <c r="J403">
        <f>VLOOKUP('Combined table'!B403,products!$A$1:$G$49,4,FALSE)</f>
        <v>0.2</v>
      </c>
      <c r="K403">
        <f>VLOOKUP('Combined table'!B403,products!$A$1:$G$49,5,FALSE)</f>
        <v>4.3650000000000002</v>
      </c>
      <c r="L403">
        <f>VLOOKUP('Combined table'!B403,products!$A$1:$G$49,6,FALSE)</f>
        <v>2.1825000000000001</v>
      </c>
      <c r="M403">
        <f>VLOOKUP('Combined table'!B403,products!$A$1:$G$49,7,FALSE)</f>
        <v>0.56745000000000001</v>
      </c>
      <c r="N403" t="str">
        <f>TEXT(A403,"mmm yyyy")</f>
        <v>May 2019</v>
      </c>
      <c r="O403">
        <f t="shared" si="6"/>
        <v>8.73</v>
      </c>
    </row>
    <row r="404" spans="1:15" x14ac:dyDescent="0.25">
      <c r="A404" s="3">
        <v>43502</v>
      </c>
      <c r="B404" t="s">
        <v>6177</v>
      </c>
      <c r="C404" s="2">
        <v>3</v>
      </c>
      <c r="D404" s="2" t="s">
        <v>2759</v>
      </c>
      <c r="E404" s="2" t="s">
        <v>48</v>
      </c>
      <c r="F404" s="2" t="s">
        <v>19</v>
      </c>
      <c r="G404" t="s">
        <v>6190</v>
      </c>
      <c r="H404" t="str">
        <f>VLOOKUP('Combined table'!B404,products!$A$1:$G$49,2,FALSE)</f>
        <v>Rob</v>
      </c>
      <c r="I404" t="str">
        <f>VLOOKUP('Combined table'!B404,products!$A$1:$G$49,3,FALSE)</f>
        <v>D</v>
      </c>
      <c r="J404">
        <f>VLOOKUP('Combined table'!B404,products!$A$1:$G$49,4,FALSE)</f>
        <v>1</v>
      </c>
      <c r="K404">
        <f>VLOOKUP('Combined table'!B404,products!$A$1:$G$49,5,FALSE)</f>
        <v>8.9499999999999993</v>
      </c>
      <c r="L404">
        <f>VLOOKUP('Combined table'!B404,products!$A$1:$G$49,6,FALSE)</f>
        <v>0.89499999999999991</v>
      </c>
      <c r="M404">
        <f>VLOOKUP('Combined table'!B404,products!$A$1:$G$49,7,FALSE)</f>
        <v>0.53699999999999992</v>
      </c>
      <c r="N404" t="str">
        <f>TEXT(A404,"mmm yyyy")</f>
        <v>Feb 2019</v>
      </c>
      <c r="O404">
        <f t="shared" si="6"/>
        <v>26.849999999999998</v>
      </c>
    </row>
    <row r="405" spans="1:15" x14ac:dyDescent="0.25">
      <c r="A405" s="3">
        <v>44295</v>
      </c>
      <c r="B405" t="s">
        <v>6145</v>
      </c>
      <c r="C405" s="2">
        <v>2</v>
      </c>
      <c r="D405" s="2" t="s">
        <v>2765</v>
      </c>
      <c r="E405" s="2" t="s">
        <v>52</v>
      </c>
      <c r="F405" s="2" t="s">
        <v>19</v>
      </c>
      <c r="G405" t="s">
        <v>6191</v>
      </c>
      <c r="H405" t="str">
        <f>VLOOKUP('Combined table'!B405,products!$A$1:$G$49,2,FALSE)</f>
        <v>Lib</v>
      </c>
      <c r="I405" t="str">
        <f>VLOOKUP('Combined table'!B405,products!$A$1:$G$49,3,FALSE)</f>
        <v>L</v>
      </c>
      <c r="J405">
        <f>VLOOKUP('Combined table'!B405,products!$A$1:$G$49,4,FALSE)</f>
        <v>0.2</v>
      </c>
      <c r="K405">
        <f>VLOOKUP('Combined table'!B405,products!$A$1:$G$49,5,FALSE)</f>
        <v>4.7549999999999999</v>
      </c>
      <c r="L405">
        <f>VLOOKUP('Combined table'!B405,products!$A$1:$G$49,6,FALSE)</f>
        <v>2.3774999999999999</v>
      </c>
      <c r="M405">
        <f>VLOOKUP('Combined table'!B405,products!$A$1:$G$49,7,FALSE)</f>
        <v>0.61814999999999998</v>
      </c>
      <c r="N405" t="str">
        <f>TEXT(A405,"mmm yyyy")</f>
        <v>Apr 2021</v>
      </c>
      <c r="O405">
        <f t="shared" si="6"/>
        <v>9.51</v>
      </c>
    </row>
    <row r="406" spans="1:15" x14ac:dyDescent="0.25">
      <c r="A406" s="3">
        <v>43971</v>
      </c>
      <c r="B406" t="s">
        <v>6147</v>
      </c>
      <c r="C406" s="2">
        <v>4</v>
      </c>
      <c r="D406" s="2" t="s">
        <v>2771</v>
      </c>
      <c r="E406" s="2" t="s">
        <v>469</v>
      </c>
      <c r="F406" s="2" t="s">
        <v>318</v>
      </c>
      <c r="G406" t="s">
        <v>6191</v>
      </c>
      <c r="H406" t="str">
        <f>VLOOKUP('Combined table'!B406,products!$A$1:$G$49,2,FALSE)</f>
        <v>Ara</v>
      </c>
      <c r="I406" t="str">
        <f>VLOOKUP('Combined table'!B406,products!$A$1:$G$49,3,FALSE)</f>
        <v>D</v>
      </c>
      <c r="J406">
        <f>VLOOKUP('Combined table'!B406,products!$A$1:$G$49,4,FALSE)</f>
        <v>1</v>
      </c>
      <c r="K406">
        <f>VLOOKUP('Combined table'!B406,products!$A$1:$G$49,5,FALSE)</f>
        <v>9.9499999999999993</v>
      </c>
      <c r="L406">
        <f>VLOOKUP('Combined table'!B406,products!$A$1:$G$49,6,FALSE)</f>
        <v>0.99499999999999988</v>
      </c>
      <c r="M406">
        <f>VLOOKUP('Combined table'!B406,products!$A$1:$G$49,7,FALSE)</f>
        <v>0.89549999999999985</v>
      </c>
      <c r="N406" t="str">
        <f>TEXT(A406,"mmm yyyy")</f>
        <v>May 2020</v>
      </c>
      <c r="O406">
        <f t="shared" si="6"/>
        <v>39.799999999999997</v>
      </c>
    </row>
    <row r="407" spans="1:15" x14ac:dyDescent="0.25">
      <c r="A407" s="3">
        <v>44167</v>
      </c>
      <c r="B407" t="s">
        <v>6139</v>
      </c>
      <c r="C407" s="2">
        <v>3</v>
      </c>
      <c r="D407" s="2" t="s">
        <v>2777</v>
      </c>
      <c r="E407" s="2" t="s">
        <v>237</v>
      </c>
      <c r="F407" s="2" t="s">
        <v>19</v>
      </c>
      <c r="G407" t="s">
        <v>6190</v>
      </c>
      <c r="H407" t="str">
        <f>VLOOKUP('Combined table'!B407,products!$A$1:$G$49,2,FALSE)</f>
        <v>Exc</v>
      </c>
      <c r="I407" t="str">
        <f>VLOOKUP('Combined table'!B407,products!$A$1:$G$49,3,FALSE)</f>
        <v>M</v>
      </c>
      <c r="J407">
        <f>VLOOKUP('Combined table'!B407,products!$A$1:$G$49,4,FALSE)</f>
        <v>0.5</v>
      </c>
      <c r="K407">
        <f>VLOOKUP('Combined table'!B407,products!$A$1:$G$49,5,FALSE)</f>
        <v>8.25</v>
      </c>
      <c r="L407">
        <f>VLOOKUP('Combined table'!B407,products!$A$1:$G$49,6,FALSE)</f>
        <v>1.65</v>
      </c>
      <c r="M407">
        <f>VLOOKUP('Combined table'!B407,products!$A$1:$G$49,7,FALSE)</f>
        <v>0.90749999999999997</v>
      </c>
      <c r="N407" t="str">
        <f>TEXT(A407,"mmm yyyy")</f>
        <v>Dec 2020</v>
      </c>
      <c r="O407">
        <f t="shared" si="6"/>
        <v>24.75</v>
      </c>
    </row>
    <row r="408" spans="1:15" x14ac:dyDescent="0.25">
      <c r="A408" s="3">
        <v>44416</v>
      </c>
      <c r="B408" t="s">
        <v>6141</v>
      </c>
      <c r="C408" s="2">
        <v>5</v>
      </c>
      <c r="D408" s="2" t="s">
        <v>2783</v>
      </c>
      <c r="E408" s="2" t="s">
        <v>88</v>
      </c>
      <c r="F408" s="2" t="s">
        <v>19</v>
      </c>
      <c r="G408" t="s">
        <v>6190</v>
      </c>
      <c r="H408" t="str">
        <f>VLOOKUP('Combined table'!B408,products!$A$1:$G$49,2,FALSE)</f>
        <v>Exc</v>
      </c>
      <c r="I408" t="str">
        <f>VLOOKUP('Combined table'!B408,products!$A$1:$G$49,3,FALSE)</f>
        <v>M</v>
      </c>
      <c r="J408">
        <f>VLOOKUP('Combined table'!B408,products!$A$1:$G$49,4,FALSE)</f>
        <v>1</v>
      </c>
      <c r="K408">
        <f>VLOOKUP('Combined table'!B408,products!$A$1:$G$49,5,FALSE)</f>
        <v>13.75</v>
      </c>
      <c r="L408">
        <f>VLOOKUP('Combined table'!B408,products!$A$1:$G$49,6,FALSE)</f>
        <v>1.375</v>
      </c>
      <c r="M408">
        <f>VLOOKUP('Combined table'!B408,products!$A$1:$G$49,7,FALSE)</f>
        <v>1.5125</v>
      </c>
      <c r="N408" t="str">
        <f>TEXT(A408,"mmm yyyy")</f>
        <v>Aug 2021</v>
      </c>
      <c r="O408">
        <f t="shared" si="6"/>
        <v>68.75</v>
      </c>
    </row>
    <row r="409" spans="1:15" x14ac:dyDescent="0.25">
      <c r="A409" s="3">
        <v>44595</v>
      </c>
      <c r="B409" t="s">
        <v>6139</v>
      </c>
      <c r="C409" s="2">
        <v>6</v>
      </c>
      <c r="D409" s="2" t="s">
        <v>2789</v>
      </c>
      <c r="E409" s="2" t="s">
        <v>373</v>
      </c>
      <c r="F409" s="2" t="s">
        <v>318</v>
      </c>
      <c r="G409" t="s">
        <v>6191</v>
      </c>
      <c r="H409" t="str">
        <f>VLOOKUP('Combined table'!B409,products!$A$1:$G$49,2,FALSE)</f>
        <v>Exc</v>
      </c>
      <c r="I409" t="str">
        <f>VLOOKUP('Combined table'!B409,products!$A$1:$G$49,3,FALSE)</f>
        <v>M</v>
      </c>
      <c r="J409">
        <f>VLOOKUP('Combined table'!B409,products!$A$1:$G$49,4,FALSE)</f>
        <v>0.5</v>
      </c>
      <c r="K409">
        <f>VLOOKUP('Combined table'!B409,products!$A$1:$G$49,5,FALSE)</f>
        <v>8.25</v>
      </c>
      <c r="L409">
        <f>VLOOKUP('Combined table'!B409,products!$A$1:$G$49,6,FALSE)</f>
        <v>1.65</v>
      </c>
      <c r="M409">
        <f>VLOOKUP('Combined table'!B409,products!$A$1:$G$49,7,FALSE)</f>
        <v>0.90749999999999997</v>
      </c>
      <c r="N409" t="str">
        <f>TEXT(A409,"mmm yyyy")</f>
        <v>Feb 2022</v>
      </c>
      <c r="O409">
        <f t="shared" si="6"/>
        <v>49.5</v>
      </c>
    </row>
    <row r="410" spans="1:15" x14ac:dyDescent="0.25">
      <c r="A410" s="3">
        <v>44659</v>
      </c>
      <c r="B410" t="s">
        <v>6175</v>
      </c>
      <c r="C410" s="2">
        <v>2</v>
      </c>
      <c r="D410" s="2" t="s">
        <v>2794</v>
      </c>
      <c r="E410" s="2" t="s">
        <v>304</v>
      </c>
      <c r="F410" s="2" t="s">
        <v>19</v>
      </c>
      <c r="G410" t="s">
        <v>6190</v>
      </c>
      <c r="H410" t="str">
        <f>VLOOKUP('Combined table'!B410,products!$A$1:$G$49,2,FALSE)</f>
        <v>Ara</v>
      </c>
      <c r="I410" t="str">
        <f>VLOOKUP('Combined table'!B410,products!$A$1:$G$49,3,FALSE)</f>
        <v>M</v>
      </c>
      <c r="J410">
        <f>VLOOKUP('Combined table'!B410,products!$A$1:$G$49,4,FALSE)</f>
        <v>2.5</v>
      </c>
      <c r="K410">
        <f>VLOOKUP('Combined table'!B410,products!$A$1:$G$49,5,FALSE)</f>
        <v>25.874999999999996</v>
      </c>
      <c r="L410">
        <f>VLOOKUP('Combined table'!B410,products!$A$1:$G$49,6,FALSE)</f>
        <v>1.0349999999999999</v>
      </c>
      <c r="M410">
        <f>VLOOKUP('Combined table'!B410,products!$A$1:$G$49,7,FALSE)</f>
        <v>2.3287499999999994</v>
      </c>
      <c r="N410" t="str">
        <f>TEXT(A410,"mmm yyyy")</f>
        <v>Apr 2022</v>
      </c>
      <c r="O410">
        <f t="shared" si="6"/>
        <v>51.749999999999993</v>
      </c>
    </row>
    <row r="411" spans="1:15" x14ac:dyDescent="0.25">
      <c r="A411" s="3">
        <v>44203</v>
      </c>
      <c r="B411" t="s">
        <v>6170</v>
      </c>
      <c r="C411" s="2">
        <v>3</v>
      </c>
      <c r="D411" s="2" t="s">
        <v>2800</v>
      </c>
      <c r="E411" s="2" t="s">
        <v>486</v>
      </c>
      <c r="F411" s="2" t="s">
        <v>318</v>
      </c>
      <c r="G411" t="s">
        <v>6190</v>
      </c>
      <c r="H411" t="str">
        <f>VLOOKUP('Combined table'!B411,products!$A$1:$G$49,2,FALSE)</f>
        <v>Lib</v>
      </c>
      <c r="I411" t="str">
        <f>VLOOKUP('Combined table'!B411,products!$A$1:$G$49,3,FALSE)</f>
        <v>L</v>
      </c>
      <c r="J411">
        <f>VLOOKUP('Combined table'!B411,products!$A$1:$G$49,4,FALSE)</f>
        <v>1</v>
      </c>
      <c r="K411">
        <f>VLOOKUP('Combined table'!B411,products!$A$1:$G$49,5,FALSE)</f>
        <v>15.85</v>
      </c>
      <c r="L411">
        <f>VLOOKUP('Combined table'!B411,products!$A$1:$G$49,6,FALSE)</f>
        <v>1.585</v>
      </c>
      <c r="M411">
        <f>VLOOKUP('Combined table'!B411,products!$A$1:$G$49,7,FALSE)</f>
        <v>2.0605000000000002</v>
      </c>
      <c r="N411" t="str">
        <f>TEXT(A411,"mmm yyyy")</f>
        <v>Jan 2021</v>
      </c>
      <c r="O411">
        <f t="shared" si="6"/>
        <v>47.55</v>
      </c>
    </row>
    <row r="412" spans="1:15" x14ac:dyDescent="0.25">
      <c r="A412" s="3">
        <v>44441</v>
      </c>
      <c r="B412" t="s">
        <v>6167</v>
      </c>
      <c r="C412" s="2">
        <v>4</v>
      </c>
      <c r="D412" s="2" t="s">
        <v>2805</v>
      </c>
      <c r="E412" s="2" t="s">
        <v>150</v>
      </c>
      <c r="F412" s="2" t="s">
        <v>19</v>
      </c>
      <c r="G412" t="s">
        <v>6191</v>
      </c>
      <c r="H412" t="str">
        <f>VLOOKUP('Combined table'!B412,products!$A$1:$G$49,2,FALSE)</f>
        <v>Ara</v>
      </c>
      <c r="I412" t="str">
        <f>VLOOKUP('Combined table'!B412,products!$A$1:$G$49,3,FALSE)</f>
        <v>L</v>
      </c>
      <c r="J412">
        <f>VLOOKUP('Combined table'!B412,products!$A$1:$G$49,4,FALSE)</f>
        <v>0.2</v>
      </c>
      <c r="K412">
        <f>VLOOKUP('Combined table'!B412,products!$A$1:$G$49,5,FALSE)</f>
        <v>3.8849999999999998</v>
      </c>
      <c r="L412">
        <f>VLOOKUP('Combined table'!B412,products!$A$1:$G$49,6,FALSE)</f>
        <v>1.9424999999999999</v>
      </c>
      <c r="M412">
        <f>VLOOKUP('Combined table'!B412,products!$A$1:$G$49,7,FALSE)</f>
        <v>0.34964999999999996</v>
      </c>
      <c r="N412" t="str">
        <f>TEXT(A412,"mmm yyyy")</f>
        <v>Sep 2021</v>
      </c>
      <c r="O412">
        <f t="shared" si="6"/>
        <v>15.54</v>
      </c>
    </row>
    <row r="413" spans="1:15" x14ac:dyDescent="0.25">
      <c r="A413" s="3">
        <v>44504</v>
      </c>
      <c r="B413" t="s">
        <v>6162</v>
      </c>
      <c r="C413" s="2">
        <v>6</v>
      </c>
      <c r="D413" s="2" t="s">
        <v>2810</v>
      </c>
      <c r="E413" s="2" t="s">
        <v>292</v>
      </c>
      <c r="F413" s="2" t="s">
        <v>19</v>
      </c>
      <c r="G413" t="s">
        <v>6190</v>
      </c>
      <c r="H413" t="str">
        <f>VLOOKUP('Combined table'!B413,products!$A$1:$G$49,2,FALSE)</f>
        <v>Lib</v>
      </c>
      <c r="I413" t="str">
        <f>VLOOKUP('Combined table'!B413,products!$A$1:$G$49,3,FALSE)</f>
        <v>M</v>
      </c>
      <c r="J413">
        <f>VLOOKUP('Combined table'!B413,products!$A$1:$G$49,4,FALSE)</f>
        <v>1</v>
      </c>
      <c r="K413">
        <f>VLOOKUP('Combined table'!B413,products!$A$1:$G$49,5,FALSE)</f>
        <v>14.55</v>
      </c>
      <c r="L413">
        <f>VLOOKUP('Combined table'!B413,products!$A$1:$G$49,6,FALSE)</f>
        <v>1.4550000000000001</v>
      </c>
      <c r="M413">
        <f>VLOOKUP('Combined table'!B413,products!$A$1:$G$49,7,FALSE)</f>
        <v>1.8915000000000002</v>
      </c>
      <c r="N413" t="str">
        <f>TEXT(A413,"mmm yyyy")</f>
        <v>Nov 2021</v>
      </c>
      <c r="O413">
        <f t="shared" si="6"/>
        <v>87.300000000000011</v>
      </c>
    </row>
    <row r="414" spans="1:15" x14ac:dyDescent="0.25">
      <c r="A414" s="3">
        <v>44410</v>
      </c>
      <c r="B414" t="s">
        <v>6155</v>
      </c>
      <c r="C414" s="2">
        <v>5</v>
      </c>
      <c r="D414" s="2" t="s">
        <v>2815</v>
      </c>
      <c r="E414" s="2" t="s">
        <v>58</v>
      </c>
      <c r="F414" s="2" t="s">
        <v>19</v>
      </c>
      <c r="G414" t="s">
        <v>6190</v>
      </c>
      <c r="H414" t="str">
        <f>VLOOKUP('Combined table'!B414,products!$A$1:$G$49,2,FALSE)</f>
        <v>Ara</v>
      </c>
      <c r="I414" t="str">
        <f>VLOOKUP('Combined table'!B414,products!$A$1:$G$49,3,FALSE)</f>
        <v>M</v>
      </c>
      <c r="J414">
        <f>VLOOKUP('Combined table'!B414,products!$A$1:$G$49,4,FALSE)</f>
        <v>1</v>
      </c>
      <c r="K414">
        <f>VLOOKUP('Combined table'!B414,products!$A$1:$G$49,5,FALSE)</f>
        <v>11.25</v>
      </c>
      <c r="L414">
        <f>VLOOKUP('Combined table'!B414,products!$A$1:$G$49,6,FALSE)</f>
        <v>1.125</v>
      </c>
      <c r="M414">
        <f>VLOOKUP('Combined table'!B414,products!$A$1:$G$49,7,FALSE)</f>
        <v>1.0125</v>
      </c>
      <c r="N414" t="str">
        <f>TEXT(A414,"mmm yyyy")</f>
        <v>Aug 2021</v>
      </c>
      <c r="O414">
        <f t="shared" si="6"/>
        <v>56.25</v>
      </c>
    </row>
    <row r="415" spans="1:15" x14ac:dyDescent="0.25">
      <c r="A415" s="3">
        <v>43857</v>
      </c>
      <c r="B415" t="s">
        <v>6164</v>
      </c>
      <c r="C415" s="2">
        <v>1</v>
      </c>
      <c r="D415" s="2" t="s">
        <v>2820</v>
      </c>
      <c r="E415" s="2" t="s">
        <v>109</v>
      </c>
      <c r="F415" s="2" t="s">
        <v>19</v>
      </c>
      <c r="G415" t="s">
        <v>6190</v>
      </c>
      <c r="H415" t="str">
        <f>VLOOKUP('Combined table'!B415,products!$A$1:$G$49,2,FALSE)</f>
        <v>Lib</v>
      </c>
      <c r="I415" t="str">
        <f>VLOOKUP('Combined table'!B415,products!$A$1:$G$49,3,FALSE)</f>
        <v>L</v>
      </c>
      <c r="J415">
        <f>VLOOKUP('Combined table'!B415,products!$A$1:$G$49,4,FALSE)</f>
        <v>2.5</v>
      </c>
      <c r="K415">
        <f>VLOOKUP('Combined table'!B415,products!$A$1:$G$49,5,FALSE)</f>
        <v>36.454999999999998</v>
      </c>
      <c r="L415">
        <f>VLOOKUP('Combined table'!B415,products!$A$1:$G$49,6,FALSE)</f>
        <v>1.4581999999999999</v>
      </c>
      <c r="M415">
        <f>VLOOKUP('Combined table'!B415,products!$A$1:$G$49,7,FALSE)</f>
        <v>4.7391499999999995</v>
      </c>
      <c r="N415" t="str">
        <f>TEXT(A415,"mmm yyyy")</f>
        <v>Jan 2020</v>
      </c>
      <c r="O415">
        <f t="shared" si="6"/>
        <v>36.454999999999998</v>
      </c>
    </row>
    <row r="416" spans="1:15" x14ac:dyDescent="0.25">
      <c r="A416" s="3">
        <v>43802</v>
      </c>
      <c r="B416" t="s">
        <v>6178</v>
      </c>
      <c r="C416" s="2">
        <v>3</v>
      </c>
      <c r="D416" s="2" t="s">
        <v>2826</v>
      </c>
      <c r="E416" s="2" t="s">
        <v>185</v>
      </c>
      <c r="F416" s="2" t="s">
        <v>19</v>
      </c>
      <c r="G416" t="s">
        <v>6190</v>
      </c>
      <c r="H416" t="str">
        <f>VLOOKUP('Combined table'!B416,products!$A$1:$G$49,2,FALSE)</f>
        <v>Rob</v>
      </c>
      <c r="I416" t="str">
        <f>VLOOKUP('Combined table'!B416,products!$A$1:$G$49,3,FALSE)</f>
        <v>L</v>
      </c>
      <c r="J416">
        <f>VLOOKUP('Combined table'!B416,products!$A$1:$G$49,4,FALSE)</f>
        <v>0.2</v>
      </c>
      <c r="K416">
        <f>VLOOKUP('Combined table'!B416,products!$A$1:$G$49,5,FALSE)</f>
        <v>3.5849999999999995</v>
      </c>
      <c r="L416">
        <f>VLOOKUP('Combined table'!B416,products!$A$1:$G$49,6,FALSE)</f>
        <v>1.7924999999999998</v>
      </c>
      <c r="M416">
        <f>VLOOKUP('Combined table'!B416,products!$A$1:$G$49,7,FALSE)</f>
        <v>0.21509999999999996</v>
      </c>
      <c r="N416" t="str">
        <f>TEXT(A416,"mmm yyyy")</f>
        <v>Dec 2019</v>
      </c>
      <c r="O416">
        <f t="shared" si="6"/>
        <v>10.754999999999999</v>
      </c>
    </row>
    <row r="417" spans="1:15" x14ac:dyDescent="0.25">
      <c r="A417" s="3">
        <v>43683</v>
      </c>
      <c r="B417" t="s">
        <v>6174</v>
      </c>
      <c r="C417" s="2">
        <v>3</v>
      </c>
      <c r="D417" s="2" t="s">
        <v>2831</v>
      </c>
      <c r="E417" s="2" t="s">
        <v>292</v>
      </c>
      <c r="F417" s="2" t="s">
        <v>19</v>
      </c>
      <c r="G417" t="s">
        <v>6191</v>
      </c>
      <c r="H417" t="str">
        <f>VLOOKUP('Combined table'!B417,products!$A$1:$G$49,2,FALSE)</f>
        <v>Rob</v>
      </c>
      <c r="I417" t="str">
        <f>VLOOKUP('Combined table'!B417,products!$A$1:$G$49,3,FALSE)</f>
        <v>M</v>
      </c>
      <c r="J417">
        <f>VLOOKUP('Combined table'!B417,products!$A$1:$G$49,4,FALSE)</f>
        <v>0.2</v>
      </c>
      <c r="K417">
        <f>VLOOKUP('Combined table'!B417,products!$A$1:$G$49,5,FALSE)</f>
        <v>2.9849999999999999</v>
      </c>
      <c r="L417">
        <f>VLOOKUP('Combined table'!B417,products!$A$1:$G$49,6,FALSE)</f>
        <v>1.4924999999999999</v>
      </c>
      <c r="M417">
        <f>VLOOKUP('Combined table'!B417,products!$A$1:$G$49,7,FALSE)</f>
        <v>0.17909999999999998</v>
      </c>
      <c r="N417" t="str">
        <f>TEXT(A417,"mmm yyyy")</f>
        <v>Aug 2019</v>
      </c>
      <c r="O417">
        <f t="shared" si="6"/>
        <v>8.9550000000000001</v>
      </c>
    </row>
    <row r="418" spans="1:15" x14ac:dyDescent="0.25">
      <c r="A418" s="3">
        <v>43901</v>
      </c>
      <c r="B418" t="s">
        <v>6180</v>
      </c>
      <c r="C418" s="2">
        <v>3</v>
      </c>
      <c r="D418" s="2" t="s">
        <v>2836</v>
      </c>
      <c r="E418" s="2" t="s">
        <v>203</v>
      </c>
      <c r="F418" s="2" t="s">
        <v>19</v>
      </c>
      <c r="G418" t="s">
        <v>6190</v>
      </c>
      <c r="H418" t="str">
        <f>VLOOKUP('Combined table'!B418,products!$A$1:$G$49,2,FALSE)</f>
        <v>Ara</v>
      </c>
      <c r="I418" t="str">
        <f>VLOOKUP('Combined table'!B418,products!$A$1:$G$49,3,FALSE)</f>
        <v>L</v>
      </c>
      <c r="J418">
        <f>VLOOKUP('Combined table'!B418,products!$A$1:$G$49,4,FALSE)</f>
        <v>0.5</v>
      </c>
      <c r="K418">
        <f>VLOOKUP('Combined table'!B418,products!$A$1:$G$49,5,FALSE)</f>
        <v>7.77</v>
      </c>
      <c r="L418">
        <f>VLOOKUP('Combined table'!B418,products!$A$1:$G$49,6,FALSE)</f>
        <v>1.5539999999999998</v>
      </c>
      <c r="M418">
        <f>VLOOKUP('Combined table'!B418,products!$A$1:$G$49,7,FALSE)</f>
        <v>0.69929999999999992</v>
      </c>
      <c r="N418" t="str">
        <f>TEXT(A418,"mmm yyyy")</f>
        <v>Mar 2020</v>
      </c>
      <c r="O418">
        <f t="shared" si="6"/>
        <v>23.31</v>
      </c>
    </row>
    <row r="419" spans="1:15" x14ac:dyDescent="0.25">
      <c r="A419" s="3">
        <v>44457</v>
      </c>
      <c r="B419" t="s">
        <v>6182</v>
      </c>
      <c r="C419" s="2">
        <v>1</v>
      </c>
      <c r="D419" s="2" t="s">
        <v>2841</v>
      </c>
      <c r="E419" s="2" t="s">
        <v>184</v>
      </c>
      <c r="F419" s="2" t="s">
        <v>19</v>
      </c>
      <c r="G419" t="s">
        <v>6190</v>
      </c>
      <c r="H419" t="str">
        <f>VLOOKUP('Combined table'!B419,products!$A$1:$G$49,2,FALSE)</f>
        <v>Ara</v>
      </c>
      <c r="I419" t="str">
        <f>VLOOKUP('Combined table'!B419,products!$A$1:$G$49,3,FALSE)</f>
        <v>L</v>
      </c>
      <c r="J419">
        <f>VLOOKUP('Combined table'!B419,products!$A$1:$G$49,4,FALSE)</f>
        <v>2.5</v>
      </c>
      <c r="K419">
        <f>VLOOKUP('Combined table'!B419,products!$A$1:$G$49,5,FALSE)</f>
        <v>29.784999999999997</v>
      </c>
      <c r="L419">
        <f>VLOOKUP('Combined table'!B419,products!$A$1:$G$49,6,FALSE)</f>
        <v>1.1913999999999998</v>
      </c>
      <c r="M419">
        <f>VLOOKUP('Combined table'!B419,products!$A$1:$G$49,7,FALSE)</f>
        <v>2.6806499999999995</v>
      </c>
      <c r="N419" t="str">
        <f>TEXT(A419,"mmm yyyy")</f>
        <v>Sep 2021</v>
      </c>
      <c r="O419">
        <f t="shared" si="6"/>
        <v>29.784999999999997</v>
      </c>
    </row>
    <row r="420" spans="1:15" x14ac:dyDescent="0.25">
      <c r="A420" s="3">
        <v>44142</v>
      </c>
      <c r="B420" t="s">
        <v>6182</v>
      </c>
      <c r="C420" s="2">
        <v>5</v>
      </c>
      <c r="D420" s="2" t="s">
        <v>2846</v>
      </c>
      <c r="E420" s="2" t="s">
        <v>131</v>
      </c>
      <c r="F420" s="2" t="s">
        <v>19</v>
      </c>
      <c r="G420" t="s">
        <v>6190</v>
      </c>
      <c r="H420" t="str">
        <f>VLOOKUP('Combined table'!B420,products!$A$1:$G$49,2,FALSE)</f>
        <v>Ara</v>
      </c>
      <c r="I420" t="str">
        <f>VLOOKUP('Combined table'!B420,products!$A$1:$G$49,3,FALSE)</f>
        <v>L</v>
      </c>
      <c r="J420">
        <f>VLOOKUP('Combined table'!B420,products!$A$1:$G$49,4,FALSE)</f>
        <v>2.5</v>
      </c>
      <c r="K420">
        <f>VLOOKUP('Combined table'!B420,products!$A$1:$G$49,5,FALSE)</f>
        <v>29.784999999999997</v>
      </c>
      <c r="L420">
        <f>VLOOKUP('Combined table'!B420,products!$A$1:$G$49,6,FALSE)</f>
        <v>1.1913999999999998</v>
      </c>
      <c r="M420">
        <f>VLOOKUP('Combined table'!B420,products!$A$1:$G$49,7,FALSE)</f>
        <v>2.6806499999999995</v>
      </c>
      <c r="N420" t="str">
        <f>TEXT(A420,"mmm yyyy")</f>
        <v>Nov 2020</v>
      </c>
      <c r="O420">
        <f t="shared" si="6"/>
        <v>148.92499999999998</v>
      </c>
    </row>
    <row r="421" spans="1:15" x14ac:dyDescent="0.25">
      <c r="A421" s="3">
        <v>44739</v>
      </c>
      <c r="B421" t="s">
        <v>6160</v>
      </c>
      <c r="C421" s="2">
        <v>1</v>
      </c>
      <c r="D421" s="2" t="s">
        <v>2851</v>
      </c>
      <c r="E421" s="2" t="s">
        <v>236</v>
      </c>
      <c r="F421" s="2" t="s">
        <v>19</v>
      </c>
      <c r="G421" t="s">
        <v>6190</v>
      </c>
      <c r="H421" t="str">
        <f>VLOOKUP('Combined table'!B421,products!$A$1:$G$49,2,FALSE)</f>
        <v>Lib</v>
      </c>
      <c r="I421" t="str">
        <f>VLOOKUP('Combined table'!B421,products!$A$1:$G$49,3,FALSE)</f>
        <v>M</v>
      </c>
      <c r="J421">
        <f>VLOOKUP('Combined table'!B421,products!$A$1:$G$49,4,FALSE)</f>
        <v>0.5</v>
      </c>
      <c r="K421">
        <f>VLOOKUP('Combined table'!B421,products!$A$1:$G$49,5,FALSE)</f>
        <v>8.73</v>
      </c>
      <c r="L421">
        <f>VLOOKUP('Combined table'!B421,products!$A$1:$G$49,6,FALSE)</f>
        <v>1.746</v>
      </c>
      <c r="M421">
        <f>VLOOKUP('Combined table'!B421,products!$A$1:$G$49,7,FALSE)</f>
        <v>1.1349</v>
      </c>
      <c r="N421" t="str">
        <f>TEXT(A421,"mmm yyyy")</f>
        <v>Jun 2022</v>
      </c>
      <c r="O421">
        <f t="shared" si="6"/>
        <v>8.73</v>
      </c>
    </row>
    <row r="422" spans="1:15" x14ac:dyDescent="0.25">
      <c r="A422" s="3">
        <v>43866</v>
      </c>
      <c r="B422" t="s">
        <v>6169</v>
      </c>
      <c r="C422" s="2">
        <v>4</v>
      </c>
      <c r="D422" s="2" t="s">
        <v>2857</v>
      </c>
      <c r="E422" s="2" t="s">
        <v>172</v>
      </c>
      <c r="F422" s="2" t="s">
        <v>19</v>
      </c>
      <c r="G422" t="s">
        <v>6191</v>
      </c>
      <c r="H422" t="str">
        <f>VLOOKUP('Combined table'!B422,products!$A$1:$G$49,2,FALSE)</f>
        <v>Lib</v>
      </c>
      <c r="I422" t="str">
        <f>VLOOKUP('Combined table'!B422,products!$A$1:$G$49,3,FALSE)</f>
        <v>D</v>
      </c>
      <c r="J422">
        <f>VLOOKUP('Combined table'!B422,products!$A$1:$G$49,4,FALSE)</f>
        <v>0.5</v>
      </c>
      <c r="K422">
        <f>VLOOKUP('Combined table'!B422,products!$A$1:$G$49,5,FALSE)</f>
        <v>7.77</v>
      </c>
      <c r="L422">
        <f>VLOOKUP('Combined table'!B422,products!$A$1:$G$49,6,FALSE)</f>
        <v>1.5539999999999998</v>
      </c>
      <c r="M422">
        <f>VLOOKUP('Combined table'!B422,products!$A$1:$G$49,7,FALSE)</f>
        <v>1.0101</v>
      </c>
      <c r="N422" t="str">
        <f>TEXT(A422,"mmm yyyy")</f>
        <v>Feb 2020</v>
      </c>
      <c r="O422">
        <f t="shared" si="6"/>
        <v>31.08</v>
      </c>
    </row>
    <row r="423" spans="1:15" x14ac:dyDescent="0.25">
      <c r="A423" s="3">
        <v>43866</v>
      </c>
      <c r="B423" t="s">
        <v>6168</v>
      </c>
      <c r="C423" s="2">
        <v>6</v>
      </c>
      <c r="D423" s="2" t="s">
        <v>2862</v>
      </c>
      <c r="E423" s="2" t="s">
        <v>69</v>
      </c>
      <c r="F423" s="2" t="s">
        <v>19</v>
      </c>
      <c r="G423" t="s">
        <v>6190</v>
      </c>
      <c r="H423" t="str">
        <f>VLOOKUP('Combined table'!B423,products!$A$1:$G$49,2,FALSE)</f>
        <v>Ara</v>
      </c>
      <c r="I423" t="str">
        <f>VLOOKUP('Combined table'!B423,products!$A$1:$G$49,3,FALSE)</f>
        <v>D</v>
      </c>
      <c r="J423">
        <f>VLOOKUP('Combined table'!B423,products!$A$1:$G$49,4,FALSE)</f>
        <v>2.5</v>
      </c>
      <c r="K423">
        <f>VLOOKUP('Combined table'!B423,products!$A$1:$G$49,5,FALSE)</f>
        <v>22.884999999999998</v>
      </c>
      <c r="L423">
        <f>VLOOKUP('Combined table'!B423,products!$A$1:$G$49,6,FALSE)</f>
        <v>0.91539999999999988</v>
      </c>
      <c r="M423">
        <f>VLOOKUP('Combined table'!B423,products!$A$1:$G$49,7,FALSE)</f>
        <v>2.0596499999999995</v>
      </c>
      <c r="N423" t="str">
        <f>TEXT(A423,"mmm yyyy")</f>
        <v>Feb 2020</v>
      </c>
      <c r="O423">
        <f t="shared" si="6"/>
        <v>137.31</v>
      </c>
    </row>
    <row r="424" spans="1:15" x14ac:dyDescent="0.25">
      <c r="A424" s="3">
        <v>43868</v>
      </c>
      <c r="B424" t="s">
        <v>6158</v>
      </c>
      <c r="C424" s="2">
        <v>5</v>
      </c>
      <c r="D424" s="2" t="s">
        <v>2868</v>
      </c>
      <c r="E424" s="2" t="s">
        <v>231</v>
      </c>
      <c r="F424" s="2" t="s">
        <v>19</v>
      </c>
      <c r="G424" t="s">
        <v>6191</v>
      </c>
      <c r="H424" t="str">
        <f>VLOOKUP('Combined table'!B424,products!$A$1:$G$49,2,FALSE)</f>
        <v>Ara</v>
      </c>
      <c r="I424" t="str">
        <f>VLOOKUP('Combined table'!B424,products!$A$1:$G$49,3,FALSE)</f>
        <v>D</v>
      </c>
      <c r="J424">
        <f>VLOOKUP('Combined table'!B424,products!$A$1:$G$49,4,FALSE)</f>
        <v>0.5</v>
      </c>
      <c r="K424">
        <f>VLOOKUP('Combined table'!B424,products!$A$1:$G$49,5,FALSE)</f>
        <v>5.97</v>
      </c>
      <c r="L424">
        <f>VLOOKUP('Combined table'!B424,products!$A$1:$G$49,6,FALSE)</f>
        <v>1.194</v>
      </c>
      <c r="M424">
        <f>VLOOKUP('Combined table'!B424,products!$A$1:$G$49,7,FALSE)</f>
        <v>0.5373</v>
      </c>
      <c r="N424" t="str">
        <f>TEXT(A424,"mmm yyyy")</f>
        <v>Feb 2020</v>
      </c>
      <c r="O424">
        <f t="shared" si="6"/>
        <v>29.849999999999998</v>
      </c>
    </row>
    <row r="425" spans="1:15" x14ac:dyDescent="0.25">
      <c r="A425" s="3">
        <v>44183</v>
      </c>
      <c r="B425" t="s">
        <v>6146</v>
      </c>
      <c r="C425" s="2">
        <v>3</v>
      </c>
      <c r="D425" s="2" t="s">
        <v>2873</v>
      </c>
      <c r="E425" s="2" t="s">
        <v>48</v>
      </c>
      <c r="F425" s="2" t="s">
        <v>19</v>
      </c>
      <c r="G425" t="s">
        <v>6191</v>
      </c>
      <c r="H425" t="str">
        <f>VLOOKUP('Combined table'!B425,products!$A$1:$G$49,2,FALSE)</f>
        <v>Rob</v>
      </c>
      <c r="I425" t="str">
        <f>VLOOKUP('Combined table'!B425,products!$A$1:$G$49,3,FALSE)</f>
        <v>M</v>
      </c>
      <c r="J425">
        <f>VLOOKUP('Combined table'!B425,products!$A$1:$G$49,4,FALSE)</f>
        <v>0.5</v>
      </c>
      <c r="K425">
        <f>VLOOKUP('Combined table'!B425,products!$A$1:$G$49,5,FALSE)</f>
        <v>5.97</v>
      </c>
      <c r="L425">
        <f>VLOOKUP('Combined table'!B425,products!$A$1:$G$49,6,FALSE)</f>
        <v>1.194</v>
      </c>
      <c r="M425">
        <f>VLOOKUP('Combined table'!B425,products!$A$1:$G$49,7,FALSE)</f>
        <v>0.35819999999999996</v>
      </c>
      <c r="N425" t="str">
        <f>TEXT(A425,"mmm yyyy")</f>
        <v>Dec 2020</v>
      </c>
      <c r="O425">
        <f t="shared" si="6"/>
        <v>17.91</v>
      </c>
    </row>
    <row r="426" spans="1:15" x14ac:dyDescent="0.25">
      <c r="A426" s="3">
        <v>44431</v>
      </c>
      <c r="B426" t="s">
        <v>6176</v>
      </c>
      <c r="C426" s="2">
        <v>3</v>
      </c>
      <c r="D426" s="2" t="s">
        <v>2878</v>
      </c>
      <c r="E426" s="2" t="s">
        <v>88</v>
      </c>
      <c r="F426" s="2" t="s">
        <v>19</v>
      </c>
      <c r="G426" t="s">
        <v>6190</v>
      </c>
      <c r="H426" t="str">
        <f>VLOOKUP('Combined table'!B426,products!$A$1:$G$49,2,FALSE)</f>
        <v>Exc</v>
      </c>
      <c r="I426" t="str">
        <f>VLOOKUP('Combined table'!B426,products!$A$1:$G$49,3,FALSE)</f>
        <v>L</v>
      </c>
      <c r="J426">
        <f>VLOOKUP('Combined table'!B426,products!$A$1:$G$49,4,FALSE)</f>
        <v>0.5</v>
      </c>
      <c r="K426">
        <f>VLOOKUP('Combined table'!B426,products!$A$1:$G$49,5,FALSE)</f>
        <v>8.91</v>
      </c>
      <c r="L426">
        <f>VLOOKUP('Combined table'!B426,products!$A$1:$G$49,6,FALSE)</f>
        <v>1.782</v>
      </c>
      <c r="M426">
        <f>VLOOKUP('Combined table'!B426,products!$A$1:$G$49,7,FALSE)</f>
        <v>0.98009999999999997</v>
      </c>
      <c r="N426" t="str">
        <f>TEXT(A426,"mmm yyyy")</f>
        <v>Aug 2021</v>
      </c>
      <c r="O426">
        <f t="shared" si="6"/>
        <v>26.73</v>
      </c>
    </row>
    <row r="427" spans="1:15" x14ac:dyDescent="0.25">
      <c r="A427" s="3">
        <v>44428</v>
      </c>
      <c r="B427" t="s">
        <v>6177</v>
      </c>
      <c r="C427" s="2">
        <v>2</v>
      </c>
      <c r="D427" s="2" t="s">
        <v>2884</v>
      </c>
      <c r="E427" s="2" t="s">
        <v>72</v>
      </c>
      <c r="F427" s="2" t="s">
        <v>19</v>
      </c>
      <c r="G427" t="s">
        <v>6191</v>
      </c>
      <c r="H427" t="str">
        <f>VLOOKUP('Combined table'!B427,products!$A$1:$G$49,2,FALSE)</f>
        <v>Rob</v>
      </c>
      <c r="I427" t="str">
        <f>VLOOKUP('Combined table'!B427,products!$A$1:$G$49,3,FALSE)</f>
        <v>D</v>
      </c>
      <c r="J427">
        <f>VLOOKUP('Combined table'!B427,products!$A$1:$G$49,4,FALSE)</f>
        <v>1</v>
      </c>
      <c r="K427">
        <f>VLOOKUP('Combined table'!B427,products!$A$1:$G$49,5,FALSE)</f>
        <v>8.9499999999999993</v>
      </c>
      <c r="L427">
        <f>VLOOKUP('Combined table'!B427,products!$A$1:$G$49,6,FALSE)</f>
        <v>0.89499999999999991</v>
      </c>
      <c r="M427">
        <f>VLOOKUP('Combined table'!B427,products!$A$1:$G$49,7,FALSE)</f>
        <v>0.53699999999999992</v>
      </c>
      <c r="N427" t="str">
        <f>TEXT(A427,"mmm yyyy")</f>
        <v>Aug 2021</v>
      </c>
      <c r="O427">
        <f t="shared" si="6"/>
        <v>17.899999999999999</v>
      </c>
    </row>
    <row r="428" spans="1:15" x14ac:dyDescent="0.25">
      <c r="A428" s="3">
        <v>43556</v>
      </c>
      <c r="B428" t="s">
        <v>6178</v>
      </c>
      <c r="C428" s="2">
        <v>4</v>
      </c>
      <c r="D428" s="2" t="s">
        <v>2890</v>
      </c>
      <c r="E428" s="2" t="s">
        <v>380</v>
      </c>
      <c r="F428" s="2" t="s">
        <v>318</v>
      </c>
      <c r="G428" t="s">
        <v>6190</v>
      </c>
      <c r="H428" t="str">
        <f>VLOOKUP('Combined table'!B428,products!$A$1:$G$49,2,FALSE)</f>
        <v>Rob</v>
      </c>
      <c r="I428" t="str">
        <f>VLOOKUP('Combined table'!B428,products!$A$1:$G$49,3,FALSE)</f>
        <v>L</v>
      </c>
      <c r="J428">
        <f>VLOOKUP('Combined table'!B428,products!$A$1:$G$49,4,FALSE)</f>
        <v>0.2</v>
      </c>
      <c r="K428">
        <f>VLOOKUP('Combined table'!B428,products!$A$1:$G$49,5,FALSE)</f>
        <v>3.5849999999999995</v>
      </c>
      <c r="L428">
        <f>VLOOKUP('Combined table'!B428,products!$A$1:$G$49,6,FALSE)</f>
        <v>1.7924999999999998</v>
      </c>
      <c r="M428">
        <f>VLOOKUP('Combined table'!B428,products!$A$1:$G$49,7,FALSE)</f>
        <v>0.21509999999999996</v>
      </c>
      <c r="N428" t="str">
        <f>TEXT(A428,"mmm yyyy")</f>
        <v>Apr 2019</v>
      </c>
      <c r="O428">
        <f t="shared" si="6"/>
        <v>14.339999999999998</v>
      </c>
    </row>
    <row r="429" spans="1:15" x14ac:dyDescent="0.25">
      <c r="A429" s="3">
        <v>44224</v>
      </c>
      <c r="B429" t="s">
        <v>6175</v>
      </c>
      <c r="C429" s="2">
        <v>3</v>
      </c>
      <c r="D429" s="2" t="s">
        <v>2896</v>
      </c>
      <c r="E429" s="2" t="s">
        <v>150</v>
      </c>
      <c r="F429" s="2" t="s">
        <v>19</v>
      </c>
      <c r="G429" t="s">
        <v>6190</v>
      </c>
      <c r="H429" t="str">
        <f>VLOOKUP('Combined table'!B429,products!$A$1:$G$49,2,FALSE)</f>
        <v>Ara</v>
      </c>
      <c r="I429" t="str">
        <f>VLOOKUP('Combined table'!B429,products!$A$1:$G$49,3,FALSE)</f>
        <v>M</v>
      </c>
      <c r="J429">
        <f>VLOOKUP('Combined table'!B429,products!$A$1:$G$49,4,FALSE)</f>
        <v>2.5</v>
      </c>
      <c r="K429">
        <f>VLOOKUP('Combined table'!B429,products!$A$1:$G$49,5,FALSE)</f>
        <v>25.874999999999996</v>
      </c>
      <c r="L429">
        <f>VLOOKUP('Combined table'!B429,products!$A$1:$G$49,6,FALSE)</f>
        <v>1.0349999999999999</v>
      </c>
      <c r="M429">
        <f>VLOOKUP('Combined table'!B429,products!$A$1:$G$49,7,FALSE)</f>
        <v>2.3287499999999994</v>
      </c>
      <c r="N429" t="str">
        <f>TEXT(A429,"mmm yyyy")</f>
        <v>Jan 2021</v>
      </c>
      <c r="O429">
        <f t="shared" si="6"/>
        <v>77.624999999999986</v>
      </c>
    </row>
    <row r="430" spans="1:15" x14ac:dyDescent="0.25">
      <c r="A430" s="3">
        <v>43759</v>
      </c>
      <c r="B430" t="s">
        <v>6179</v>
      </c>
      <c r="C430" s="2">
        <v>5</v>
      </c>
      <c r="D430" s="2" t="s">
        <v>2901</v>
      </c>
      <c r="E430" s="2" t="s">
        <v>181</v>
      </c>
      <c r="F430" s="2" t="s">
        <v>19</v>
      </c>
      <c r="G430" t="s">
        <v>6191</v>
      </c>
      <c r="H430" t="str">
        <f>VLOOKUP('Combined table'!B430,products!$A$1:$G$49,2,FALSE)</f>
        <v>Rob</v>
      </c>
      <c r="I430" t="str">
        <f>VLOOKUP('Combined table'!B430,products!$A$1:$G$49,3,FALSE)</f>
        <v>L</v>
      </c>
      <c r="J430">
        <f>VLOOKUP('Combined table'!B430,products!$A$1:$G$49,4,FALSE)</f>
        <v>1</v>
      </c>
      <c r="K430">
        <f>VLOOKUP('Combined table'!B430,products!$A$1:$G$49,5,FALSE)</f>
        <v>11.95</v>
      </c>
      <c r="L430">
        <f>VLOOKUP('Combined table'!B430,products!$A$1:$G$49,6,FALSE)</f>
        <v>1.1949999999999998</v>
      </c>
      <c r="M430">
        <f>VLOOKUP('Combined table'!B430,products!$A$1:$G$49,7,FALSE)</f>
        <v>0.71699999999999997</v>
      </c>
      <c r="N430" t="str">
        <f>TEXT(A430,"mmm yyyy")</f>
        <v>Oct 2019</v>
      </c>
      <c r="O430">
        <f t="shared" si="6"/>
        <v>59.75</v>
      </c>
    </row>
    <row r="431" spans="1:15" x14ac:dyDescent="0.25">
      <c r="A431" s="3">
        <v>44367</v>
      </c>
      <c r="B431" t="s">
        <v>6140</v>
      </c>
      <c r="C431" s="2">
        <v>6</v>
      </c>
      <c r="D431" s="2" t="s">
        <v>2907</v>
      </c>
      <c r="E431" s="2" t="s">
        <v>233</v>
      </c>
      <c r="F431" s="2" t="s">
        <v>19</v>
      </c>
      <c r="G431" t="s">
        <v>6191</v>
      </c>
      <c r="H431" t="str">
        <f>VLOOKUP('Combined table'!B431,products!$A$1:$G$49,2,FALSE)</f>
        <v>Ara</v>
      </c>
      <c r="I431" t="str">
        <f>VLOOKUP('Combined table'!B431,products!$A$1:$G$49,3,FALSE)</f>
        <v>L</v>
      </c>
      <c r="J431">
        <f>VLOOKUP('Combined table'!B431,products!$A$1:$G$49,4,FALSE)</f>
        <v>1</v>
      </c>
      <c r="K431">
        <f>VLOOKUP('Combined table'!B431,products!$A$1:$G$49,5,FALSE)</f>
        <v>12.95</v>
      </c>
      <c r="L431">
        <f>VLOOKUP('Combined table'!B431,products!$A$1:$G$49,6,FALSE)</f>
        <v>1.2949999999999999</v>
      </c>
      <c r="M431">
        <f>VLOOKUP('Combined table'!B431,products!$A$1:$G$49,7,FALSE)</f>
        <v>1.1655</v>
      </c>
      <c r="N431" t="str">
        <f>TEXT(A431,"mmm yyyy")</f>
        <v>Jun 2021</v>
      </c>
      <c r="O431">
        <f t="shared" si="6"/>
        <v>77.699999999999989</v>
      </c>
    </row>
    <row r="432" spans="1:15" x14ac:dyDescent="0.25">
      <c r="A432" s="3">
        <v>44504</v>
      </c>
      <c r="B432" t="s">
        <v>6163</v>
      </c>
      <c r="C432" s="2">
        <v>2</v>
      </c>
      <c r="D432" s="2" t="s">
        <v>2913</v>
      </c>
      <c r="E432" s="2" t="s">
        <v>93</v>
      </c>
      <c r="F432" s="2" t="s">
        <v>19</v>
      </c>
      <c r="G432" t="s">
        <v>6190</v>
      </c>
      <c r="H432" t="str">
        <f>VLOOKUP('Combined table'!B432,products!$A$1:$G$49,2,FALSE)</f>
        <v>Rob</v>
      </c>
      <c r="I432" t="str">
        <f>VLOOKUP('Combined table'!B432,products!$A$1:$G$49,3,FALSE)</f>
        <v>D</v>
      </c>
      <c r="J432">
        <f>VLOOKUP('Combined table'!B432,products!$A$1:$G$49,4,FALSE)</f>
        <v>0.2</v>
      </c>
      <c r="K432">
        <f>VLOOKUP('Combined table'!B432,products!$A$1:$G$49,5,FALSE)</f>
        <v>2.6849999999999996</v>
      </c>
      <c r="L432">
        <f>VLOOKUP('Combined table'!B432,products!$A$1:$G$49,6,FALSE)</f>
        <v>1.3424999999999998</v>
      </c>
      <c r="M432">
        <f>VLOOKUP('Combined table'!B432,products!$A$1:$G$49,7,FALSE)</f>
        <v>0.16109999999999997</v>
      </c>
      <c r="N432" t="str">
        <f>TEXT(A432,"mmm yyyy")</f>
        <v>Nov 2021</v>
      </c>
      <c r="O432">
        <f t="shared" si="6"/>
        <v>5.3699999999999992</v>
      </c>
    </row>
    <row r="433" spans="1:15" x14ac:dyDescent="0.25">
      <c r="A433" s="3">
        <v>44291</v>
      </c>
      <c r="B433" t="s">
        <v>6185</v>
      </c>
      <c r="C433" s="2">
        <v>3</v>
      </c>
      <c r="D433" s="2" t="s">
        <v>2919</v>
      </c>
      <c r="E433" s="2" t="s">
        <v>337</v>
      </c>
      <c r="F433" s="2" t="s">
        <v>318</v>
      </c>
      <c r="G433" t="s">
        <v>6190</v>
      </c>
      <c r="H433" t="str">
        <f>VLOOKUP('Combined table'!B433,products!$A$1:$G$49,2,FALSE)</f>
        <v>Exc</v>
      </c>
      <c r="I433" t="str">
        <f>VLOOKUP('Combined table'!B433,products!$A$1:$G$49,3,FALSE)</f>
        <v>D</v>
      </c>
      <c r="J433">
        <f>VLOOKUP('Combined table'!B433,products!$A$1:$G$49,4,FALSE)</f>
        <v>2.5</v>
      </c>
      <c r="K433">
        <f>VLOOKUP('Combined table'!B433,products!$A$1:$G$49,5,FALSE)</f>
        <v>27.945</v>
      </c>
      <c r="L433">
        <f>VLOOKUP('Combined table'!B433,products!$A$1:$G$49,6,FALSE)</f>
        <v>1.1177999999999999</v>
      </c>
      <c r="M433">
        <f>VLOOKUP('Combined table'!B433,products!$A$1:$G$49,7,FALSE)</f>
        <v>3.07395</v>
      </c>
      <c r="N433" t="str">
        <f>TEXT(A433,"mmm yyyy")</f>
        <v>Apr 2021</v>
      </c>
      <c r="O433">
        <f t="shared" si="6"/>
        <v>83.835000000000008</v>
      </c>
    </row>
    <row r="434" spans="1:15" x14ac:dyDescent="0.25">
      <c r="A434" s="3">
        <v>43808</v>
      </c>
      <c r="B434" t="s">
        <v>6155</v>
      </c>
      <c r="C434" s="2">
        <v>2</v>
      </c>
      <c r="D434" s="2" t="s">
        <v>2925</v>
      </c>
      <c r="E434" s="2" t="s">
        <v>45</v>
      </c>
      <c r="F434" s="2" t="s">
        <v>19</v>
      </c>
      <c r="G434" t="s">
        <v>6191</v>
      </c>
      <c r="H434" t="str">
        <f>VLOOKUP('Combined table'!B434,products!$A$1:$G$49,2,FALSE)</f>
        <v>Ara</v>
      </c>
      <c r="I434" t="str">
        <f>VLOOKUP('Combined table'!B434,products!$A$1:$G$49,3,FALSE)</f>
        <v>M</v>
      </c>
      <c r="J434">
        <f>VLOOKUP('Combined table'!B434,products!$A$1:$G$49,4,FALSE)</f>
        <v>1</v>
      </c>
      <c r="K434">
        <f>VLOOKUP('Combined table'!B434,products!$A$1:$G$49,5,FALSE)</f>
        <v>11.25</v>
      </c>
      <c r="L434">
        <f>VLOOKUP('Combined table'!B434,products!$A$1:$G$49,6,FALSE)</f>
        <v>1.125</v>
      </c>
      <c r="M434">
        <f>VLOOKUP('Combined table'!B434,products!$A$1:$G$49,7,FALSE)</f>
        <v>1.0125</v>
      </c>
      <c r="N434" t="str">
        <f>TEXT(A434,"mmm yyyy")</f>
        <v>Dec 2019</v>
      </c>
      <c r="O434">
        <f t="shared" si="6"/>
        <v>22.5</v>
      </c>
    </row>
    <row r="435" spans="1:15" x14ac:dyDescent="0.25">
      <c r="A435" s="3">
        <v>44563</v>
      </c>
      <c r="B435" t="s">
        <v>6181</v>
      </c>
      <c r="C435" s="2">
        <v>6</v>
      </c>
      <c r="D435" s="2" t="s">
        <v>2930</v>
      </c>
      <c r="E435" s="2" t="s">
        <v>131</v>
      </c>
      <c r="F435" s="2" t="s">
        <v>19</v>
      </c>
      <c r="G435" t="s">
        <v>6190</v>
      </c>
      <c r="H435" t="str">
        <f>VLOOKUP('Combined table'!B435,products!$A$1:$G$49,2,FALSE)</f>
        <v>Lib</v>
      </c>
      <c r="I435" t="str">
        <f>VLOOKUP('Combined table'!B435,products!$A$1:$G$49,3,FALSE)</f>
        <v>M</v>
      </c>
      <c r="J435">
        <f>VLOOKUP('Combined table'!B435,products!$A$1:$G$49,4,FALSE)</f>
        <v>2.5</v>
      </c>
      <c r="K435">
        <f>VLOOKUP('Combined table'!B435,products!$A$1:$G$49,5,FALSE)</f>
        <v>33.464999999999996</v>
      </c>
      <c r="L435">
        <f>VLOOKUP('Combined table'!B435,products!$A$1:$G$49,6,FALSE)</f>
        <v>1.3385999999999998</v>
      </c>
      <c r="M435">
        <f>VLOOKUP('Combined table'!B435,products!$A$1:$G$49,7,FALSE)</f>
        <v>4.3504499999999995</v>
      </c>
      <c r="N435" t="str">
        <f>TEXT(A435,"mmm yyyy")</f>
        <v>Jan 2022</v>
      </c>
      <c r="O435">
        <f t="shared" si="6"/>
        <v>200.78999999999996</v>
      </c>
    </row>
    <row r="436" spans="1:15" x14ac:dyDescent="0.25">
      <c r="A436" s="3">
        <v>43807</v>
      </c>
      <c r="B436" t="s">
        <v>6155</v>
      </c>
      <c r="C436" s="2">
        <v>6</v>
      </c>
      <c r="D436" s="2" t="s">
        <v>2936</v>
      </c>
      <c r="E436" s="2" t="s">
        <v>241</v>
      </c>
      <c r="F436" s="2" t="s">
        <v>19</v>
      </c>
      <c r="G436" t="s">
        <v>6191</v>
      </c>
      <c r="H436" t="str">
        <f>VLOOKUP('Combined table'!B436,products!$A$1:$G$49,2,FALSE)</f>
        <v>Ara</v>
      </c>
      <c r="I436" t="str">
        <f>VLOOKUP('Combined table'!B436,products!$A$1:$G$49,3,FALSE)</f>
        <v>M</v>
      </c>
      <c r="J436">
        <f>VLOOKUP('Combined table'!B436,products!$A$1:$G$49,4,FALSE)</f>
        <v>1</v>
      </c>
      <c r="K436">
        <f>VLOOKUP('Combined table'!B436,products!$A$1:$G$49,5,FALSE)</f>
        <v>11.25</v>
      </c>
      <c r="L436">
        <f>VLOOKUP('Combined table'!B436,products!$A$1:$G$49,6,FALSE)</f>
        <v>1.125</v>
      </c>
      <c r="M436">
        <f>VLOOKUP('Combined table'!B436,products!$A$1:$G$49,7,FALSE)</f>
        <v>1.0125</v>
      </c>
      <c r="N436" t="str">
        <f>TEXT(A436,"mmm yyyy")</f>
        <v>Dec 2019</v>
      </c>
      <c r="O436">
        <f t="shared" si="6"/>
        <v>67.5</v>
      </c>
    </row>
    <row r="437" spans="1:15" x14ac:dyDescent="0.25">
      <c r="A437" s="3">
        <v>44528</v>
      </c>
      <c r="B437" t="s">
        <v>6139</v>
      </c>
      <c r="C437" s="2">
        <v>1</v>
      </c>
      <c r="D437" s="2" t="s">
        <v>2941</v>
      </c>
      <c r="E437" s="2" t="s">
        <v>148</v>
      </c>
      <c r="F437" s="2" t="s">
        <v>19</v>
      </c>
      <c r="G437" t="s">
        <v>6191</v>
      </c>
      <c r="H437" t="str">
        <f>VLOOKUP('Combined table'!B437,products!$A$1:$G$49,2,FALSE)</f>
        <v>Exc</v>
      </c>
      <c r="I437" t="str">
        <f>VLOOKUP('Combined table'!B437,products!$A$1:$G$49,3,FALSE)</f>
        <v>M</v>
      </c>
      <c r="J437">
        <f>VLOOKUP('Combined table'!B437,products!$A$1:$G$49,4,FALSE)</f>
        <v>0.5</v>
      </c>
      <c r="K437">
        <f>VLOOKUP('Combined table'!B437,products!$A$1:$G$49,5,FALSE)</f>
        <v>8.25</v>
      </c>
      <c r="L437">
        <f>VLOOKUP('Combined table'!B437,products!$A$1:$G$49,6,FALSE)</f>
        <v>1.65</v>
      </c>
      <c r="M437">
        <f>VLOOKUP('Combined table'!B437,products!$A$1:$G$49,7,FALSE)</f>
        <v>0.90749999999999997</v>
      </c>
      <c r="N437" t="str">
        <f>TEXT(A437,"mmm yyyy")</f>
        <v>Nov 2021</v>
      </c>
      <c r="O437">
        <f t="shared" si="6"/>
        <v>8.25</v>
      </c>
    </row>
    <row r="438" spans="1:15" x14ac:dyDescent="0.25">
      <c r="A438" s="3">
        <v>44631</v>
      </c>
      <c r="B438" t="s">
        <v>6145</v>
      </c>
      <c r="C438" s="2">
        <v>2</v>
      </c>
      <c r="D438" s="2" t="s">
        <v>2947</v>
      </c>
      <c r="E438" s="2" t="s">
        <v>97</v>
      </c>
      <c r="F438" s="2" t="s">
        <v>19</v>
      </c>
      <c r="G438" t="s">
        <v>6190</v>
      </c>
      <c r="H438" t="str">
        <f>VLOOKUP('Combined table'!B438,products!$A$1:$G$49,2,FALSE)</f>
        <v>Lib</v>
      </c>
      <c r="I438" t="str">
        <f>VLOOKUP('Combined table'!B438,products!$A$1:$G$49,3,FALSE)</f>
        <v>L</v>
      </c>
      <c r="J438">
        <f>VLOOKUP('Combined table'!B438,products!$A$1:$G$49,4,FALSE)</f>
        <v>0.2</v>
      </c>
      <c r="K438">
        <f>VLOOKUP('Combined table'!B438,products!$A$1:$G$49,5,FALSE)</f>
        <v>4.7549999999999999</v>
      </c>
      <c r="L438">
        <f>VLOOKUP('Combined table'!B438,products!$A$1:$G$49,6,FALSE)</f>
        <v>2.3774999999999999</v>
      </c>
      <c r="M438">
        <f>VLOOKUP('Combined table'!B438,products!$A$1:$G$49,7,FALSE)</f>
        <v>0.61814999999999998</v>
      </c>
      <c r="N438" t="str">
        <f>TEXT(A438,"mmm yyyy")</f>
        <v>Mar 2022</v>
      </c>
      <c r="O438">
        <f t="shared" si="6"/>
        <v>9.51</v>
      </c>
    </row>
    <row r="439" spans="1:15" x14ac:dyDescent="0.25">
      <c r="A439" s="3">
        <v>44213</v>
      </c>
      <c r="B439" t="s">
        <v>6165</v>
      </c>
      <c r="C439" s="2">
        <v>1</v>
      </c>
      <c r="D439" s="2" t="s">
        <v>2953</v>
      </c>
      <c r="E439" s="2" t="s">
        <v>63</v>
      </c>
      <c r="F439" s="2" t="s">
        <v>19</v>
      </c>
      <c r="G439" t="s">
        <v>6191</v>
      </c>
      <c r="H439" t="str">
        <f>VLOOKUP('Combined table'!B439,products!$A$1:$G$49,2,FALSE)</f>
        <v>Lib</v>
      </c>
      <c r="I439" t="str">
        <f>VLOOKUP('Combined table'!B439,products!$A$1:$G$49,3,FALSE)</f>
        <v>D</v>
      </c>
      <c r="J439">
        <f>VLOOKUP('Combined table'!B439,products!$A$1:$G$49,4,FALSE)</f>
        <v>2.5</v>
      </c>
      <c r="K439">
        <f>VLOOKUP('Combined table'!B439,products!$A$1:$G$49,5,FALSE)</f>
        <v>29.784999999999997</v>
      </c>
      <c r="L439">
        <f>VLOOKUP('Combined table'!B439,products!$A$1:$G$49,6,FALSE)</f>
        <v>1.1913999999999998</v>
      </c>
      <c r="M439">
        <f>VLOOKUP('Combined table'!B439,products!$A$1:$G$49,7,FALSE)</f>
        <v>3.8720499999999998</v>
      </c>
      <c r="N439" t="str">
        <f>TEXT(A439,"mmm yyyy")</f>
        <v>Jan 2021</v>
      </c>
      <c r="O439">
        <f t="shared" si="6"/>
        <v>29.784999999999997</v>
      </c>
    </row>
    <row r="440" spans="1:15" x14ac:dyDescent="0.25">
      <c r="A440" s="3">
        <v>43483</v>
      </c>
      <c r="B440" t="s">
        <v>6169</v>
      </c>
      <c r="C440" s="2">
        <v>2</v>
      </c>
      <c r="D440" s="2" t="s">
        <v>2958</v>
      </c>
      <c r="E440" s="2" t="s">
        <v>77</v>
      </c>
      <c r="F440" s="2" t="s">
        <v>19</v>
      </c>
      <c r="G440" t="s">
        <v>6191</v>
      </c>
      <c r="H440" t="str">
        <f>VLOOKUP('Combined table'!B440,products!$A$1:$G$49,2,FALSE)</f>
        <v>Lib</v>
      </c>
      <c r="I440" t="str">
        <f>VLOOKUP('Combined table'!B440,products!$A$1:$G$49,3,FALSE)</f>
        <v>D</v>
      </c>
      <c r="J440">
        <f>VLOOKUP('Combined table'!B440,products!$A$1:$G$49,4,FALSE)</f>
        <v>0.5</v>
      </c>
      <c r="K440">
        <f>VLOOKUP('Combined table'!B440,products!$A$1:$G$49,5,FALSE)</f>
        <v>7.77</v>
      </c>
      <c r="L440">
        <f>VLOOKUP('Combined table'!B440,products!$A$1:$G$49,6,FALSE)</f>
        <v>1.5539999999999998</v>
      </c>
      <c r="M440">
        <f>VLOOKUP('Combined table'!B440,products!$A$1:$G$49,7,FALSE)</f>
        <v>1.0101</v>
      </c>
      <c r="N440" t="str">
        <f>TEXT(A440,"mmm yyyy")</f>
        <v>Jan 2019</v>
      </c>
      <c r="O440">
        <f t="shared" si="6"/>
        <v>15.54</v>
      </c>
    </row>
    <row r="441" spans="1:15" x14ac:dyDescent="0.25">
      <c r="A441" s="3">
        <v>43562</v>
      </c>
      <c r="B441" t="s">
        <v>6176</v>
      </c>
      <c r="C441" s="2">
        <v>4</v>
      </c>
      <c r="D441" s="2" t="s">
        <v>2964</v>
      </c>
      <c r="E441" s="2" t="s">
        <v>474</v>
      </c>
      <c r="F441" s="2" t="s">
        <v>318</v>
      </c>
      <c r="G441" t="s">
        <v>6191</v>
      </c>
      <c r="H441" t="str">
        <f>VLOOKUP('Combined table'!B441,products!$A$1:$G$49,2,FALSE)</f>
        <v>Exc</v>
      </c>
      <c r="I441" t="str">
        <f>VLOOKUP('Combined table'!B441,products!$A$1:$G$49,3,FALSE)</f>
        <v>L</v>
      </c>
      <c r="J441">
        <f>VLOOKUP('Combined table'!B441,products!$A$1:$G$49,4,FALSE)</f>
        <v>0.5</v>
      </c>
      <c r="K441">
        <f>VLOOKUP('Combined table'!B441,products!$A$1:$G$49,5,FALSE)</f>
        <v>8.91</v>
      </c>
      <c r="L441">
        <f>VLOOKUP('Combined table'!B441,products!$A$1:$G$49,6,FALSE)</f>
        <v>1.782</v>
      </c>
      <c r="M441">
        <f>VLOOKUP('Combined table'!B441,products!$A$1:$G$49,7,FALSE)</f>
        <v>0.98009999999999997</v>
      </c>
      <c r="N441" t="str">
        <f>TEXT(A441,"mmm yyyy")</f>
        <v>Apr 2019</v>
      </c>
      <c r="O441">
        <f t="shared" si="6"/>
        <v>35.64</v>
      </c>
    </row>
    <row r="442" spans="1:15" x14ac:dyDescent="0.25">
      <c r="A442" s="3">
        <v>44230</v>
      </c>
      <c r="B442" t="s">
        <v>6175</v>
      </c>
      <c r="C442" s="2">
        <v>4</v>
      </c>
      <c r="D442" s="2" t="s">
        <v>2970</v>
      </c>
      <c r="E442" s="2" t="s">
        <v>120</v>
      </c>
      <c r="F442" s="2" t="s">
        <v>19</v>
      </c>
      <c r="G442" t="s">
        <v>6190</v>
      </c>
      <c r="H442" t="str">
        <f>VLOOKUP('Combined table'!B442,products!$A$1:$G$49,2,FALSE)</f>
        <v>Ara</v>
      </c>
      <c r="I442" t="str">
        <f>VLOOKUP('Combined table'!B442,products!$A$1:$G$49,3,FALSE)</f>
        <v>M</v>
      </c>
      <c r="J442">
        <f>VLOOKUP('Combined table'!B442,products!$A$1:$G$49,4,FALSE)</f>
        <v>2.5</v>
      </c>
      <c r="K442">
        <f>VLOOKUP('Combined table'!B442,products!$A$1:$G$49,5,FALSE)</f>
        <v>25.874999999999996</v>
      </c>
      <c r="L442">
        <f>VLOOKUP('Combined table'!B442,products!$A$1:$G$49,6,FALSE)</f>
        <v>1.0349999999999999</v>
      </c>
      <c r="M442">
        <f>VLOOKUP('Combined table'!B442,products!$A$1:$G$49,7,FALSE)</f>
        <v>2.3287499999999994</v>
      </c>
      <c r="N442" t="str">
        <f>TEXT(A442,"mmm yyyy")</f>
        <v>Feb 2021</v>
      </c>
      <c r="O442">
        <f t="shared" si="6"/>
        <v>103.49999999999999</v>
      </c>
    </row>
    <row r="443" spans="1:15" x14ac:dyDescent="0.25">
      <c r="A443" s="3">
        <v>43573</v>
      </c>
      <c r="B443" t="s">
        <v>6183</v>
      </c>
      <c r="C443" s="2">
        <v>3</v>
      </c>
      <c r="D443" s="2" t="s">
        <v>2976</v>
      </c>
      <c r="E443" s="2" t="s">
        <v>2031</v>
      </c>
      <c r="F443" s="2" t="s">
        <v>318</v>
      </c>
      <c r="G443" t="s">
        <v>6190</v>
      </c>
      <c r="H443" t="str">
        <f>VLOOKUP('Combined table'!B443,products!$A$1:$G$49,2,FALSE)</f>
        <v>Exc</v>
      </c>
      <c r="I443" t="str">
        <f>VLOOKUP('Combined table'!B443,products!$A$1:$G$49,3,FALSE)</f>
        <v>D</v>
      </c>
      <c r="J443">
        <f>VLOOKUP('Combined table'!B443,products!$A$1:$G$49,4,FALSE)</f>
        <v>1</v>
      </c>
      <c r="K443">
        <f>VLOOKUP('Combined table'!B443,products!$A$1:$G$49,5,FALSE)</f>
        <v>12.15</v>
      </c>
      <c r="L443">
        <f>VLOOKUP('Combined table'!B443,products!$A$1:$G$49,6,FALSE)</f>
        <v>1.2150000000000001</v>
      </c>
      <c r="M443">
        <f>VLOOKUP('Combined table'!B443,products!$A$1:$G$49,7,FALSE)</f>
        <v>1.3365</v>
      </c>
      <c r="N443" t="str">
        <f>TEXT(A443,"mmm yyyy")</f>
        <v>Apr 2019</v>
      </c>
      <c r="O443">
        <f t="shared" si="6"/>
        <v>36.450000000000003</v>
      </c>
    </row>
    <row r="444" spans="1:15" x14ac:dyDescent="0.25">
      <c r="A444" s="3">
        <v>44384</v>
      </c>
      <c r="B444" t="s">
        <v>6173</v>
      </c>
      <c r="C444" s="2">
        <v>5</v>
      </c>
      <c r="D444" s="2" t="s">
        <v>2982</v>
      </c>
      <c r="E444" s="2" t="s">
        <v>294</v>
      </c>
      <c r="F444" s="2" t="s">
        <v>19</v>
      </c>
      <c r="G444" t="s">
        <v>6191</v>
      </c>
      <c r="H444" t="str">
        <f>VLOOKUP('Combined table'!B444,products!$A$1:$G$49,2,FALSE)</f>
        <v>Rob</v>
      </c>
      <c r="I444" t="str">
        <f>VLOOKUP('Combined table'!B444,products!$A$1:$G$49,3,FALSE)</f>
        <v>L</v>
      </c>
      <c r="J444">
        <f>VLOOKUP('Combined table'!B444,products!$A$1:$G$49,4,FALSE)</f>
        <v>0.5</v>
      </c>
      <c r="K444">
        <f>VLOOKUP('Combined table'!B444,products!$A$1:$G$49,5,FALSE)</f>
        <v>7.169999999999999</v>
      </c>
      <c r="L444">
        <f>VLOOKUP('Combined table'!B444,products!$A$1:$G$49,6,FALSE)</f>
        <v>1.4339999999999997</v>
      </c>
      <c r="M444">
        <f>VLOOKUP('Combined table'!B444,products!$A$1:$G$49,7,FALSE)</f>
        <v>0.43019999999999992</v>
      </c>
      <c r="N444" t="str">
        <f>TEXT(A444,"mmm yyyy")</f>
        <v>Jul 2021</v>
      </c>
      <c r="O444">
        <f t="shared" si="6"/>
        <v>35.849999999999994</v>
      </c>
    </row>
    <row r="445" spans="1:15" x14ac:dyDescent="0.25">
      <c r="A445" s="3">
        <v>44250</v>
      </c>
      <c r="B445" t="s">
        <v>6184</v>
      </c>
      <c r="C445" s="2">
        <v>5</v>
      </c>
      <c r="D445" s="2" t="s">
        <v>2988</v>
      </c>
      <c r="E445" s="2" t="s">
        <v>465</v>
      </c>
      <c r="F445" s="2" t="s">
        <v>318</v>
      </c>
      <c r="G445" t="s">
        <v>6190</v>
      </c>
      <c r="H445" t="str">
        <f>VLOOKUP('Combined table'!B445,products!$A$1:$G$49,2,FALSE)</f>
        <v>Exc</v>
      </c>
      <c r="I445" t="str">
        <f>VLOOKUP('Combined table'!B445,products!$A$1:$G$49,3,FALSE)</f>
        <v>L</v>
      </c>
      <c r="J445">
        <f>VLOOKUP('Combined table'!B445,products!$A$1:$G$49,4,FALSE)</f>
        <v>0.2</v>
      </c>
      <c r="K445">
        <f>VLOOKUP('Combined table'!B445,products!$A$1:$G$49,5,FALSE)</f>
        <v>4.4550000000000001</v>
      </c>
      <c r="L445">
        <f>VLOOKUP('Combined table'!B445,products!$A$1:$G$49,6,FALSE)</f>
        <v>2.2275</v>
      </c>
      <c r="M445">
        <f>VLOOKUP('Combined table'!B445,products!$A$1:$G$49,7,FALSE)</f>
        <v>0.49004999999999999</v>
      </c>
      <c r="N445" t="str">
        <f>TEXT(A445,"mmm yyyy")</f>
        <v>Feb 2021</v>
      </c>
      <c r="O445">
        <f t="shared" si="6"/>
        <v>22.274999999999999</v>
      </c>
    </row>
    <row r="446" spans="1:15" x14ac:dyDescent="0.25">
      <c r="A446" s="3">
        <v>44418</v>
      </c>
      <c r="B446" t="s">
        <v>6156</v>
      </c>
      <c r="C446" s="2">
        <v>6</v>
      </c>
      <c r="D446" s="2" t="s">
        <v>2994</v>
      </c>
      <c r="E446" s="2" t="s">
        <v>2998</v>
      </c>
      <c r="F446" s="2" t="s">
        <v>318</v>
      </c>
      <c r="G446" t="s">
        <v>6191</v>
      </c>
      <c r="H446" t="str">
        <f>VLOOKUP('Combined table'!B446,products!$A$1:$G$49,2,FALSE)</f>
        <v>Exc</v>
      </c>
      <c r="I446" t="str">
        <f>VLOOKUP('Combined table'!B446,products!$A$1:$G$49,3,FALSE)</f>
        <v>M</v>
      </c>
      <c r="J446">
        <f>VLOOKUP('Combined table'!B446,products!$A$1:$G$49,4,FALSE)</f>
        <v>0.2</v>
      </c>
      <c r="K446">
        <f>VLOOKUP('Combined table'!B446,products!$A$1:$G$49,5,FALSE)</f>
        <v>4.125</v>
      </c>
      <c r="L446">
        <f>VLOOKUP('Combined table'!B446,products!$A$1:$G$49,6,FALSE)</f>
        <v>2.0625</v>
      </c>
      <c r="M446">
        <f>VLOOKUP('Combined table'!B446,products!$A$1:$G$49,7,FALSE)</f>
        <v>0.45374999999999999</v>
      </c>
      <c r="N446" t="str">
        <f>TEXT(A446,"mmm yyyy")</f>
        <v>Aug 2021</v>
      </c>
      <c r="O446">
        <f t="shared" si="6"/>
        <v>24.75</v>
      </c>
    </row>
    <row r="447" spans="1:15" x14ac:dyDescent="0.25">
      <c r="A447" s="3">
        <v>43784</v>
      </c>
      <c r="B447" t="s">
        <v>6181</v>
      </c>
      <c r="C447" s="2">
        <v>2</v>
      </c>
      <c r="D447" s="2" t="s">
        <v>3001</v>
      </c>
      <c r="E447" s="2" t="s">
        <v>390</v>
      </c>
      <c r="F447" s="2" t="s">
        <v>318</v>
      </c>
      <c r="G447" t="s">
        <v>6190</v>
      </c>
      <c r="H447" t="str">
        <f>VLOOKUP('Combined table'!B447,products!$A$1:$G$49,2,FALSE)</f>
        <v>Lib</v>
      </c>
      <c r="I447" t="str">
        <f>VLOOKUP('Combined table'!B447,products!$A$1:$G$49,3,FALSE)</f>
        <v>M</v>
      </c>
      <c r="J447">
        <f>VLOOKUP('Combined table'!B447,products!$A$1:$G$49,4,FALSE)</f>
        <v>2.5</v>
      </c>
      <c r="K447">
        <f>VLOOKUP('Combined table'!B447,products!$A$1:$G$49,5,FALSE)</f>
        <v>33.464999999999996</v>
      </c>
      <c r="L447">
        <f>VLOOKUP('Combined table'!B447,products!$A$1:$G$49,6,FALSE)</f>
        <v>1.3385999999999998</v>
      </c>
      <c r="M447">
        <f>VLOOKUP('Combined table'!B447,products!$A$1:$G$49,7,FALSE)</f>
        <v>4.3504499999999995</v>
      </c>
      <c r="N447" t="str">
        <f>TEXT(A447,"mmm yyyy")</f>
        <v>Nov 2019</v>
      </c>
      <c r="O447">
        <f t="shared" si="6"/>
        <v>66.929999999999993</v>
      </c>
    </row>
    <row r="448" spans="1:15" x14ac:dyDescent="0.25">
      <c r="A448" s="3">
        <v>43816</v>
      </c>
      <c r="B448" t="s">
        <v>6160</v>
      </c>
      <c r="C448" s="2">
        <v>1</v>
      </c>
      <c r="D448" s="2" t="s">
        <v>3006</v>
      </c>
      <c r="E448" s="2" t="s">
        <v>144</v>
      </c>
      <c r="F448" s="2" t="s">
        <v>28</v>
      </c>
      <c r="G448" t="s">
        <v>6190</v>
      </c>
      <c r="H448" t="str">
        <f>VLOOKUP('Combined table'!B448,products!$A$1:$G$49,2,FALSE)</f>
        <v>Lib</v>
      </c>
      <c r="I448" t="str">
        <f>VLOOKUP('Combined table'!B448,products!$A$1:$G$49,3,FALSE)</f>
        <v>M</v>
      </c>
      <c r="J448">
        <f>VLOOKUP('Combined table'!B448,products!$A$1:$G$49,4,FALSE)</f>
        <v>0.5</v>
      </c>
      <c r="K448">
        <f>VLOOKUP('Combined table'!B448,products!$A$1:$G$49,5,FALSE)</f>
        <v>8.73</v>
      </c>
      <c r="L448">
        <f>VLOOKUP('Combined table'!B448,products!$A$1:$G$49,6,FALSE)</f>
        <v>1.746</v>
      </c>
      <c r="M448">
        <f>VLOOKUP('Combined table'!B448,products!$A$1:$G$49,7,FALSE)</f>
        <v>1.1349</v>
      </c>
      <c r="N448" t="str">
        <f>TEXT(A448,"mmm yyyy")</f>
        <v>Dec 2019</v>
      </c>
      <c r="O448">
        <f t="shared" si="6"/>
        <v>8.73</v>
      </c>
    </row>
    <row r="449" spans="1:15" x14ac:dyDescent="0.25">
      <c r="A449" s="3">
        <v>43908</v>
      </c>
      <c r="B449" t="s">
        <v>6146</v>
      </c>
      <c r="C449" s="2">
        <v>3</v>
      </c>
      <c r="D449" s="2" t="s">
        <v>3012</v>
      </c>
      <c r="E449" s="2" t="s">
        <v>184</v>
      </c>
      <c r="F449" s="2" t="s">
        <v>19</v>
      </c>
      <c r="G449" t="s">
        <v>6191</v>
      </c>
      <c r="H449" t="str">
        <f>VLOOKUP('Combined table'!B449,products!$A$1:$G$49,2,FALSE)</f>
        <v>Rob</v>
      </c>
      <c r="I449" t="str">
        <f>VLOOKUP('Combined table'!B449,products!$A$1:$G$49,3,FALSE)</f>
        <v>M</v>
      </c>
      <c r="J449">
        <f>VLOOKUP('Combined table'!B449,products!$A$1:$G$49,4,FALSE)</f>
        <v>0.5</v>
      </c>
      <c r="K449">
        <f>VLOOKUP('Combined table'!B449,products!$A$1:$G$49,5,FALSE)</f>
        <v>5.97</v>
      </c>
      <c r="L449">
        <f>VLOOKUP('Combined table'!B449,products!$A$1:$G$49,6,FALSE)</f>
        <v>1.194</v>
      </c>
      <c r="M449">
        <f>VLOOKUP('Combined table'!B449,products!$A$1:$G$49,7,FALSE)</f>
        <v>0.35819999999999996</v>
      </c>
      <c r="N449" t="str">
        <f>TEXT(A449,"mmm yyyy")</f>
        <v>Mar 2020</v>
      </c>
      <c r="O449">
        <f t="shared" si="6"/>
        <v>17.91</v>
      </c>
    </row>
    <row r="450" spans="1:15" x14ac:dyDescent="0.25">
      <c r="A450" s="3">
        <v>44718</v>
      </c>
      <c r="B450" t="s">
        <v>6173</v>
      </c>
      <c r="C450" s="2">
        <v>1</v>
      </c>
      <c r="D450" s="2" t="s">
        <v>3017</v>
      </c>
      <c r="E450" s="2" t="s">
        <v>344</v>
      </c>
      <c r="F450" s="2" t="s">
        <v>318</v>
      </c>
      <c r="G450" t="s">
        <v>6191</v>
      </c>
      <c r="H450" t="str">
        <f>VLOOKUP('Combined table'!B450,products!$A$1:$G$49,2,FALSE)</f>
        <v>Rob</v>
      </c>
      <c r="I450" t="str">
        <f>VLOOKUP('Combined table'!B450,products!$A$1:$G$49,3,FALSE)</f>
        <v>L</v>
      </c>
      <c r="J450">
        <f>VLOOKUP('Combined table'!B450,products!$A$1:$G$49,4,FALSE)</f>
        <v>0.5</v>
      </c>
      <c r="K450">
        <f>VLOOKUP('Combined table'!B450,products!$A$1:$G$49,5,FALSE)</f>
        <v>7.169999999999999</v>
      </c>
      <c r="L450">
        <f>VLOOKUP('Combined table'!B450,products!$A$1:$G$49,6,FALSE)</f>
        <v>1.4339999999999997</v>
      </c>
      <c r="M450">
        <f>VLOOKUP('Combined table'!B450,products!$A$1:$G$49,7,FALSE)</f>
        <v>0.43019999999999992</v>
      </c>
      <c r="N450" t="str">
        <f>TEXT(A450,"mmm yyyy")</f>
        <v>Jun 2022</v>
      </c>
      <c r="O450">
        <f t="shared" si="6"/>
        <v>7.169999999999999</v>
      </c>
    </row>
    <row r="451" spans="1:15" x14ac:dyDescent="0.25">
      <c r="A451" s="3">
        <v>44336</v>
      </c>
      <c r="B451" t="s">
        <v>6163</v>
      </c>
      <c r="C451" s="2">
        <v>2</v>
      </c>
      <c r="D451" s="2" t="s">
        <v>3023</v>
      </c>
      <c r="E451" s="2" t="s">
        <v>260</v>
      </c>
      <c r="F451" s="2" t="s">
        <v>19</v>
      </c>
      <c r="G451" t="s">
        <v>6191</v>
      </c>
      <c r="H451" t="str">
        <f>VLOOKUP('Combined table'!B451,products!$A$1:$G$49,2,FALSE)</f>
        <v>Rob</v>
      </c>
      <c r="I451" t="str">
        <f>VLOOKUP('Combined table'!B451,products!$A$1:$G$49,3,FALSE)</f>
        <v>D</v>
      </c>
      <c r="J451">
        <f>VLOOKUP('Combined table'!B451,products!$A$1:$G$49,4,FALSE)</f>
        <v>0.2</v>
      </c>
      <c r="K451">
        <f>VLOOKUP('Combined table'!B451,products!$A$1:$G$49,5,FALSE)</f>
        <v>2.6849999999999996</v>
      </c>
      <c r="L451">
        <f>VLOOKUP('Combined table'!B451,products!$A$1:$G$49,6,FALSE)</f>
        <v>1.3424999999999998</v>
      </c>
      <c r="M451">
        <f>VLOOKUP('Combined table'!B451,products!$A$1:$G$49,7,FALSE)</f>
        <v>0.16109999999999997</v>
      </c>
      <c r="N451" t="str">
        <f>TEXT(A451,"mmm yyyy")</f>
        <v>May 2021</v>
      </c>
      <c r="O451">
        <f t="shared" ref="O451:O514" si="7">C451*K451</f>
        <v>5.3699999999999992</v>
      </c>
    </row>
    <row r="452" spans="1:15" x14ac:dyDescent="0.25">
      <c r="A452" s="3">
        <v>44207</v>
      </c>
      <c r="B452" t="s">
        <v>6145</v>
      </c>
      <c r="C452" s="2">
        <v>5</v>
      </c>
      <c r="D452" s="2" t="s">
        <v>3029</v>
      </c>
      <c r="E452" s="2" t="s">
        <v>3033</v>
      </c>
      <c r="F452" s="2" t="s">
        <v>318</v>
      </c>
      <c r="G452" t="s">
        <v>6191</v>
      </c>
      <c r="H452" t="str">
        <f>VLOOKUP('Combined table'!B452,products!$A$1:$G$49,2,FALSE)</f>
        <v>Lib</v>
      </c>
      <c r="I452" t="str">
        <f>VLOOKUP('Combined table'!B452,products!$A$1:$G$49,3,FALSE)</f>
        <v>L</v>
      </c>
      <c r="J452">
        <f>VLOOKUP('Combined table'!B452,products!$A$1:$G$49,4,FALSE)</f>
        <v>0.2</v>
      </c>
      <c r="K452">
        <f>VLOOKUP('Combined table'!B452,products!$A$1:$G$49,5,FALSE)</f>
        <v>4.7549999999999999</v>
      </c>
      <c r="L452">
        <f>VLOOKUP('Combined table'!B452,products!$A$1:$G$49,6,FALSE)</f>
        <v>2.3774999999999999</v>
      </c>
      <c r="M452">
        <f>VLOOKUP('Combined table'!B452,products!$A$1:$G$49,7,FALSE)</f>
        <v>0.61814999999999998</v>
      </c>
      <c r="N452" t="str">
        <f>TEXT(A452,"mmm yyyy")</f>
        <v>Jan 2021</v>
      </c>
      <c r="O452">
        <f t="shared" si="7"/>
        <v>23.774999999999999</v>
      </c>
    </row>
    <row r="453" spans="1:15" x14ac:dyDescent="0.25">
      <c r="A453" s="3">
        <v>43518</v>
      </c>
      <c r="B453" t="s">
        <v>6149</v>
      </c>
      <c r="C453" s="2">
        <v>2</v>
      </c>
      <c r="D453" s="2" t="s">
        <v>3037</v>
      </c>
      <c r="E453" s="2" t="s">
        <v>35</v>
      </c>
      <c r="F453" s="2" t="s">
        <v>19</v>
      </c>
      <c r="G453" t="s">
        <v>6190</v>
      </c>
      <c r="H453" t="str">
        <f>VLOOKUP('Combined table'!B453,products!$A$1:$G$49,2,FALSE)</f>
        <v>Rob</v>
      </c>
      <c r="I453" t="str">
        <f>VLOOKUP('Combined table'!B453,products!$A$1:$G$49,3,FALSE)</f>
        <v>D</v>
      </c>
      <c r="J453">
        <f>VLOOKUP('Combined table'!B453,products!$A$1:$G$49,4,FALSE)</f>
        <v>2.5</v>
      </c>
      <c r="K453">
        <f>VLOOKUP('Combined table'!B453,products!$A$1:$G$49,5,FALSE)</f>
        <v>20.584999999999997</v>
      </c>
      <c r="L453">
        <f>VLOOKUP('Combined table'!B453,products!$A$1:$G$49,6,FALSE)</f>
        <v>0.82339999999999991</v>
      </c>
      <c r="M453">
        <f>VLOOKUP('Combined table'!B453,products!$A$1:$G$49,7,FALSE)</f>
        <v>1.2350999999999999</v>
      </c>
      <c r="N453" t="str">
        <f>TEXT(A453,"mmm yyyy")</f>
        <v>Feb 2019</v>
      </c>
      <c r="O453">
        <f t="shared" si="7"/>
        <v>41.169999999999995</v>
      </c>
    </row>
    <row r="454" spans="1:15" x14ac:dyDescent="0.25">
      <c r="A454" s="3">
        <v>44524</v>
      </c>
      <c r="B454" t="s">
        <v>6167</v>
      </c>
      <c r="C454" s="2">
        <v>3</v>
      </c>
      <c r="D454" s="2" t="s">
        <v>3043</v>
      </c>
      <c r="E454" s="2" t="s">
        <v>105</v>
      </c>
      <c r="F454" s="2" t="s">
        <v>19</v>
      </c>
      <c r="G454" t="s">
        <v>6191</v>
      </c>
      <c r="H454" t="str">
        <f>VLOOKUP('Combined table'!B454,products!$A$1:$G$49,2,FALSE)</f>
        <v>Ara</v>
      </c>
      <c r="I454" t="str">
        <f>VLOOKUP('Combined table'!B454,products!$A$1:$G$49,3,FALSE)</f>
        <v>L</v>
      </c>
      <c r="J454">
        <f>VLOOKUP('Combined table'!B454,products!$A$1:$G$49,4,FALSE)</f>
        <v>0.2</v>
      </c>
      <c r="K454">
        <f>VLOOKUP('Combined table'!B454,products!$A$1:$G$49,5,FALSE)</f>
        <v>3.8849999999999998</v>
      </c>
      <c r="L454">
        <f>VLOOKUP('Combined table'!B454,products!$A$1:$G$49,6,FALSE)</f>
        <v>1.9424999999999999</v>
      </c>
      <c r="M454">
        <f>VLOOKUP('Combined table'!B454,products!$A$1:$G$49,7,FALSE)</f>
        <v>0.34964999999999996</v>
      </c>
      <c r="N454" t="str">
        <f>TEXT(A454,"mmm yyyy")</f>
        <v>Nov 2021</v>
      </c>
      <c r="O454">
        <f t="shared" si="7"/>
        <v>11.654999999999999</v>
      </c>
    </row>
    <row r="455" spans="1:15" x14ac:dyDescent="0.25">
      <c r="A455" s="3">
        <v>44579</v>
      </c>
      <c r="B455" t="s">
        <v>6161</v>
      </c>
      <c r="C455" s="2">
        <v>4</v>
      </c>
      <c r="D455" s="2" t="s">
        <v>3049</v>
      </c>
      <c r="E455" s="2" t="s">
        <v>202</v>
      </c>
      <c r="F455" s="2" t="s">
        <v>19</v>
      </c>
      <c r="G455" t="s">
        <v>6191</v>
      </c>
      <c r="H455" t="str">
        <f>VLOOKUP('Combined table'!B455,products!$A$1:$G$49,2,FALSE)</f>
        <v>Lib</v>
      </c>
      <c r="I455" t="str">
        <f>VLOOKUP('Combined table'!B455,products!$A$1:$G$49,3,FALSE)</f>
        <v>L</v>
      </c>
      <c r="J455">
        <f>VLOOKUP('Combined table'!B455,products!$A$1:$G$49,4,FALSE)</f>
        <v>0.5</v>
      </c>
      <c r="K455">
        <f>VLOOKUP('Combined table'!B455,products!$A$1:$G$49,5,FALSE)</f>
        <v>9.51</v>
      </c>
      <c r="L455">
        <f>VLOOKUP('Combined table'!B455,products!$A$1:$G$49,6,FALSE)</f>
        <v>1.9019999999999999</v>
      </c>
      <c r="M455">
        <f>VLOOKUP('Combined table'!B455,products!$A$1:$G$49,7,FALSE)</f>
        <v>1.2363</v>
      </c>
      <c r="N455" t="str">
        <f>TEXT(A455,"mmm yyyy")</f>
        <v>Jan 2022</v>
      </c>
      <c r="O455">
        <f t="shared" si="7"/>
        <v>38.04</v>
      </c>
    </row>
    <row r="456" spans="1:15" x14ac:dyDescent="0.25">
      <c r="A456" s="3">
        <v>44421</v>
      </c>
      <c r="B456" t="s">
        <v>6149</v>
      </c>
      <c r="C456" s="2">
        <v>4</v>
      </c>
      <c r="D456" s="2" t="s">
        <v>3055</v>
      </c>
      <c r="E456" s="2" t="s">
        <v>449</v>
      </c>
      <c r="F456" s="2" t="s">
        <v>318</v>
      </c>
      <c r="G456" t="s">
        <v>6190</v>
      </c>
      <c r="H456" t="str">
        <f>VLOOKUP('Combined table'!B456,products!$A$1:$G$49,2,FALSE)</f>
        <v>Rob</v>
      </c>
      <c r="I456" t="str">
        <f>VLOOKUP('Combined table'!B456,products!$A$1:$G$49,3,FALSE)</f>
        <v>D</v>
      </c>
      <c r="J456">
        <f>VLOOKUP('Combined table'!B456,products!$A$1:$G$49,4,FALSE)</f>
        <v>2.5</v>
      </c>
      <c r="K456">
        <f>VLOOKUP('Combined table'!B456,products!$A$1:$G$49,5,FALSE)</f>
        <v>20.584999999999997</v>
      </c>
      <c r="L456">
        <f>VLOOKUP('Combined table'!B456,products!$A$1:$G$49,6,FALSE)</f>
        <v>0.82339999999999991</v>
      </c>
      <c r="M456">
        <f>VLOOKUP('Combined table'!B456,products!$A$1:$G$49,7,FALSE)</f>
        <v>1.2350999999999999</v>
      </c>
      <c r="N456" t="str">
        <f>TEXT(A456,"mmm yyyy")</f>
        <v>Aug 2021</v>
      </c>
      <c r="O456">
        <f t="shared" si="7"/>
        <v>82.339999999999989</v>
      </c>
    </row>
    <row r="457" spans="1:15" x14ac:dyDescent="0.25">
      <c r="A457" s="3">
        <v>43841</v>
      </c>
      <c r="B457" t="s">
        <v>6145</v>
      </c>
      <c r="C457" s="2">
        <v>2</v>
      </c>
      <c r="D457" s="2" t="s">
        <v>3060</v>
      </c>
      <c r="E457" s="2" t="s">
        <v>488</v>
      </c>
      <c r="F457" s="2" t="s">
        <v>318</v>
      </c>
      <c r="G457" t="s">
        <v>6190</v>
      </c>
      <c r="H457" t="str">
        <f>VLOOKUP('Combined table'!B457,products!$A$1:$G$49,2,FALSE)</f>
        <v>Lib</v>
      </c>
      <c r="I457" t="str">
        <f>VLOOKUP('Combined table'!B457,products!$A$1:$G$49,3,FALSE)</f>
        <v>L</v>
      </c>
      <c r="J457">
        <f>VLOOKUP('Combined table'!B457,products!$A$1:$G$49,4,FALSE)</f>
        <v>0.2</v>
      </c>
      <c r="K457">
        <f>VLOOKUP('Combined table'!B457,products!$A$1:$G$49,5,FALSE)</f>
        <v>4.7549999999999999</v>
      </c>
      <c r="L457">
        <f>VLOOKUP('Combined table'!B457,products!$A$1:$G$49,6,FALSE)</f>
        <v>2.3774999999999999</v>
      </c>
      <c r="M457">
        <f>VLOOKUP('Combined table'!B457,products!$A$1:$G$49,7,FALSE)</f>
        <v>0.61814999999999998</v>
      </c>
      <c r="N457" t="str">
        <f>TEXT(A457,"mmm yyyy")</f>
        <v>Jan 2020</v>
      </c>
      <c r="O457">
        <f t="shared" si="7"/>
        <v>9.51</v>
      </c>
    </row>
    <row r="458" spans="1:15" x14ac:dyDescent="0.25">
      <c r="A458" s="3">
        <v>44017</v>
      </c>
      <c r="B458" t="s">
        <v>6149</v>
      </c>
      <c r="C458" s="2">
        <v>2</v>
      </c>
      <c r="D458" s="2" t="s">
        <v>3066</v>
      </c>
      <c r="E458" s="2" t="s">
        <v>284</v>
      </c>
      <c r="F458" s="2" t="s">
        <v>28</v>
      </c>
      <c r="G458" t="s">
        <v>6191</v>
      </c>
      <c r="H458" t="str">
        <f>VLOOKUP('Combined table'!B458,products!$A$1:$G$49,2,FALSE)</f>
        <v>Rob</v>
      </c>
      <c r="I458" t="str">
        <f>VLOOKUP('Combined table'!B458,products!$A$1:$G$49,3,FALSE)</f>
        <v>D</v>
      </c>
      <c r="J458">
        <f>VLOOKUP('Combined table'!B458,products!$A$1:$G$49,4,FALSE)</f>
        <v>2.5</v>
      </c>
      <c r="K458">
        <f>VLOOKUP('Combined table'!B458,products!$A$1:$G$49,5,FALSE)</f>
        <v>20.584999999999997</v>
      </c>
      <c r="L458">
        <f>VLOOKUP('Combined table'!B458,products!$A$1:$G$49,6,FALSE)</f>
        <v>0.82339999999999991</v>
      </c>
      <c r="M458">
        <f>VLOOKUP('Combined table'!B458,products!$A$1:$G$49,7,FALSE)</f>
        <v>1.2350999999999999</v>
      </c>
      <c r="N458" t="str">
        <f>TEXT(A458,"mmm yyyy")</f>
        <v>Jul 2020</v>
      </c>
      <c r="O458">
        <f t="shared" si="7"/>
        <v>41.169999999999995</v>
      </c>
    </row>
    <row r="459" spans="1:15" x14ac:dyDescent="0.25">
      <c r="A459" s="3">
        <v>43671</v>
      </c>
      <c r="B459" t="s">
        <v>6161</v>
      </c>
      <c r="C459" s="2">
        <v>5</v>
      </c>
      <c r="D459" s="2" t="s">
        <v>3072</v>
      </c>
      <c r="E459" s="2" t="s">
        <v>219</v>
      </c>
      <c r="F459" s="2" t="s">
        <v>19</v>
      </c>
      <c r="G459" t="s">
        <v>6191</v>
      </c>
      <c r="H459" t="str">
        <f>VLOOKUP('Combined table'!B459,products!$A$1:$G$49,2,FALSE)</f>
        <v>Lib</v>
      </c>
      <c r="I459" t="str">
        <f>VLOOKUP('Combined table'!B459,products!$A$1:$G$49,3,FALSE)</f>
        <v>L</v>
      </c>
      <c r="J459">
        <f>VLOOKUP('Combined table'!B459,products!$A$1:$G$49,4,FALSE)</f>
        <v>0.5</v>
      </c>
      <c r="K459">
        <f>VLOOKUP('Combined table'!B459,products!$A$1:$G$49,5,FALSE)</f>
        <v>9.51</v>
      </c>
      <c r="L459">
        <f>VLOOKUP('Combined table'!B459,products!$A$1:$G$49,6,FALSE)</f>
        <v>1.9019999999999999</v>
      </c>
      <c r="M459">
        <f>VLOOKUP('Combined table'!B459,products!$A$1:$G$49,7,FALSE)</f>
        <v>1.2363</v>
      </c>
      <c r="N459" t="str">
        <f>TEXT(A459,"mmm yyyy")</f>
        <v>Jul 2019</v>
      </c>
      <c r="O459">
        <f t="shared" si="7"/>
        <v>47.55</v>
      </c>
    </row>
    <row r="460" spans="1:15" x14ac:dyDescent="0.25">
      <c r="A460" s="3">
        <v>44707</v>
      </c>
      <c r="B460" t="s">
        <v>6155</v>
      </c>
      <c r="C460" s="2">
        <v>4</v>
      </c>
      <c r="D460" s="2" t="s">
        <v>3078</v>
      </c>
      <c r="E460" s="2" t="s">
        <v>126</v>
      </c>
      <c r="F460" s="2" t="s">
        <v>19</v>
      </c>
      <c r="G460" t="s">
        <v>6191</v>
      </c>
      <c r="H460" t="str">
        <f>VLOOKUP('Combined table'!B460,products!$A$1:$G$49,2,FALSE)</f>
        <v>Ara</v>
      </c>
      <c r="I460" t="str">
        <f>VLOOKUP('Combined table'!B460,products!$A$1:$G$49,3,FALSE)</f>
        <v>M</v>
      </c>
      <c r="J460">
        <f>VLOOKUP('Combined table'!B460,products!$A$1:$G$49,4,FALSE)</f>
        <v>1</v>
      </c>
      <c r="K460">
        <f>VLOOKUP('Combined table'!B460,products!$A$1:$G$49,5,FALSE)</f>
        <v>11.25</v>
      </c>
      <c r="L460">
        <f>VLOOKUP('Combined table'!B460,products!$A$1:$G$49,6,FALSE)</f>
        <v>1.125</v>
      </c>
      <c r="M460">
        <f>VLOOKUP('Combined table'!B460,products!$A$1:$G$49,7,FALSE)</f>
        <v>1.0125</v>
      </c>
      <c r="N460" t="str">
        <f>TEXT(A460,"mmm yyyy")</f>
        <v>May 2022</v>
      </c>
      <c r="O460">
        <f t="shared" si="7"/>
        <v>45</v>
      </c>
    </row>
    <row r="461" spans="1:15" x14ac:dyDescent="0.25">
      <c r="A461" s="3">
        <v>43840</v>
      </c>
      <c r="B461" t="s">
        <v>6145</v>
      </c>
      <c r="C461" s="2">
        <v>5</v>
      </c>
      <c r="D461" s="2" t="s">
        <v>3084</v>
      </c>
      <c r="E461" s="2" t="s">
        <v>33</v>
      </c>
      <c r="F461" s="2" t="s">
        <v>19</v>
      </c>
      <c r="G461" t="s">
        <v>6191</v>
      </c>
      <c r="H461" t="str">
        <f>VLOOKUP('Combined table'!B461,products!$A$1:$G$49,2,FALSE)</f>
        <v>Lib</v>
      </c>
      <c r="I461" t="str">
        <f>VLOOKUP('Combined table'!B461,products!$A$1:$G$49,3,FALSE)</f>
        <v>L</v>
      </c>
      <c r="J461">
        <f>VLOOKUP('Combined table'!B461,products!$A$1:$G$49,4,FALSE)</f>
        <v>0.2</v>
      </c>
      <c r="K461">
        <f>VLOOKUP('Combined table'!B461,products!$A$1:$G$49,5,FALSE)</f>
        <v>4.7549999999999999</v>
      </c>
      <c r="L461">
        <f>VLOOKUP('Combined table'!B461,products!$A$1:$G$49,6,FALSE)</f>
        <v>2.3774999999999999</v>
      </c>
      <c r="M461">
        <f>VLOOKUP('Combined table'!B461,products!$A$1:$G$49,7,FALSE)</f>
        <v>0.61814999999999998</v>
      </c>
      <c r="N461" t="str">
        <f>TEXT(A461,"mmm yyyy")</f>
        <v>Jan 2020</v>
      </c>
      <c r="O461">
        <f t="shared" si="7"/>
        <v>23.774999999999999</v>
      </c>
    </row>
    <row r="462" spans="1:15" x14ac:dyDescent="0.25">
      <c r="A462" s="3">
        <v>43602</v>
      </c>
      <c r="B462" t="s">
        <v>6172</v>
      </c>
      <c r="C462" s="2">
        <v>3</v>
      </c>
      <c r="D462" s="2" t="s">
        <v>3090</v>
      </c>
      <c r="E462" s="2" t="s">
        <v>399</v>
      </c>
      <c r="F462" s="2" t="s">
        <v>318</v>
      </c>
      <c r="G462" t="s">
        <v>6190</v>
      </c>
      <c r="H462" t="str">
        <f>VLOOKUP('Combined table'!B462,products!$A$1:$G$49,2,FALSE)</f>
        <v>Rob</v>
      </c>
      <c r="I462" t="str">
        <f>VLOOKUP('Combined table'!B462,products!$A$1:$G$49,3,FALSE)</f>
        <v>D</v>
      </c>
      <c r="J462">
        <f>VLOOKUP('Combined table'!B462,products!$A$1:$G$49,4,FALSE)</f>
        <v>0.5</v>
      </c>
      <c r="K462">
        <f>VLOOKUP('Combined table'!B462,products!$A$1:$G$49,5,FALSE)</f>
        <v>5.3699999999999992</v>
      </c>
      <c r="L462">
        <f>VLOOKUP('Combined table'!B462,products!$A$1:$G$49,6,FALSE)</f>
        <v>1.0739999999999998</v>
      </c>
      <c r="M462">
        <f>VLOOKUP('Combined table'!B462,products!$A$1:$G$49,7,FALSE)</f>
        <v>0.32219999999999993</v>
      </c>
      <c r="N462" t="str">
        <f>TEXT(A462,"mmm yyyy")</f>
        <v>May 2019</v>
      </c>
      <c r="O462">
        <f t="shared" si="7"/>
        <v>16.11</v>
      </c>
    </row>
    <row r="463" spans="1:15" x14ac:dyDescent="0.25">
      <c r="A463" s="3">
        <v>44036</v>
      </c>
      <c r="B463" t="s">
        <v>6163</v>
      </c>
      <c r="C463" s="2">
        <v>4</v>
      </c>
      <c r="D463" s="2" t="s">
        <v>3096</v>
      </c>
      <c r="E463" s="2" t="s">
        <v>85</v>
      </c>
      <c r="F463" s="2" t="s">
        <v>28</v>
      </c>
      <c r="G463" t="s">
        <v>6190</v>
      </c>
      <c r="H463" t="str">
        <f>VLOOKUP('Combined table'!B463,products!$A$1:$G$49,2,FALSE)</f>
        <v>Rob</v>
      </c>
      <c r="I463" t="str">
        <f>VLOOKUP('Combined table'!B463,products!$A$1:$G$49,3,FALSE)</f>
        <v>D</v>
      </c>
      <c r="J463">
        <f>VLOOKUP('Combined table'!B463,products!$A$1:$G$49,4,FALSE)</f>
        <v>0.2</v>
      </c>
      <c r="K463">
        <f>VLOOKUP('Combined table'!B463,products!$A$1:$G$49,5,FALSE)</f>
        <v>2.6849999999999996</v>
      </c>
      <c r="L463">
        <f>VLOOKUP('Combined table'!B463,products!$A$1:$G$49,6,FALSE)</f>
        <v>1.3424999999999998</v>
      </c>
      <c r="M463">
        <f>VLOOKUP('Combined table'!B463,products!$A$1:$G$49,7,FALSE)</f>
        <v>0.16109999999999997</v>
      </c>
      <c r="N463" t="str">
        <f>TEXT(A463,"mmm yyyy")</f>
        <v>Jul 2020</v>
      </c>
      <c r="O463">
        <f t="shared" si="7"/>
        <v>10.739999999999998</v>
      </c>
    </row>
    <row r="464" spans="1:15" x14ac:dyDescent="0.25">
      <c r="A464" s="3">
        <v>44124</v>
      </c>
      <c r="B464" t="s">
        <v>6147</v>
      </c>
      <c r="C464" s="2">
        <v>5</v>
      </c>
      <c r="D464" s="2" t="s">
        <v>3102</v>
      </c>
      <c r="E464" s="2" t="s">
        <v>84</v>
      </c>
      <c r="F464" s="2" t="s">
        <v>19</v>
      </c>
      <c r="G464" t="s">
        <v>6190</v>
      </c>
      <c r="H464" t="str">
        <f>VLOOKUP('Combined table'!B464,products!$A$1:$G$49,2,FALSE)</f>
        <v>Ara</v>
      </c>
      <c r="I464" t="str">
        <f>VLOOKUP('Combined table'!B464,products!$A$1:$G$49,3,FALSE)</f>
        <v>D</v>
      </c>
      <c r="J464">
        <f>VLOOKUP('Combined table'!B464,products!$A$1:$G$49,4,FALSE)</f>
        <v>1</v>
      </c>
      <c r="K464">
        <f>VLOOKUP('Combined table'!B464,products!$A$1:$G$49,5,FALSE)</f>
        <v>9.9499999999999993</v>
      </c>
      <c r="L464">
        <f>VLOOKUP('Combined table'!B464,products!$A$1:$G$49,6,FALSE)</f>
        <v>0.99499999999999988</v>
      </c>
      <c r="M464">
        <f>VLOOKUP('Combined table'!B464,products!$A$1:$G$49,7,FALSE)</f>
        <v>0.89549999999999985</v>
      </c>
      <c r="N464" t="str">
        <f>TEXT(A464,"mmm yyyy")</f>
        <v>Oct 2020</v>
      </c>
      <c r="O464">
        <f t="shared" si="7"/>
        <v>49.75</v>
      </c>
    </row>
    <row r="465" spans="1:15" x14ac:dyDescent="0.25">
      <c r="A465" s="3">
        <v>43730</v>
      </c>
      <c r="B465" t="s">
        <v>6141</v>
      </c>
      <c r="C465" s="2">
        <v>2</v>
      </c>
      <c r="D465" s="2" t="s">
        <v>3108</v>
      </c>
      <c r="E465" s="2" t="s">
        <v>439</v>
      </c>
      <c r="F465" s="2" t="s">
        <v>318</v>
      </c>
      <c r="G465" t="s">
        <v>6191</v>
      </c>
      <c r="H465" t="str">
        <f>VLOOKUP('Combined table'!B465,products!$A$1:$G$49,2,FALSE)</f>
        <v>Exc</v>
      </c>
      <c r="I465" t="str">
        <f>VLOOKUP('Combined table'!B465,products!$A$1:$G$49,3,FALSE)</f>
        <v>M</v>
      </c>
      <c r="J465">
        <f>VLOOKUP('Combined table'!B465,products!$A$1:$G$49,4,FALSE)</f>
        <v>1</v>
      </c>
      <c r="K465">
        <f>VLOOKUP('Combined table'!B465,products!$A$1:$G$49,5,FALSE)</f>
        <v>13.75</v>
      </c>
      <c r="L465">
        <f>VLOOKUP('Combined table'!B465,products!$A$1:$G$49,6,FALSE)</f>
        <v>1.375</v>
      </c>
      <c r="M465">
        <f>VLOOKUP('Combined table'!B465,products!$A$1:$G$49,7,FALSE)</f>
        <v>1.5125</v>
      </c>
      <c r="N465" t="str">
        <f>TEXT(A465,"mmm yyyy")</f>
        <v>Sep 2019</v>
      </c>
      <c r="O465">
        <f t="shared" si="7"/>
        <v>27.5</v>
      </c>
    </row>
    <row r="466" spans="1:15" x14ac:dyDescent="0.25">
      <c r="A466" s="3">
        <v>43989</v>
      </c>
      <c r="B466" t="s">
        <v>6165</v>
      </c>
      <c r="C466" s="2">
        <v>4</v>
      </c>
      <c r="D466" s="2" t="s">
        <v>3114</v>
      </c>
      <c r="E466" s="2" t="s">
        <v>299</v>
      </c>
      <c r="F466" s="2" t="s">
        <v>28</v>
      </c>
      <c r="G466" t="s">
        <v>6191</v>
      </c>
      <c r="H466" t="str">
        <f>VLOOKUP('Combined table'!B466,products!$A$1:$G$49,2,FALSE)</f>
        <v>Lib</v>
      </c>
      <c r="I466" t="str">
        <f>VLOOKUP('Combined table'!B466,products!$A$1:$G$49,3,FALSE)</f>
        <v>D</v>
      </c>
      <c r="J466">
        <f>VLOOKUP('Combined table'!B466,products!$A$1:$G$49,4,FALSE)</f>
        <v>2.5</v>
      </c>
      <c r="K466">
        <f>VLOOKUP('Combined table'!B466,products!$A$1:$G$49,5,FALSE)</f>
        <v>29.784999999999997</v>
      </c>
      <c r="L466">
        <f>VLOOKUP('Combined table'!B466,products!$A$1:$G$49,6,FALSE)</f>
        <v>1.1913999999999998</v>
      </c>
      <c r="M466">
        <f>VLOOKUP('Combined table'!B466,products!$A$1:$G$49,7,FALSE)</f>
        <v>3.8720499999999998</v>
      </c>
      <c r="N466" t="str">
        <f>TEXT(A466,"mmm yyyy")</f>
        <v>Jun 2020</v>
      </c>
      <c r="O466">
        <f t="shared" si="7"/>
        <v>119.13999999999999</v>
      </c>
    </row>
    <row r="467" spans="1:15" x14ac:dyDescent="0.25">
      <c r="A467" s="3">
        <v>43814</v>
      </c>
      <c r="B467" t="s">
        <v>6149</v>
      </c>
      <c r="C467" s="2">
        <v>1</v>
      </c>
      <c r="D467" s="2" t="s">
        <v>3120</v>
      </c>
      <c r="E467" s="2" t="s">
        <v>49</v>
      </c>
      <c r="F467" s="2" t="s">
        <v>19</v>
      </c>
      <c r="G467" t="s">
        <v>6190</v>
      </c>
      <c r="H467" t="str">
        <f>VLOOKUP('Combined table'!B467,products!$A$1:$G$49,2,FALSE)</f>
        <v>Rob</v>
      </c>
      <c r="I467" t="str">
        <f>VLOOKUP('Combined table'!B467,products!$A$1:$G$49,3,FALSE)</f>
        <v>D</v>
      </c>
      <c r="J467">
        <f>VLOOKUP('Combined table'!B467,products!$A$1:$G$49,4,FALSE)</f>
        <v>2.5</v>
      </c>
      <c r="K467">
        <f>VLOOKUP('Combined table'!B467,products!$A$1:$G$49,5,FALSE)</f>
        <v>20.584999999999997</v>
      </c>
      <c r="L467">
        <f>VLOOKUP('Combined table'!B467,products!$A$1:$G$49,6,FALSE)</f>
        <v>0.82339999999999991</v>
      </c>
      <c r="M467">
        <f>VLOOKUP('Combined table'!B467,products!$A$1:$G$49,7,FALSE)</f>
        <v>1.2350999999999999</v>
      </c>
      <c r="N467" t="str">
        <f>TEXT(A467,"mmm yyyy")</f>
        <v>Dec 2019</v>
      </c>
      <c r="O467">
        <f t="shared" si="7"/>
        <v>20.584999999999997</v>
      </c>
    </row>
    <row r="468" spans="1:15" x14ac:dyDescent="0.25">
      <c r="A468" s="3">
        <v>44171</v>
      </c>
      <c r="B468" t="s">
        <v>6154</v>
      </c>
      <c r="C468" s="2">
        <v>3</v>
      </c>
      <c r="D468" s="2" t="s">
        <v>3126</v>
      </c>
      <c r="E468" s="2" t="s">
        <v>158</v>
      </c>
      <c r="F468" s="2" t="s">
        <v>19</v>
      </c>
      <c r="G468" t="s">
        <v>6190</v>
      </c>
      <c r="H468" t="str">
        <f>VLOOKUP('Combined table'!B468,products!$A$1:$G$49,2,FALSE)</f>
        <v>Ara</v>
      </c>
      <c r="I468" t="str">
        <f>VLOOKUP('Combined table'!B468,products!$A$1:$G$49,3,FALSE)</f>
        <v>D</v>
      </c>
      <c r="J468">
        <f>VLOOKUP('Combined table'!B468,products!$A$1:$G$49,4,FALSE)</f>
        <v>0.2</v>
      </c>
      <c r="K468">
        <f>VLOOKUP('Combined table'!B468,products!$A$1:$G$49,5,FALSE)</f>
        <v>2.9849999999999999</v>
      </c>
      <c r="L468">
        <f>VLOOKUP('Combined table'!B468,products!$A$1:$G$49,6,FALSE)</f>
        <v>1.4924999999999999</v>
      </c>
      <c r="M468">
        <f>VLOOKUP('Combined table'!B468,products!$A$1:$G$49,7,FALSE)</f>
        <v>0.26865</v>
      </c>
      <c r="N468" t="str">
        <f>TEXT(A468,"mmm yyyy")</f>
        <v>Dec 2020</v>
      </c>
      <c r="O468">
        <f t="shared" si="7"/>
        <v>8.9550000000000001</v>
      </c>
    </row>
    <row r="469" spans="1:15" x14ac:dyDescent="0.25">
      <c r="A469" s="3">
        <v>44536</v>
      </c>
      <c r="B469" t="s">
        <v>6158</v>
      </c>
      <c r="C469" s="2">
        <v>1</v>
      </c>
      <c r="D469" s="2" t="s">
        <v>3132</v>
      </c>
      <c r="E469" s="2" t="s">
        <v>201</v>
      </c>
      <c r="F469" s="2" t="s">
        <v>19</v>
      </c>
      <c r="G469" t="s">
        <v>6191</v>
      </c>
      <c r="H469" t="str">
        <f>VLOOKUP('Combined table'!B469,products!$A$1:$G$49,2,FALSE)</f>
        <v>Ara</v>
      </c>
      <c r="I469" t="str">
        <f>VLOOKUP('Combined table'!B469,products!$A$1:$G$49,3,FALSE)</f>
        <v>D</v>
      </c>
      <c r="J469">
        <f>VLOOKUP('Combined table'!B469,products!$A$1:$G$49,4,FALSE)</f>
        <v>0.5</v>
      </c>
      <c r="K469">
        <f>VLOOKUP('Combined table'!B469,products!$A$1:$G$49,5,FALSE)</f>
        <v>5.97</v>
      </c>
      <c r="L469">
        <f>VLOOKUP('Combined table'!B469,products!$A$1:$G$49,6,FALSE)</f>
        <v>1.194</v>
      </c>
      <c r="M469">
        <f>VLOOKUP('Combined table'!B469,products!$A$1:$G$49,7,FALSE)</f>
        <v>0.5373</v>
      </c>
      <c r="N469" t="str">
        <f>TEXT(A469,"mmm yyyy")</f>
        <v>Dec 2021</v>
      </c>
      <c r="O469">
        <f t="shared" si="7"/>
        <v>5.97</v>
      </c>
    </row>
    <row r="470" spans="1:15" x14ac:dyDescent="0.25">
      <c r="A470" s="3">
        <v>44023</v>
      </c>
      <c r="B470" t="s">
        <v>6141</v>
      </c>
      <c r="C470" s="2">
        <v>3</v>
      </c>
      <c r="D470" s="2" t="s">
        <v>3138</v>
      </c>
      <c r="E470" s="2" t="s">
        <v>140</v>
      </c>
      <c r="F470" s="2" t="s">
        <v>19</v>
      </c>
      <c r="G470" t="s">
        <v>6190</v>
      </c>
      <c r="H470" t="str">
        <f>VLOOKUP('Combined table'!B470,products!$A$1:$G$49,2,FALSE)</f>
        <v>Exc</v>
      </c>
      <c r="I470" t="str">
        <f>VLOOKUP('Combined table'!B470,products!$A$1:$G$49,3,FALSE)</f>
        <v>M</v>
      </c>
      <c r="J470">
        <f>VLOOKUP('Combined table'!B470,products!$A$1:$G$49,4,FALSE)</f>
        <v>1</v>
      </c>
      <c r="K470">
        <f>VLOOKUP('Combined table'!B470,products!$A$1:$G$49,5,FALSE)</f>
        <v>13.75</v>
      </c>
      <c r="L470">
        <f>VLOOKUP('Combined table'!B470,products!$A$1:$G$49,6,FALSE)</f>
        <v>1.375</v>
      </c>
      <c r="M470">
        <f>VLOOKUP('Combined table'!B470,products!$A$1:$G$49,7,FALSE)</f>
        <v>1.5125</v>
      </c>
      <c r="N470" t="str">
        <f>TEXT(A470,"mmm yyyy")</f>
        <v>Jul 2020</v>
      </c>
      <c r="O470">
        <f t="shared" si="7"/>
        <v>41.25</v>
      </c>
    </row>
    <row r="471" spans="1:15" x14ac:dyDescent="0.25">
      <c r="A471" s="3">
        <v>44375</v>
      </c>
      <c r="B471" t="s">
        <v>6184</v>
      </c>
      <c r="C471" s="2">
        <v>5</v>
      </c>
      <c r="D471" s="2" t="s">
        <v>3143</v>
      </c>
      <c r="E471" s="2" t="s">
        <v>98</v>
      </c>
      <c r="F471" s="2" t="s">
        <v>19</v>
      </c>
      <c r="G471" t="s">
        <v>6190</v>
      </c>
      <c r="H471" t="str">
        <f>VLOOKUP('Combined table'!B471,products!$A$1:$G$49,2,FALSE)</f>
        <v>Exc</v>
      </c>
      <c r="I471" t="str">
        <f>VLOOKUP('Combined table'!B471,products!$A$1:$G$49,3,FALSE)</f>
        <v>L</v>
      </c>
      <c r="J471">
        <f>VLOOKUP('Combined table'!B471,products!$A$1:$G$49,4,FALSE)</f>
        <v>0.2</v>
      </c>
      <c r="K471">
        <f>VLOOKUP('Combined table'!B471,products!$A$1:$G$49,5,FALSE)</f>
        <v>4.4550000000000001</v>
      </c>
      <c r="L471">
        <f>VLOOKUP('Combined table'!B471,products!$A$1:$G$49,6,FALSE)</f>
        <v>2.2275</v>
      </c>
      <c r="M471">
        <f>VLOOKUP('Combined table'!B471,products!$A$1:$G$49,7,FALSE)</f>
        <v>0.49004999999999999</v>
      </c>
      <c r="N471" t="str">
        <f>TEXT(A471,"mmm yyyy")</f>
        <v>Jun 2021</v>
      </c>
      <c r="O471">
        <f t="shared" si="7"/>
        <v>22.274999999999999</v>
      </c>
    </row>
    <row r="472" spans="1:15" x14ac:dyDescent="0.25">
      <c r="A472" s="3">
        <v>44656</v>
      </c>
      <c r="B472" t="s">
        <v>6157</v>
      </c>
      <c r="C472" s="2">
        <v>1</v>
      </c>
      <c r="D472" s="2" t="s">
        <v>3149</v>
      </c>
      <c r="E472" s="2" t="s">
        <v>259</v>
      </c>
      <c r="F472" s="2" t="s">
        <v>19</v>
      </c>
      <c r="G472" t="s">
        <v>6190</v>
      </c>
      <c r="H472" t="str">
        <f>VLOOKUP('Combined table'!B472,products!$A$1:$G$49,2,FALSE)</f>
        <v>Ara</v>
      </c>
      <c r="I472" t="str">
        <f>VLOOKUP('Combined table'!B472,products!$A$1:$G$49,3,FALSE)</f>
        <v>M</v>
      </c>
      <c r="J472">
        <f>VLOOKUP('Combined table'!B472,products!$A$1:$G$49,4,FALSE)</f>
        <v>0.5</v>
      </c>
      <c r="K472">
        <f>VLOOKUP('Combined table'!B472,products!$A$1:$G$49,5,FALSE)</f>
        <v>6.75</v>
      </c>
      <c r="L472">
        <f>VLOOKUP('Combined table'!B472,products!$A$1:$G$49,6,FALSE)</f>
        <v>1.35</v>
      </c>
      <c r="M472">
        <f>VLOOKUP('Combined table'!B472,products!$A$1:$G$49,7,FALSE)</f>
        <v>0.60749999999999993</v>
      </c>
      <c r="N472" t="str">
        <f>TEXT(A472,"mmm yyyy")</f>
        <v>Apr 2022</v>
      </c>
      <c r="O472">
        <f t="shared" si="7"/>
        <v>6.75</v>
      </c>
    </row>
    <row r="473" spans="1:15" x14ac:dyDescent="0.25">
      <c r="A473" s="3">
        <v>44644</v>
      </c>
      <c r="B473" t="s">
        <v>6181</v>
      </c>
      <c r="C473" s="2">
        <v>4</v>
      </c>
      <c r="D473" s="2" t="s">
        <v>3155</v>
      </c>
      <c r="E473" s="2" t="s">
        <v>148</v>
      </c>
      <c r="F473" s="2" t="s">
        <v>19</v>
      </c>
      <c r="G473" t="s">
        <v>6190</v>
      </c>
      <c r="H473" t="str">
        <f>VLOOKUP('Combined table'!B473,products!$A$1:$G$49,2,FALSE)</f>
        <v>Lib</v>
      </c>
      <c r="I473" t="str">
        <f>VLOOKUP('Combined table'!B473,products!$A$1:$G$49,3,FALSE)</f>
        <v>M</v>
      </c>
      <c r="J473">
        <f>VLOOKUP('Combined table'!B473,products!$A$1:$G$49,4,FALSE)</f>
        <v>2.5</v>
      </c>
      <c r="K473">
        <f>VLOOKUP('Combined table'!B473,products!$A$1:$G$49,5,FALSE)</f>
        <v>33.464999999999996</v>
      </c>
      <c r="L473">
        <f>VLOOKUP('Combined table'!B473,products!$A$1:$G$49,6,FALSE)</f>
        <v>1.3385999999999998</v>
      </c>
      <c r="M473">
        <f>VLOOKUP('Combined table'!B473,products!$A$1:$G$49,7,FALSE)</f>
        <v>4.3504499999999995</v>
      </c>
      <c r="N473" t="str">
        <f>TEXT(A473,"mmm yyyy")</f>
        <v>Mar 2022</v>
      </c>
      <c r="O473">
        <f t="shared" si="7"/>
        <v>133.85999999999999</v>
      </c>
    </row>
    <row r="474" spans="1:15" x14ac:dyDescent="0.25">
      <c r="A474" s="3">
        <v>43869</v>
      </c>
      <c r="B474" t="s">
        <v>6154</v>
      </c>
      <c r="C474" s="2">
        <v>2</v>
      </c>
      <c r="D474" s="2" t="s">
        <v>3160</v>
      </c>
      <c r="E474" s="2" t="s">
        <v>67</v>
      </c>
      <c r="F474" s="2" t="s">
        <v>19</v>
      </c>
      <c r="G474" t="s">
        <v>6191</v>
      </c>
      <c r="H474" t="str">
        <f>VLOOKUP('Combined table'!B474,products!$A$1:$G$49,2,FALSE)</f>
        <v>Ara</v>
      </c>
      <c r="I474" t="str">
        <f>VLOOKUP('Combined table'!B474,products!$A$1:$G$49,3,FALSE)</f>
        <v>D</v>
      </c>
      <c r="J474">
        <f>VLOOKUP('Combined table'!B474,products!$A$1:$G$49,4,FALSE)</f>
        <v>0.2</v>
      </c>
      <c r="K474">
        <f>VLOOKUP('Combined table'!B474,products!$A$1:$G$49,5,FALSE)</f>
        <v>2.9849999999999999</v>
      </c>
      <c r="L474">
        <f>VLOOKUP('Combined table'!B474,products!$A$1:$G$49,6,FALSE)</f>
        <v>1.4924999999999999</v>
      </c>
      <c r="M474">
        <f>VLOOKUP('Combined table'!B474,products!$A$1:$G$49,7,FALSE)</f>
        <v>0.26865</v>
      </c>
      <c r="N474" t="str">
        <f>TEXT(A474,"mmm yyyy")</f>
        <v>Feb 2020</v>
      </c>
      <c r="O474">
        <f t="shared" si="7"/>
        <v>5.97</v>
      </c>
    </row>
    <row r="475" spans="1:15" x14ac:dyDescent="0.25">
      <c r="A475" s="3">
        <v>44603</v>
      </c>
      <c r="B475" t="s">
        <v>6140</v>
      </c>
      <c r="C475" s="2">
        <v>2</v>
      </c>
      <c r="D475" s="2" t="s">
        <v>3166</v>
      </c>
      <c r="E475" s="2" t="s">
        <v>105</v>
      </c>
      <c r="F475" s="2" t="s">
        <v>19</v>
      </c>
      <c r="G475" t="s">
        <v>6191</v>
      </c>
      <c r="H475" t="str">
        <f>VLOOKUP('Combined table'!B475,products!$A$1:$G$49,2,FALSE)</f>
        <v>Ara</v>
      </c>
      <c r="I475" t="str">
        <f>VLOOKUP('Combined table'!B475,products!$A$1:$G$49,3,FALSE)</f>
        <v>L</v>
      </c>
      <c r="J475">
        <f>VLOOKUP('Combined table'!B475,products!$A$1:$G$49,4,FALSE)</f>
        <v>1</v>
      </c>
      <c r="K475">
        <f>VLOOKUP('Combined table'!B475,products!$A$1:$G$49,5,FALSE)</f>
        <v>12.95</v>
      </c>
      <c r="L475">
        <f>VLOOKUP('Combined table'!B475,products!$A$1:$G$49,6,FALSE)</f>
        <v>1.2949999999999999</v>
      </c>
      <c r="M475">
        <f>VLOOKUP('Combined table'!B475,products!$A$1:$G$49,7,FALSE)</f>
        <v>1.1655</v>
      </c>
      <c r="N475" t="str">
        <f>TEXT(A475,"mmm yyyy")</f>
        <v>Feb 2022</v>
      </c>
      <c r="O475">
        <f t="shared" si="7"/>
        <v>25.9</v>
      </c>
    </row>
    <row r="476" spans="1:15" x14ac:dyDescent="0.25">
      <c r="A476" s="3">
        <v>44014</v>
      </c>
      <c r="B476" t="s">
        <v>6166</v>
      </c>
      <c r="C476" s="2">
        <v>1</v>
      </c>
      <c r="D476" s="2" t="s">
        <v>3172</v>
      </c>
      <c r="E476" s="2" t="s">
        <v>393</v>
      </c>
      <c r="F476" s="2" t="s">
        <v>318</v>
      </c>
      <c r="G476" t="s">
        <v>6190</v>
      </c>
      <c r="H476" t="str">
        <f>VLOOKUP('Combined table'!B476,products!$A$1:$G$49,2,FALSE)</f>
        <v>Exc</v>
      </c>
      <c r="I476" t="str">
        <f>VLOOKUP('Combined table'!B476,products!$A$1:$G$49,3,FALSE)</f>
        <v>M</v>
      </c>
      <c r="J476">
        <f>VLOOKUP('Combined table'!B476,products!$A$1:$G$49,4,FALSE)</f>
        <v>2.5</v>
      </c>
      <c r="K476">
        <f>VLOOKUP('Combined table'!B476,products!$A$1:$G$49,5,FALSE)</f>
        <v>31.624999999999996</v>
      </c>
      <c r="L476">
        <f>VLOOKUP('Combined table'!B476,products!$A$1:$G$49,6,FALSE)</f>
        <v>1.2649999999999999</v>
      </c>
      <c r="M476">
        <f>VLOOKUP('Combined table'!B476,products!$A$1:$G$49,7,FALSE)</f>
        <v>3.4787499999999998</v>
      </c>
      <c r="N476" t="str">
        <f>TEXT(A476,"mmm yyyy")</f>
        <v>Jul 2020</v>
      </c>
      <c r="O476">
        <f t="shared" si="7"/>
        <v>31.624999999999996</v>
      </c>
    </row>
    <row r="477" spans="1:15" x14ac:dyDescent="0.25">
      <c r="A477" s="3">
        <v>44767</v>
      </c>
      <c r="B477" t="s">
        <v>6159</v>
      </c>
      <c r="C477" s="2">
        <v>2</v>
      </c>
      <c r="D477" s="2" t="s">
        <v>3178</v>
      </c>
      <c r="E477" s="2" t="s">
        <v>315</v>
      </c>
      <c r="F477" s="2" t="s">
        <v>19</v>
      </c>
      <c r="G477" t="s">
        <v>6191</v>
      </c>
      <c r="H477" t="str">
        <f>VLOOKUP('Combined table'!B477,products!$A$1:$G$49,2,FALSE)</f>
        <v>Lib</v>
      </c>
      <c r="I477" t="str">
        <f>VLOOKUP('Combined table'!B477,products!$A$1:$G$49,3,FALSE)</f>
        <v>M</v>
      </c>
      <c r="J477">
        <f>VLOOKUP('Combined table'!B477,products!$A$1:$G$49,4,FALSE)</f>
        <v>0.2</v>
      </c>
      <c r="K477">
        <f>VLOOKUP('Combined table'!B477,products!$A$1:$G$49,5,FALSE)</f>
        <v>4.3650000000000002</v>
      </c>
      <c r="L477">
        <f>VLOOKUP('Combined table'!B477,products!$A$1:$G$49,6,FALSE)</f>
        <v>2.1825000000000001</v>
      </c>
      <c r="M477">
        <f>VLOOKUP('Combined table'!B477,products!$A$1:$G$49,7,FALSE)</f>
        <v>0.56745000000000001</v>
      </c>
      <c r="N477" t="str">
        <f>TEXT(A477,"mmm yyyy")</f>
        <v>Jul 2022</v>
      </c>
      <c r="O477">
        <f t="shared" si="7"/>
        <v>8.73</v>
      </c>
    </row>
    <row r="478" spans="1:15" x14ac:dyDescent="0.25">
      <c r="A478" s="3">
        <v>44274</v>
      </c>
      <c r="B478" t="s">
        <v>6184</v>
      </c>
      <c r="C478" s="2">
        <v>6</v>
      </c>
      <c r="D478" s="2" t="s">
        <v>3183</v>
      </c>
      <c r="E478" s="2" t="s">
        <v>219</v>
      </c>
      <c r="F478" s="2" t="s">
        <v>19</v>
      </c>
      <c r="G478" t="s">
        <v>6190</v>
      </c>
      <c r="H478" t="str">
        <f>VLOOKUP('Combined table'!B478,products!$A$1:$G$49,2,FALSE)</f>
        <v>Exc</v>
      </c>
      <c r="I478" t="str">
        <f>VLOOKUP('Combined table'!B478,products!$A$1:$G$49,3,FALSE)</f>
        <v>L</v>
      </c>
      <c r="J478">
        <f>VLOOKUP('Combined table'!B478,products!$A$1:$G$49,4,FALSE)</f>
        <v>0.2</v>
      </c>
      <c r="K478">
        <f>VLOOKUP('Combined table'!B478,products!$A$1:$G$49,5,FALSE)</f>
        <v>4.4550000000000001</v>
      </c>
      <c r="L478">
        <f>VLOOKUP('Combined table'!B478,products!$A$1:$G$49,6,FALSE)</f>
        <v>2.2275</v>
      </c>
      <c r="M478">
        <f>VLOOKUP('Combined table'!B478,products!$A$1:$G$49,7,FALSE)</f>
        <v>0.49004999999999999</v>
      </c>
      <c r="N478" t="str">
        <f>TEXT(A478,"mmm yyyy")</f>
        <v>Mar 2021</v>
      </c>
      <c r="O478">
        <f t="shared" si="7"/>
        <v>26.73</v>
      </c>
    </row>
    <row r="479" spans="1:15" x14ac:dyDescent="0.25">
      <c r="A479" s="3">
        <v>43962</v>
      </c>
      <c r="B479" t="s">
        <v>6159</v>
      </c>
      <c r="C479" s="2">
        <v>6</v>
      </c>
      <c r="D479" s="2" t="s">
        <v>3189</v>
      </c>
      <c r="E479" s="2" t="s">
        <v>185</v>
      </c>
      <c r="F479" s="2" t="s">
        <v>19</v>
      </c>
      <c r="G479" t="s">
        <v>6191</v>
      </c>
      <c r="H479" t="str">
        <f>VLOOKUP('Combined table'!B479,products!$A$1:$G$49,2,FALSE)</f>
        <v>Lib</v>
      </c>
      <c r="I479" t="str">
        <f>VLOOKUP('Combined table'!B479,products!$A$1:$G$49,3,FALSE)</f>
        <v>M</v>
      </c>
      <c r="J479">
        <f>VLOOKUP('Combined table'!B479,products!$A$1:$G$49,4,FALSE)</f>
        <v>0.2</v>
      </c>
      <c r="K479">
        <f>VLOOKUP('Combined table'!B479,products!$A$1:$G$49,5,FALSE)</f>
        <v>4.3650000000000002</v>
      </c>
      <c r="L479">
        <f>VLOOKUP('Combined table'!B479,products!$A$1:$G$49,6,FALSE)</f>
        <v>2.1825000000000001</v>
      </c>
      <c r="M479">
        <f>VLOOKUP('Combined table'!B479,products!$A$1:$G$49,7,FALSE)</f>
        <v>0.56745000000000001</v>
      </c>
      <c r="N479" t="str">
        <f>TEXT(A479,"mmm yyyy")</f>
        <v>May 2020</v>
      </c>
      <c r="O479">
        <f t="shared" si="7"/>
        <v>26.19</v>
      </c>
    </row>
    <row r="480" spans="1:15" x14ac:dyDescent="0.25">
      <c r="A480" s="3">
        <v>43624</v>
      </c>
      <c r="B480" t="s">
        <v>6177</v>
      </c>
      <c r="C480" s="2">
        <v>6</v>
      </c>
      <c r="D480" s="2" t="s">
        <v>3195</v>
      </c>
      <c r="E480" s="2" t="s">
        <v>89</v>
      </c>
      <c r="F480" s="2" t="s">
        <v>19</v>
      </c>
      <c r="G480" t="s">
        <v>6190</v>
      </c>
      <c r="H480" t="str">
        <f>VLOOKUP('Combined table'!B480,products!$A$1:$G$49,2,FALSE)</f>
        <v>Rob</v>
      </c>
      <c r="I480" t="str">
        <f>VLOOKUP('Combined table'!B480,products!$A$1:$G$49,3,FALSE)</f>
        <v>D</v>
      </c>
      <c r="J480">
        <f>VLOOKUP('Combined table'!B480,products!$A$1:$G$49,4,FALSE)</f>
        <v>1</v>
      </c>
      <c r="K480">
        <f>VLOOKUP('Combined table'!B480,products!$A$1:$G$49,5,FALSE)</f>
        <v>8.9499999999999993</v>
      </c>
      <c r="L480">
        <f>VLOOKUP('Combined table'!B480,products!$A$1:$G$49,6,FALSE)</f>
        <v>0.89499999999999991</v>
      </c>
      <c r="M480">
        <f>VLOOKUP('Combined table'!B480,products!$A$1:$G$49,7,FALSE)</f>
        <v>0.53699999999999992</v>
      </c>
      <c r="N480" t="str">
        <f>TEXT(A480,"mmm yyyy")</f>
        <v>Jun 2019</v>
      </c>
      <c r="O480">
        <f t="shared" si="7"/>
        <v>53.699999999999996</v>
      </c>
    </row>
    <row r="481" spans="1:15" x14ac:dyDescent="0.25">
      <c r="A481" s="3">
        <v>43624</v>
      </c>
      <c r="B481" t="s">
        <v>6166</v>
      </c>
      <c r="C481" s="2">
        <v>4</v>
      </c>
      <c r="D481" s="2" t="s">
        <v>3200</v>
      </c>
      <c r="E481" s="2" t="s">
        <v>34</v>
      </c>
      <c r="F481" s="2" t="s">
        <v>19</v>
      </c>
      <c r="G481" t="s">
        <v>6190</v>
      </c>
      <c r="H481" t="str">
        <f>VLOOKUP('Combined table'!B481,products!$A$1:$G$49,2,FALSE)</f>
        <v>Exc</v>
      </c>
      <c r="I481" t="str">
        <f>VLOOKUP('Combined table'!B481,products!$A$1:$G$49,3,FALSE)</f>
        <v>M</v>
      </c>
      <c r="J481">
        <f>VLOOKUP('Combined table'!B481,products!$A$1:$G$49,4,FALSE)</f>
        <v>2.5</v>
      </c>
      <c r="K481">
        <f>VLOOKUP('Combined table'!B481,products!$A$1:$G$49,5,FALSE)</f>
        <v>31.624999999999996</v>
      </c>
      <c r="L481">
        <f>VLOOKUP('Combined table'!B481,products!$A$1:$G$49,6,FALSE)</f>
        <v>1.2649999999999999</v>
      </c>
      <c r="M481">
        <f>VLOOKUP('Combined table'!B481,products!$A$1:$G$49,7,FALSE)</f>
        <v>3.4787499999999998</v>
      </c>
      <c r="N481" t="str">
        <f>TEXT(A481,"mmm yyyy")</f>
        <v>Jun 2019</v>
      </c>
      <c r="O481">
        <f t="shared" si="7"/>
        <v>126.49999999999999</v>
      </c>
    </row>
    <row r="482" spans="1:15" x14ac:dyDescent="0.25">
      <c r="A482" s="3">
        <v>43624</v>
      </c>
      <c r="B482" t="s">
        <v>6156</v>
      </c>
      <c r="C482" s="2">
        <v>1</v>
      </c>
      <c r="D482" s="2" t="s">
        <v>3204</v>
      </c>
      <c r="E482" s="2" t="s">
        <v>38</v>
      </c>
      <c r="F482" s="2" t="s">
        <v>19</v>
      </c>
      <c r="G482" t="s">
        <v>6191</v>
      </c>
      <c r="H482" t="str">
        <f>VLOOKUP('Combined table'!B482,products!$A$1:$G$49,2,FALSE)</f>
        <v>Exc</v>
      </c>
      <c r="I482" t="str">
        <f>VLOOKUP('Combined table'!B482,products!$A$1:$G$49,3,FALSE)</f>
        <v>M</v>
      </c>
      <c r="J482">
        <f>VLOOKUP('Combined table'!B482,products!$A$1:$G$49,4,FALSE)</f>
        <v>0.2</v>
      </c>
      <c r="K482">
        <f>VLOOKUP('Combined table'!B482,products!$A$1:$G$49,5,FALSE)</f>
        <v>4.125</v>
      </c>
      <c r="L482">
        <f>VLOOKUP('Combined table'!B482,products!$A$1:$G$49,6,FALSE)</f>
        <v>2.0625</v>
      </c>
      <c r="M482">
        <f>VLOOKUP('Combined table'!B482,products!$A$1:$G$49,7,FALSE)</f>
        <v>0.45374999999999999</v>
      </c>
      <c r="N482" t="str">
        <f>TEXT(A482,"mmm yyyy")</f>
        <v>Jun 2019</v>
      </c>
      <c r="O482">
        <f t="shared" si="7"/>
        <v>4.125</v>
      </c>
    </row>
    <row r="483" spans="1:15" x14ac:dyDescent="0.25">
      <c r="A483" s="3">
        <v>43747</v>
      </c>
      <c r="B483" t="s">
        <v>6179</v>
      </c>
      <c r="C483" s="2">
        <v>2</v>
      </c>
      <c r="D483" s="2" t="s">
        <v>3210</v>
      </c>
      <c r="E483" s="2" t="s">
        <v>251</v>
      </c>
      <c r="F483" s="2" t="s">
        <v>28</v>
      </c>
      <c r="G483" t="s">
        <v>6191</v>
      </c>
      <c r="H483" t="str">
        <f>VLOOKUP('Combined table'!B483,products!$A$1:$G$49,2,FALSE)</f>
        <v>Rob</v>
      </c>
      <c r="I483" t="str">
        <f>VLOOKUP('Combined table'!B483,products!$A$1:$G$49,3,FALSE)</f>
        <v>L</v>
      </c>
      <c r="J483">
        <f>VLOOKUP('Combined table'!B483,products!$A$1:$G$49,4,FALSE)</f>
        <v>1</v>
      </c>
      <c r="K483">
        <f>VLOOKUP('Combined table'!B483,products!$A$1:$G$49,5,FALSE)</f>
        <v>11.95</v>
      </c>
      <c r="L483">
        <f>VLOOKUP('Combined table'!B483,products!$A$1:$G$49,6,FALSE)</f>
        <v>1.1949999999999998</v>
      </c>
      <c r="M483">
        <f>VLOOKUP('Combined table'!B483,products!$A$1:$G$49,7,FALSE)</f>
        <v>0.71699999999999997</v>
      </c>
      <c r="N483" t="str">
        <f>TEXT(A483,"mmm yyyy")</f>
        <v>Oct 2019</v>
      </c>
      <c r="O483">
        <f t="shared" si="7"/>
        <v>23.9</v>
      </c>
    </row>
    <row r="484" spans="1:15" x14ac:dyDescent="0.25">
      <c r="A484" s="3">
        <v>44247</v>
      </c>
      <c r="B484" t="s">
        <v>6185</v>
      </c>
      <c r="C484" s="2">
        <v>5</v>
      </c>
      <c r="D484" s="2" t="s">
        <v>3216</v>
      </c>
      <c r="E484" s="2" t="s">
        <v>164</v>
      </c>
      <c r="F484" s="2" t="s">
        <v>19</v>
      </c>
      <c r="G484" t="s">
        <v>6190</v>
      </c>
      <c r="H484" t="str">
        <f>VLOOKUP('Combined table'!B484,products!$A$1:$G$49,2,FALSE)</f>
        <v>Exc</v>
      </c>
      <c r="I484" t="str">
        <f>VLOOKUP('Combined table'!B484,products!$A$1:$G$49,3,FALSE)</f>
        <v>D</v>
      </c>
      <c r="J484">
        <f>VLOOKUP('Combined table'!B484,products!$A$1:$G$49,4,FALSE)</f>
        <v>2.5</v>
      </c>
      <c r="K484">
        <f>VLOOKUP('Combined table'!B484,products!$A$1:$G$49,5,FALSE)</f>
        <v>27.945</v>
      </c>
      <c r="L484">
        <f>VLOOKUP('Combined table'!B484,products!$A$1:$G$49,6,FALSE)</f>
        <v>1.1177999999999999</v>
      </c>
      <c r="M484">
        <f>VLOOKUP('Combined table'!B484,products!$A$1:$G$49,7,FALSE)</f>
        <v>3.07395</v>
      </c>
      <c r="N484" t="str">
        <f>TEXT(A484,"mmm yyyy")</f>
        <v>Feb 2021</v>
      </c>
      <c r="O484">
        <f t="shared" si="7"/>
        <v>139.72499999999999</v>
      </c>
    </row>
    <row r="485" spans="1:15" x14ac:dyDescent="0.25">
      <c r="A485" s="3">
        <v>43790</v>
      </c>
      <c r="B485" t="s">
        <v>6165</v>
      </c>
      <c r="C485" s="2">
        <v>2</v>
      </c>
      <c r="D485" s="2" t="s">
        <v>3222</v>
      </c>
      <c r="E485" s="2" t="s">
        <v>216</v>
      </c>
      <c r="F485" s="2" t="s">
        <v>19</v>
      </c>
      <c r="G485" t="s">
        <v>6190</v>
      </c>
      <c r="H485" t="str">
        <f>VLOOKUP('Combined table'!B485,products!$A$1:$G$49,2,FALSE)</f>
        <v>Lib</v>
      </c>
      <c r="I485" t="str">
        <f>VLOOKUP('Combined table'!B485,products!$A$1:$G$49,3,FALSE)</f>
        <v>D</v>
      </c>
      <c r="J485">
        <f>VLOOKUP('Combined table'!B485,products!$A$1:$G$49,4,FALSE)</f>
        <v>2.5</v>
      </c>
      <c r="K485">
        <f>VLOOKUP('Combined table'!B485,products!$A$1:$G$49,5,FALSE)</f>
        <v>29.784999999999997</v>
      </c>
      <c r="L485">
        <f>VLOOKUP('Combined table'!B485,products!$A$1:$G$49,6,FALSE)</f>
        <v>1.1913999999999998</v>
      </c>
      <c r="M485">
        <f>VLOOKUP('Combined table'!B485,products!$A$1:$G$49,7,FALSE)</f>
        <v>3.8720499999999998</v>
      </c>
      <c r="N485" t="str">
        <f>TEXT(A485,"mmm yyyy")</f>
        <v>Nov 2019</v>
      </c>
      <c r="O485">
        <f t="shared" si="7"/>
        <v>59.569999999999993</v>
      </c>
    </row>
    <row r="486" spans="1:15" x14ac:dyDescent="0.25">
      <c r="A486" s="3">
        <v>44479</v>
      </c>
      <c r="B486" t="s">
        <v>6161</v>
      </c>
      <c r="C486" s="2">
        <v>6</v>
      </c>
      <c r="D486" s="2" t="s">
        <v>3227</v>
      </c>
      <c r="E486" s="2" t="s">
        <v>98</v>
      </c>
      <c r="F486" s="2" t="s">
        <v>19</v>
      </c>
      <c r="G486" t="s">
        <v>6191</v>
      </c>
      <c r="H486" t="str">
        <f>VLOOKUP('Combined table'!B486,products!$A$1:$G$49,2,FALSE)</f>
        <v>Lib</v>
      </c>
      <c r="I486" t="str">
        <f>VLOOKUP('Combined table'!B486,products!$A$1:$G$49,3,FALSE)</f>
        <v>L</v>
      </c>
      <c r="J486">
        <f>VLOOKUP('Combined table'!B486,products!$A$1:$G$49,4,FALSE)</f>
        <v>0.5</v>
      </c>
      <c r="K486">
        <f>VLOOKUP('Combined table'!B486,products!$A$1:$G$49,5,FALSE)</f>
        <v>9.51</v>
      </c>
      <c r="L486">
        <f>VLOOKUP('Combined table'!B486,products!$A$1:$G$49,6,FALSE)</f>
        <v>1.9019999999999999</v>
      </c>
      <c r="M486">
        <f>VLOOKUP('Combined table'!B486,products!$A$1:$G$49,7,FALSE)</f>
        <v>1.2363</v>
      </c>
      <c r="N486" t="str">
        <f>TEXT(A486,"mmm yyyy")</f>
        <v>Oct 2021</v>
      </c>
      <c r="O486">
        <f t="shared" si="7"/>
        <v>57.06</v>
      </c>
    </row>
    <row r="487" spans="1:15" x14ac:dyDescent="0.25">
      <c r="A487" s="3">
        <v>44413</v>
      </c>
      <c r="B487" t="s">
        <v>6178</v>
      </c>
      <c r="C487" s="2">
        <v>6</v>
      </c>
      <c r="D487" s="2" t="s">
        <v>3232</v>
      </c>
      <c r="E487" s="2" t="s">
        <v>371</v>
      </c>
      <c r="F487" s="2" t="s">
        <v>318</v>
      </c>
      <c r="G487" t="s">
        <v>6190</v>
      </c>
      <c r="H487" t="str">
        <f>VLOOKUP('Combined table'!B487,products!$A$1:$G$49,2,FALSE)</f>
        <v>Rob</v>
      </c>
      <c r="I487" t="str">
        <f>VLOOKUP('Combined table'!B487,products!$A$1:$G$49,3,FALSE)</f>
        <v>L</v>
      </c>
      <c r="J487">
        <f>VLOOKUP('Combined table'!B487,products!$A$1:$G$49,4,FALSE)</f>
        <v>0.2</v>
      </c>
      <c r="K487">
        <f>VLOOKUP('Combined table'!B487,products!$A$1:$G$49,5,FALSE)</f>
        <v>3.5849999999999995</v>
      </c>
      <c r="L487">
        <f>VLOOKUP('Combined table'!B487,products!$A$1:$G$49,6,FALSE)</f>
        <v>1.7924999999999998</v>
      </c>
      <c r="M487">
        <f>VLOOKUP('Combined table'!B487,products!$A$1:$G$49,7,FALSE)</f>
        <v>0.21509999999999996</v>
      </c>
      <c r="N487" t="str">
        <f>TEXT(A487,"mmm yyyy")</f>
        <v>Aug 2021</v>
      </c>
      <c r="O487">
        <f t="shared" si="7"/>
        <v>21.509999999999998</v>
      </c>
    </row>
    <row r="488" spans="1:15" x14ac:dyDescent="0.25">
      <c r="A488" s="3">
        <v>44043</v>
      </c>
      <c r="B488" t="s">
        <v>6160</v>
      </c>
      <c r="C488" s="2">
        <v>6</v>
      </c>
      <c r="D488" s="2" t="s">
        <v>3238</v>
      </c>
      <c r="E488" s="2" t="s">
        <v>471</v>
      </c>
      <c r="F488" s="2" t="s">
        <v>318</v>
      </c>
      <c r="G488" t="s">
        <v>6190</v>
      </c>
      <c r="H488" t="str">
        <f>VLOOKUP('Combined table'!B488,products!$A$1:$G$49,2,FALSE)</f>
        <v>Lib</v>
      </c>
      <c r="I488" t="str">
        <f>VLOOKUP('Combined table'!B488,products!$A$1:$G$49,3,FALSE)</f>
        <v>M</v>
      </c>
      <c r="J488">
        <f>VLOOKUP('Combined table'!B488,products!$A$1:$G$49,4,FALSE)</f>
        <v>0.5</v>
      </c>
      <c r="K488">
        <f>VLOOKUP('Combined table'!B488,products!$A$1:$G$49,5,FALSE)</f>
        <v>8.73</v>
      </c>
      <c r="L488">
        <f>VLOOKUP('Combined table'!B488,products!$A$1:$G$49,6,FALSE)</f>
        <v>1.746</v>
      </c>
      <c r="M488">
        <f>VLOOKUP('Combined table'!B488,products!$A$1:$G$49,7,FALSE)</f>
        <v>1.1349</v>
      </c>
      <c r="N488" t="str">
        <f>TEXT(A488,"mmm yyyy")</f>
        <v>Jul 2020</v>
      </c>
      <c r="O488">
        <f t="shared" si="7"/>
        <v>52.38</v>
      </c>
    </row>
    <row r="489" spans="1:15" x14ac:dyDescent="0.25">
      <c r="A489" s="3">
        <v>44093</v>
      </c>
      <c r="B489" t="s">
        <v>6183</v>
      </c>
      <c r="C489" s="2">
        <v>6</v>
      </c>
      <c r="D489" s="2" t="s">
        <v>3244</v>
      </c>
      <c r="E489" s="2" t="s">
        <v>471</v>
      </c>
      <c r="F489" s="2" t="s">
        <v>318</v>
      </c>
      <c r="G489" t="s">
        <v>6191</v>
      </c>
      <c r="H489" t="str">
        <f>VLOOKUP('Combined table'!B489,products!$A$1:$G$49,2,FALSE)</f>
        <v>Exc</v>
      </c>
      <c r="I489" t="str">
        <f>VLOOKUP('Combined table'!B489,products!$A$1:$G$49,3,FALSE)</f>
        <v>D</v>
      </c>
      <c r="J489">
        <f>VLOOKUP('Combined table'!B489,products!$A$1:$G$49,4,FALSE)</f>
        <v>1</v>
      </c>
      <c r="K489">
        <f>VLOOKUP('Combined table'!B489,products!$A$1:$G$49,5,FALSE)</f>
        <v>12.15</v>
      </c>
      <c r="L489">
        <f>VLOOKUP('Combined table'!B489,products!$A$1:$G$49,6,FALSE)</f>
        <v>1.2150000000000001</v>
      </c>
      <c r="M489">
        <f>VLOOKUP('Combined table'!B489,products!$A$1:$G$49,7,FALSE)</f>
        <v>1.3365</v>
      </c>
      <c r="N489" t="str">
        <f>TEXT(A489,"mmm yyyy")</f>
        <v>Sep 2020</v>
      </c>
      <c r="O489">
        <f t="shared" si="7"/>
        <v>72.900000000000006</v>
      </c>
    </row>
    <row r="490" spans="1:15" x14ac:dyDescent="0.25">
      <c r="A490" s="3">
        <v>43954</v>
      </c>
      <c r="B490" t="s">
        <v>6174</v>
      </c>
      <c r="C490" s="2">
        <v>5</v>
      </c>
      <c r="D490" s="2" t="s">
        <v>3250</v>
      </c>
      <c r="E490" s="2" t="s">
        <v>424</v>
      </c>
      <c r="F490" s="2" t="s">
        <v>318</v>
      </c>
      <c r="G490" t="s">
        <v>6190</v>
      </c>
      <c r="H490" t="str">
        <f>VLOOKUP('Combined table'!B490,products!$A$1:$G$49,2,FALSE)</f>
        <v>Rob</v>
      </c>
      <c r="I490" t="str">
        <f>VLOOKUP('Combined table'!B490,products!$A$1:$G$49,3,FALSE)</f>
        <v>M</v>
      </c>
      <c r="J490">
        <f>VLOOKUP('Combined table'!B490,products!$A$1:$G$49,4,FALSE)</f>
        <v>0.2</v>
      </c>
      <c r="K490">
        <f>VLOOKUP('Combined table'!B490,products!$A$1:$G$49,5,FALSE)</f>
        <v>2.9849999999999999</v>
      </c>
      <c r="L490">
        <f>VLOOKUP('Combined table'!B490,products!$A$1:$G$49,6,FALSE)</f>
        <v>1.4924999999999999</v>
      </c>
      <c r="M490">
        <f>VLOOKUP('Combined table'!B490,products!$A$1:$G$49,7,FALSE)</f>
        <v>0.17909999999999998</v>
      </c>
      <c r="N490" t="str">
        <f>TEXT(A490,"mmm yyyy")</f>
        <v>May 2020</v>
      </c>
      <c r="O490">
        <f t="shared" si="7"/>
        <v>14.924999999999999</v>
      </c>
    </row>
    <row r="491" spans="1:15" x14ac:dyDescent="0.25">
      <c r="A491" s="3">
        <v>43654</v>
      </c>
      <c r="B491" t="s">
        <v>6170</v>
      </c>
      <c r="C491" s="2">
        <v>6</v>
      </c>
      <c r="D491" s="2" t="s">
        <v>3256</v>
      </c>
      <c r="E491" s="2" t="s">
        <v>50</v>
      </c>
      <c r="F491" s="2" t="s">
        <v>19</v>
      </c>
      <c r="G491" t="s">
        <v>6191</v>
      </c>
      <c r="H491" t="str">
        <f>VLOOKUP('Combined table'!B491,products!$A$1:$G$49,2,FALSE)</f>
        <v>Lib</v>
      </c>
      <c r="I491" t="str">
        <f>VLOOKUP('Combined table'!B491,products!$A$1:$G$49,3,FALSE)</f>
        <v>L</v>
      </c>
      <c r="J491">
        <f>VLOOKUP('Combined table'!B491,products!$A$1:$G$49,4,FALSE)</f>
        <v>1</v>
      </c>
      <c r="K491">
        <f>VLOOKUP('Combined table'!B491,products!$A$1:$G$49,5,FALSE)</f>
        <v>15.85</v>
      </c>
      <c r="L491">
        <f>VLOOKUP('Combined table'!B491,products!$A$1:$G$49,6,FALSE)</f>
        <v>1.585</v>
      </c>
      <c r="M491">
        <f>VLOOKUP('Combined table'!B491,products!$A$1:$G$49,7,FALSE)</f>
        <v>2.0605000000000002</v>
      </c>
      <c r="N491" t="str">
        <f>TEXT(A491,"mmm yyyy")</f>
        <v>Jul 2019</v>
      </c>
      <c r="O491">
        <f t="shared" si="7"/>
        <v>95.1</v>
      </c>
    </row>
    <row r="492" spans="1:15" x14ac:dyDescent="0.25">
      <c r="A492" s="3">
        <v>43764</v>
      </c>
      <c r="B492" t="s">
        <v>6169</v>
      </c>
      <c r="C492" s="2">
        <v>2</v>
      </c>
      <c r="D492" s="2" t="s">
        <v>3262</v>
      </c>
      <c r="E492" s="2" t="s">
        <v>271</v>
      </c>
      <c r="F492" s="2" t="s">
        <v>19</v>
      </c>
      <c r="G492" t="s">
        <v>6191</v>
      </c>
      <c r="H492" t="str">
        <f>VLOOKUP('Combined table'!B492,products!$A$1:$G$49,2,FALSE)</f>
        <v>Lib</v>
      </c>
      <c r="I492" t="str">
        <f>VLOOKUP('Combined table'!B492,products!$A$1:$G$49,3,FALSE)</f>
        <v>D</v>
      </c>
      <c r="J492">
        <f>VLOOKUP('Combined table'!B492,products!$A$1:$G$49,4,FALSE)</f>
        <v>0.5</v>
      </c>
      <c r="K492">
        <f>VLOOKUP('Combined table'!B492,products!$A$1:$G$49,5,FALSE)</f>
        <v>7.77</v>
      </c>
      <c r="L492">
        <f>VLOOKUP('Combined table'!B492,products!$A$1:$G$49,6,FALSE)</f>
        <v>1.5539999999999998</v>
      </c>
      <c r="M492">
        <f>VLOOKUP('Combined table'!B492,products!$A$1:$G$49,7,FALSE)</f>
        <v>1.0101</v>
      </c>
      <c r="N492" t="str">
        <f>TEXT(A492,"mmm yyyy")</f>
        <v>Oct 2019</v>
      </c>
      <c r="O492">
        <f t="shared" si="7"/>
        <v>15.54</v>
      </c>
    </row>
    <row r="493" spans="1:15" x14ac:dyDescent="0.25">
      <c r="A493" s="3">
        <v>44101</v>
      </c>
      <c r="B493" t="s">
        <v>6150</v>
      </c>
      <c r="C493" s="2">
        <v>6</v>
      </c>
      <c r="D493" s="2" t="s">
        <v>3268</v>
      </c>
      <c r="E493" s="2" t="s">
        <v>36</v>
      </c>
      <c r="F493" s="2" t="s">
        <v>19</v>
      </c>
      <c r="G493" t="s">
        <v>6191</v>
      </c>
      <c r="H493" t="str">
        <f>VLOOKUP('Combined table'!B493,products!$A$1:$G$49,2,FALSE)</f>
        <v>Lib</v>
      </c>
      <c r="I493" t="str">
        <f>VLOOKUP('Combined table'!B493,products!$A$1:$G$49,3,FALSE)</f>
        <v>D</v>
      </c>
      <c r="J493">
        <f>VLOOKUP('Combined table'!B493,products!$A$1:$G$49,4,FALSE)</f>
        <v>0.2</v>
      </c>
      <c r="K493">
        <f>VLOOKUP('Combined table'!B493,products!$A$1:$G$49,5,FALSE)</f>
        <v>3.8849999999999998</v>
      </c>
      <c r="L493">
        <f>VLOOKUP('Combined table'!B493,products!$A$1:$G$49,6,FALSE)</f>
        <v>1.9424999999999999</v>
      </c>
      <c r="M493">
        <f>VLOOKUP('Combined table'!B493,products!$A$1:$G$49,7,FALSE)</f>
        <v>0.50505</v>
      </c>
      <c r="N493" t="str">
        <f>TEXT(A493,"mmm yyyy")</f>
        <v>Sep 2020</v>
      </c>
      <c r="O493">
        <f t="shared" si="7"/>
        <v>23.31</v>
      </c>
    </row>
    <row r="494" spans="1:15" x14ac:dyDescent="0.25">
      <c r="A494" s="3">
        <v>44620</v>
      </c>
      <c r="B494" t="s">
        <v>6156</v>
      </c>
      <c r="C494" s="2">
        <v>1</v>
      </c>
      <c r="D494" s="2" t="s">
        <v>3273</v>
      </c>
      <c r="E494" s="2" t="s">
        <v>45</v>
      </c>
      <c r="F494" s="2" t="s">
        <v>19</v>
      </c>
      <c r="G494" t="s">
        <v>6190</v>
      </c>
      <c r="H494" t="str">
        <f>VLOOKUP('Combined table'!B494,products!$A$1:$G$49,2,FALSE)</f>
        <v>Exc</v>
      </c>
      <c r="I494" t="str">
        <f>VLOOKUP('Combined table'!B494,products!$A$1:$G$49,3,FALSE)</f>
        <v>M</v>
      </c>
      <c r="J494">
        <f>VLOOKUP('Combined table'!B494,products!$A$1:$G$49,4,FALSE)</f>
        <v>0.2</v>
      </c>
      <c r="K494">
        <f>VLOOKUP('Combined table'!B494,products!$A$1:$G$49,5,FALSE)</f>
        <v>4.125</v>
      </c>
      <c r="L494">
        <f>VLOOKUP('Combined table'!B494,products!$A$1:$G$49,6,FALSE)</f>
        <v>2.0625</v>
      </c>
      <c r="M494">
        <f>VLOOKUP('Combined table'!B494,products!$A$1:$G$49,7,FALSE)</f>
        <v>0.45374999999999999</v>
      </c>
      <c r="N494" t="str">
        <f>TEXT(A494,"mmm yyyy")</f>
        <v>Feb 2022</v>
      </c>
      <c r="O494">
        <f t="shared" si="7"/>
        <v>4.125</v>
      </c>
    </row>
    <row r="495" spans="1:15" x14ac:dyDescent="0.25">
      <c r="A495" s="3">
        <v>44090</v>
      </c>
      <c r="B495" t="s">
        <v>6146</v>
      </c>
      <c r="C495" s="2">
        <v>6</v>
      </c>
      <c r="D495" s="2" t="s">
        <v>3279</v>
      </c>
      <c r="E495" s="2" t="s">
        <v>273</v>
      </c>
      <c r="F495" s="2" t="s">
        <v>28</v>
      </c>
      <c r="G495" t="s">
        <v>6191</v>
      </c>
      <c r="H495" t="str">
        <f>VLOOKUP('Combined table'!B495,products!$A$1:$G$49,2,FALSE)</f>
        <v>Rob</v>
      </c>
      <c r="I495" t="str">
        <f>VLOOKUP('Combined table'!B495,products!$A$1:$G$49,3,FALSE)</f>
        <v>M</v>
      </c>
      <c r="J495">
        <f>VLOOKUP('Combined table'!B495,products!$A$1:$G$49,4,FALSE)</f>
        <v>0.5</v>
      </c>
      <c r="K495">
        <f>VLOOKUP('Combined table'!B495,products!$A$1:$G$49,5,FALSE)</f>
        <v>5.97</v>
      </c>
      <c r="L495">
        <f>VLOOKUP('Combined table'!B495,products!$A$1:$G$49,6,FALSE)</f>
        <v>1.194</v>
      </c>
      <c r="M495">
        <f>VLOOKUP('Combined table'!B495,products!$A$1:$G$49,7,FALSE)</f>
        <v>0.35819999999999996</v>
      </c>
      <c r="N495" t="str">
        <f>TEXT(A495,"mmm yyyy")</f>
        <v>Sep 2020</v>
      </c>
      <c r="O495">
        <f t="shared" si="7"/>
        <v>35.82</v>
      </c>
    </row>
    <row r="496" spans="1:15" x14ac:dyDescent="0.25">
      <c r="A496" s="3">
        <v>44132</v>
      </c>
      <c r="B496" t="s">
        <v>6170</v>
      </c>
      <c r="C496" s="2">
        <v>2</v>
      </c>
      <c r="D496" s="2" t="s">
        <v>3285</v>
      </c>
      <c r="E496" s="2" t="s">
        <v>32</v>
      </c>
      <c r="F496" s="2" t="s">
        <v>19</v>
      </c>
      <c r="G496" t="s">
        <v>6191</v>
      </c>
      <c r="H496" t="str">
        <f>VLOOKUP('Combined table'!B496,products!$A$1:$G$49,2,FALSE)</f>
        <v>Lib</v>
      </c>
      <c r="I496" t="str">
        <f>VLOOKUP('Combined table'!B496,products!$A$1:$G$49,3,FALSE)</f>
        <v>L</v>
      </c>
      <c r="J496">
        <f>VLOOKUP('Combined table'!B496,products!$A$1:$G$49,4,FALSE)</f>
        <v>1</v>
      </c>
      <c r="K496">
        <f>VLOOKUP('Combined table'!B496,products!$A$1:$G$49,5,FALSE)</f>
        <v>15.85</v>
      </c>
      <c r="L496">
        <f>VLOOKUP('Combined table'!B496,products!$A$1:$G$49,6,FALSE)</f>
        <v>1.585</v>
      </c>
      <c r="M496">
        <f>VLOOKUP('Combined table'!B496,products!$A$1:$G$49,7,FALSE)</f>
        <v>2.0605000000000002</v>
      </c>
      <c r="N496" t="str">
        <f>TEXT(A496,"mmm yyyy")</f>
        <v>Oct 2020</v>
      </c>
      <c r="O496">
        <f t="shared" si="7"/>
        <v>31.7</v>
      </c>
    </row>
    <row r="497" spans="1:15" x14ac:dyDescent="0.25">
      <c r="A497" s="3">
        <v>43710</v>
      </c>
      <c r="B497" t="s">
        <v>6170</v>
      </c>
      <c r="C497" s="2">
        <v>5</v>
      </c>
      <c r="D497" s="2" t="s">
        <v>3291</v>
      </c>
      <c r="E497" s="2" t="s">
        <v>170</v>
      </c>
      <c r="F497" s="2" t="s">
        <v>19</v>
      </c>
      <c r="G497" t="s">
        <v>6190</v>
      </c>
      <c r="H497" t="str">
        <f>VLOOKUP('Combined table'!B497,products!$A$1:$G$49,2,FALSE)</f>
        <v>Lib</v>
      </c>
      <c r="I497" t="str">
        <f>VLOOKUP('Combined table'!B497,products!$A$1:$G$49,3,FALSE)</f>
        <v>L</v>
      </c>
      <c r="J497">
        <f>VLOOKUP('Combined table'!B497,products!$A$1:$G$49,4,FALSE)</f>
        <v>1</v>
      </c>
      <c r="K497">
        <f>VLOOKUP('Combined table'!B497,products!$A$1:$G$49,5,FALSE)</f>
        <v>15.85</v>
      </c>
      <c r="L497">
        <f>VLOOKUP('Combined table'!B497,products!$A$1:$G$49,6,FALSE)</f>
        <v>1.585</v>
      </c>
      <c r="M497">
        <f>VLOOKUP('Combined table'!B497,products!$A$1:$G$49,7,FALSE)</f>
        <v>2.0605000000000002</v>
      </c>
      <c r="N497" t="str">
        <f>TEXT(A497,"mmm yyyy")</f>
        <v>Sep 2019</v>
      </c>
      <c r="O497">
        <f t="shared" si="7"/>
        <v>79.25</v>
      </c>
    </row>
    <row r="498" spans="1:15" x14ac:dyDescent="0.25">
      <c r="A498" s="3">
        <v>44438</v>
      </c>
      <c r="B498" t="s">
        <v>6153</v>
      </c>
      <c r="C498" s="2">
        <v>3</v>
      </c>
      <c r="D498" s="2" t="s">
        <v>3296</v>
      </c>
      <c r="E498" s="2" t="s">
        <v>250</v>
      </c>
      <c r="F498" s="2" t="s">
        <v>19</v>
      </c>
      <c r="G498" t="s">
        <v>6191</v>
      </c>
      <c r="H498" t="str">
        <f>VLOOKUP('Combined table'!B498,products!$A$1:$G$49,2,FALSE)</f>
        <v>Exc</v>
      </c>
      <c r="I498" t="str">
        <f>VLOOKUP('Combined table'!B498,products!$A$1:$G$49,3,FALSE)</f>
        <v>D</v>
      </c>
      <c r="J498">
        <f>VLOOKUP('Combined table'!B498,products!$A$1:$G$49,4,FALSE)</f>
        <v>0.2</v>
      </c>
      <c r="K498">
        <f>VLOOKUP('Combined table'!B498,products!$A$1:$G$49,5,FALSE)</f>
        <v>3.645</v>
      </c>
      <c r="L498">
        <f>VLOOKUP('Combined table'!B498,products!$A$1:$G$49,6,FALSE)</f>
        <v>1.8225</v>
      </c>
      <c r="M498">
        <f>VLOOKUP('Combined table'!B498,products!$A$1:$G$49,7,FALSE)</f>
        <v>0.40095000000000003</v>
      </c>
      <c r="N498" t="str">
        <f>TEXT(A498,"mmm yyyy")</f>
        <v>Aug 2021</v>
      </c>
      <c r="O498">
        <f t="shared" si="7"/>
        <v>10.935</v>
      </c>
    </row>
    <row r="499" spans="1:15" x14ac:dyDescent="0.25">
      <c r="A499" s="3">
        <v>44351</v>
      </c>
      <c r="B499" t="s">
        <v>6147</v>
      </c>
      <c r="C499" s="2">
        <v>4</v>
      </c>
      <c r="D499" s="2" t="s">
        <v>3302</v>
      </c>
      <c r="E499" s="2" t="s">
        <v>3306</v>
      </c>
      <c r="F499" s="2" t="s">
        <v>318</v>
      </c>
      <c r="G499" t="s">
        <v>6191</v>
      </c>
      <c r="H499" t="str">
        <f>VLOOKUP('Combined table'!B499,products!$A$1:$G$49,2,FALSE)</f>
        <v>Ara</v>
      </c>
      <c r="I499" t="str">
        <f>VLOOKUP('Combined table'!B499,products!$A$1:$G$49,3,FALSE)</f>
        <v>D</v>
      </c>
      <c r="J499">
        <f>VLOOKUP('Combined table'!B499,products!$A$1:$G$49,4,FALSE)</f>
        <v>1</v>
      </c>
      <c r="K499">
        <f>VLOOKUP('Combined table'!B499,products!$A$1:$G$49,5,FALSE)</f>
        <v>9.9499999999999993</v>
      </c>
      <c r="L499">
        <f>VLOOKUP('Combined table'!B499,products!$A$1:$G$49,6,FALSE)</f>
        <v>0.99499999999999988</v>
      </c>
      <c r="M499">
        <f>VLOOKUP('Combined table'!B499,products!$A$1:$G$49,7,FALSE)</f>
        <v>0.89549999999999985</v>
      </c>
      <c r="N499" t="str">
        <f>TEXT(A499,"mmm yyyy")</f>
        <v>Jun 2021</v>
      </c>
      <c r="O499">
        <f t="shared" si="7"/>
        <v>39.799999999999997</v>
      </c>
    </row>
    <row r="500" spans="1:15" x14ac:dyDescent="0.25">
      <c r="A500" s="3">
        <v>44159</v>
      </c>
      <c r="B500" t="s">
        <v>6138</v>
      </c>
      <c r="C500" s="2">
        <v>5</v>
      </c>
      <c r="D500" s="2" t="s">
        <v>3309</v>
      </c>
      <c r="E500" s="2" t="s">
        <v>220</v>
      </c>
      <c r="F500" s="2" t="s">
        <v>28</v>
      </c>
      <c r="G500" t="s">
        <v>6190</v>
      </c>
      <c r="H500" t="str">
        <f>VLOOKUP('Combined table'!B500,products!$A$1:$G$49,2,FALSE)</f>
        <v>Rob</v>
      </c>
      <c r="I500" t="str">
        <f>VLOOKUP('Combined table'!B500,products!$A$1:$G$49,3,FALSE)</f>
        <v>M</v>
      </c>
      <c r="J500">
        <f>VLOOKUP('Combined table'!B500,products!$A$1:$G$49,4,FALSE)</f>
        <v>1</v>
      </c>
      <c r="K500">
        <f>VLOOKUP('Combined table'!B500,products!$A$1:$G$49,5,FALSE)</f>
        <v>9.9499999999999993</v>
      </c>
      <c r="L500">
        <f>VLOOKUP('Combined table'!B500,products!$A$1:$G$49,6,FALSE)</f>
        <v>0.99499999999999988</v>
      </c>
      <c r="M500">
        <f>VLOOKUP('Combined table'!B500,products!$A$1:$G$49,7,FALSE)</f>
        <v>0.59699999999999998</v>
      </c>
      <c r="N500" t="str">
        <f>TEXT(A500,"mmm yyyy")</f>
        <v>Nov 2020</v>
      </c>
      <c r="O500">
        <f t="shared" si="7"/>
        <v>49.75</v>
      </c>
    </row>
    <row r="501" spans="1:15" x14ac:dyDescent="0.25">
      <c r="A501" s="3">
        <v>44003</v>
      </c>
      <c r="B501" t="s">
        <v>6163</v>
      </c>
      <c r="C501" s="2">
        <v>3</v>
      </c>
      <c r="D501" s="2" t="s">
        <v>3315</v>
      </c>
      <c r="E501" s="2" t="s">
        <v>1700</v>
      </c>
      <c r="F501" s="2" t="s">
        <v>318</v>
      </c>
      <c r="G501" t="s">
        <v>6190</v>
      </c>
      <c r="H501" t="str">
        <f>VLOOKUP('Combined table'!B501,products!$A$1:$G$49,2,FALSE)</f>
        <v>Rob</v>
      </c>
      <c r="I501" t="str">
        <f>VLOOKUP('Combined table'!B501,products!$A$1:$G$49,3,FALSE)</f>
        <v>D</v>
      </c>
      <c r="J501">
        <f>VLOOKUP('Combined table'!B501,products!$A$1:$G$49,4,FALSE)</f>
        <v>0.2</v>
      </c>
      <c r="K501">
        <f>VLOOKUP('Combined table'!B501,products!$A$1:$G$49,5,FALSE)</f>
        <v>2.6849999999999996</v>
      </c>
      <c r="L501">
        <f>VLOOKUP('Combined table'!B501,products!$A$1:$G$49,6,FALSE)</f>
        <v>1.3424999999999998</v>
      </c>
      <c r="M501">
        <f>VLOOKUP('Combined table'!B501,products!$A$1:$G$49,7,FALSE)</f>
        <v>0.16109999999999997</v>
      </c>
      <c r="N501" t="str">
        <f>TEXT(A501,"mmm yyyy")</f>
        <v>Jun 2020</v>
      </c>
      <c r="O501">
        <f t="shared" si="7"/>
        <v>8.0549999999999997</v>
      </c>
    </row>
    <row r="502" spans="1:15" x14ac:dyDescent="0.25">
      <c r="A502" s="3">
        <v>44025</v>
      </c>
      <c r="B502" t="s">
        <v>6179</v>
      </c>
      <c r="C502" s="2">
        <v>4</v>
      </c>
      <c r="D502" s="2" t="s">
        <v>3320</v>
      </c>
      <c r="E502" s="2" t="s">
        <v>183</v>
      </c>
      <c r="F502" s="2" t="s">
        <v>19</v>
      </c>
      <c r="G502" t="s">
        <v>6191</v>
      </c>
      <c r="H502" t="str">
        <f>VLOOKUP('Combined table'!B502,products!$A$1:$G$49,2,FALSE)</f>
        <v>Rob</v>
      </c>
      <c r="I502" t="str">
        <f>VLOOKUP('Combined table'!B502,products!$A$1:$G$49,3,FALSE)</f>
        <v>L</v>
      </c>
      <c r="J502">
        <f>VLOOKUP('Combined table'!B502,products!$A$1:$G$49,4,FALSE)</f>
        <v>1</v>
      </c>
      <c r="K502">
        <f>VLOOKUP('Combined table'!B502,products!$A$1:$G$49,5,FALSE)</f>
        <v>11.95</v>
      </c>
      <c r="L502">
        <f>VLOOKUP('Combined table'!B502,products!$A$1:$G$49,6,FALSE)</f>
        <v>1.1949999999999998</v>
      </c>
      <c r="M502">
        <f>VLOOKUP('Combined table'!B502,products!$A$1:$G$49,7,FALSE)</f>
        <v>0.71699999999999997</v>
      </c>
      <c r="N502" t="str">
        <f>TEXT(A502,"mmm yyyy")</f>
        <v>Jul 2020</v>
      </c>
      <c r="O502">
        <f t="shared" si="7"/>
        <v>47.8</v>
      </c>
    </row>
    <row r="503" spans="1:15" x14ac:dyDescent="0.25">
      <c r="A503" s="3">
        <v>43467</v>
      </c>
      <c r="B503" t="s">
        <v>6174</v>
      </c>
      <c r="C503" s="2">
        <v>4</v>
      </c>
      <c r="D503" s="2" t="s">
        <v>3325</v>
      </c>
      <c r="E503" s="2" t="s">
        <v>365</v>
      </c>
      <c r="F503" s="2" t="s">
        <v>28</v>
      </c>
      <c r="G503" t="s">
        <v>6191</v>
      </c>
      <c r="H503" t="str">
        <f>VLOOKUP('Combined table'!B503,products!$A$1:$G$49,2,FALSE)</f>
        <v>Rob</v>
      </c>
      <c r="I503" t="str">
        <f>VLOOKUP('Combined table'!B503,products!$A$1:$G$49,3,FALSE)</f>
        <v>M</v>
      </c>
      <c r="J503">
        <f>VLOOKUP('Combined table'!B503,products!$A$1:$G$49,4,FALSE)</f>
        <v>0.2</v>
      </c>
      <c r="K503">
        <f>VLOOKUP('Combined table'!B503,products!$A$1:$G$49,5,FALSE)</f>
        <v>2.9849999999999999</v>
      </c>
      <c r="L503">
        <f>VLOOKUP('Combined table'!B503,products!$A$1:$G$49,6,FALSE)</f>
        <v>1.4924999999999999</v>
      </c>
      <c r="M503">
        <f>VLOOKUP('Combined table'!B503,products!$A$1:$G$49,7,FALSE)</f>
        <v>0.17909999999999998</v>
      </c>
      <c r="N503" t="str">
        <f>TEXT(A503,"mmm yyyy")</f>
        <v>Jan 2019</v>
      </c>
      <c r="O503">
        <f t="shared" si="7"/>
        <v>11.94</v>
      </c>
    </row>
    <row r="504" spans="1:15" x14ac:dyDescent="0.25">
      <c r="A504" s="3">
        <v>43467</v>
      </c>
      <c r="B504" t="s">
        <v>6156</v>
      </c>
      <c r="C504" s="2">
        <v>4</v>
      </c>
      <c r="D504" s="2" t="s">
        <v>3330</v>
      </c>
      <c r="E504" s="2" t="s">
        <v>116</v>
      </c>
      <c r="F504" s="2" t="s">
        <v>19</v>
      </c>
      <c r="G504" t="s">
        <v>6191</v>
      </c>
      <c r="H504" t="str">
        <f>VLOOKUP('Combined table'!B504,products!$A$1:$G$49,2,FALSE)</f>
        <v>Exc</v>
      </c>
      <c r="I504" t="str">
        <f>VLOOKUP('Combined table'!B504,products!$A$1:$G$49,3,FALSE)</f>
        <v>M</v>
      </c>
      <c r="J504">
        <f>VLOOKUP('Combined table'!B504,products!$A$1:$G$49,4,FALSE)</f>
        <v>0.2</v>
      </c>
      <c r="K504">
        <f>VLOOKUP('Combined table'!B504,products!$A$1:$G$49,5,FALSE)</f>
        <v>4.125</v>
      </c>
      <c r="L504">
        <f>VLOOKUP('Combined table'!B504,products!$A$1:$G$49,6,FALSE)</f>
        <v>2.0625</v>
      </c>
      <c r="M504">
        <f>VLOOKUP('Combined table'!B504,products!$A$1:$G$49,7,FALSE)</f>
        <v>0.45374999999999999</v>
      </c>
      <c r="N504" t="str">
        <f>TEXT(A504,"mmm yyyy")</f>
        <v>Jan 2019</v>
      </c>
      <c r="O504">
        <f t="shared" si="7"/>
        <v>16.5</v>
      </c>
    </row>
    <row r="505" spans="1:15" x14ac:dyDescent="0.25">
      <c r="A505" s="3">
        <v>43467</v>
      </c>
      <c r="B505" t="s">
        <v>6143</v>
      </c>
      <c r="C505" s="2">
        <v>4</v>
      </c>
      <c r="D505" s="2" t="s">
        <v>3335</v>
      </c>
      <c r="E505" s="2" t="s">
        <v>450</v>
      </c>
      <c r="F505" s="2" t="s">
        <v>19</v>
      </c>
      <c r="G505" t="s">
        <v>6191</v>
      </c>
      <c r="H505" t="str">
        <f>VLOOKUP('Combined table'!B505,products!$A$1:$G$49,2,FALSE)</f>
        <v>Lib</v>
      </c>
      <c r="I505" t="str">
        <f>VLOOKUP('Combined table'!B505,products!$A$1:$G$49,3,FALSE)</f>
        <v>D</v>
      </c>
      <c r="J505">
        <f>VLOOKUP('Combined table'!B505,products!$A$1:$G$49,4,FALSE)</f>
        <v>1</v>
      </c>
      <c r="K505">
        <f>VLOOKUP('Combined table'!B505,products!$A$1:$G$49,5,FALSE)</f>
        <v>12.95</v>
      </c>
      <c r="L505">
        <f>VLOOKUP('Combined table'!B505,products!$A$1:$G$49,6,FALSE)</f>
        <v>1.2949999999999999</v>
      </c>
      <c r="M505">
        <f>VLOOKUP('Combined table'!B505,products!$A$1:$G$49,7,FALSE)</f>
        <v>1.6835</v>
      </c>
      <c r="N505" t="str">
        <f>TEXT(A505,"mmm yyyy")</f>
        <v>Jan 2019</v>
      </c>
      <c r="O505">
        <f t="shared" si="7"/>
        <v>51.8</v>
      </c>
    </row>
    <row r="506" spans="1:15" x14ac:dyDescent="0.25">
      <c r="A506" s="3">
        <v>43467</v>
      </c>
      <c r="B506" t="s">
        <v>6145</v>
      </c>
      <c r="C506" s="2">
        <v>3</v>
      </c>
      <c r="D506" s="2" t="s">
        <v>3339</v>
      </c>
      <c r="E506" s="2" t="s">
        <v>45</v>
      </c>
      <c r="F506" s="2" t="s">
        <v>19</v>
      </c>
      <c r="G506" t="s">
        <v>6190</v>
      </c>
      <c r="H506" t="str">
        <f>VLOOKUP('Combined table'!B506,products!$A$1:$G$49,2,FALSE)</f>
        <v>Lib</v>
      </c>
      <c r="I506" t="str">
        <f>VLOOKUP('Combined table'!B506,products!$A$1:$G$49,3,FALSE)</f>
        <v>L</v>
      </c>
      <c r="J506">
        <f>VLOOKUP('Combined table'!B506,products!$A$1:$G$49,4,FALSE)</f>
        <v>0.2</v>
      </c>
      <c r="K506">
        <f>VLOOKUP('Combined table'!B506,products!$A$1:$G$49,5,FALSE)</f>
        <v>4.7549999999999999</v>
      </c>
      <c r="L506">
        <f>VLOOKUP('Combined table'!B506,products!$A$1:$G$49,6,FALSE)</f>
        <v>2.3774999999999999</v>
      </c>
      <c r="M506">
        <f>VLOOKUP('Combined table'!B506,products!$A$1:$G$49,7,FALSE)</f>
        <v>0.61814999999999998</v>
      </c>
      <c r="N506" t="str">
        <f>TEXT(A506,"mmm yyyy")</f>
        <v>Jan 2019</v>
      </c>
      <c r="O506">
        <f t="shared" si="7"/>
        <v>14.265000000000001</v>
      </c>
    </row>
    <row r="507" spans="1:15" x14ac:dyDescent="0.25">
      <c r="A507" s="3">
        <v>44609</v>
      </c>
      <c r="B507" t="s">
        <v>6159</v>
      </c>
      <c r="C507" s="2">
        <v>6</v>
      </c>
      <c r="D507" s="2" t="s">
        <v>3345</v>
      </c>
      <c r="E507" s="2" t="s">
        <v>257</v>
      </c>
      <c r="F507" s="2" t="s">
        <v>19</v>
      </c>
      <c r="G507" t="s">
        <v>6191</v>
      </c>
      <c r="H507" t="str">
        <f>VLOOKUP('Combined table'!B507,products!$A$1:$G$49,2,FALSE)</f>
        <v>Lib</v>
      </c>
      <c r="I507" t="str">
        <f>VLOOKUP('Combined table'!B507,products!$A$1:$G$49,3,FALSE)</f>
        <v>M</v>
      </c>
      <c r="J507">
        <f>VLOOKUP('Combined table'!B507,products!$A$1:$G$49,4,FALSE)</f>
        <v>0.2</v>
      </c>
      <c r="K507">
        <f>VLOOKUP('Combined table'!B507,products!$A$1:$G$49,5,FALSE)</f>
        <v>4.3650000000000002</v>
      </c>
      <c r="L507">
        <f>VLOOKUP('Combined table'!B507,products!$A$1:$G$49,6,FALSE)</f>
        <v>2.1825000000000001</v>
      </c>
      <c r="M507">
        <f>VLOOKUP('Combined table'!B507,products!$A$1:$G$49,7,FALSE)</f>
        <v>0.56745000000000001</v>
      </c>
      <c r="N507" t="str">
        <f>TEXT(A507,"mmm yyyy")</f>
        <v>Feb 2022</v>
      </c>
      <c r="O507">
        <f t="shared" si="7"/>
        <v>26.19</v>
      </c>
    </row>
    <row r="508" spans="1:15" x14ac:dyDescent="0.25">
      <c r="A508" s="3">
        <v>44184</v>
      </c>
      <c r="B508" t="s">
        <v>6140</v>
      </c>
      <c r="C508" s="2">
        <v>2</v>
      </c>
      <c r="D508" s="2" t="s">
        <v>3351</v>
      </c>
      <c r="E508" s="2" t="s">
        <v>50</v>
      </c>
      <c r="F508" s="2" t="s">
        <v>19</v>
      </c>
      <c r="G508" t="s">
        <v>6190</v>
      </c>
      <c r="H508" t="str">
        <f>VLOOKUP('Combined table'!B508,products!$A$1:$G$49,2,FALSE)</f>
        <v>Ara</v>
      </c>
      <c r="I508" t="str">
        <f>VLOOKUP('Combined table'!B508,products!$A$1:$G$49,3,FALSE)</f>
        <v>L</v>
      </c>
      <c r="J508">
        <f>VLOOKUP('Combined table'!B508,products!$A$1:$G$49,4,FALSE)</f>
        <v>1</v>
      </c>
      <c r="K508">
        <f>VLOOKUP('Combined table'!B508,products!$A$1:$G$49,5,FALSE)</f>
        <v>12.95</v>
      </c>
      <c r="L508">
        <f>VLOOKUP('Combined table'!B508,products!$A$1:$G$49,6,FALSE)</f>
        <v>1.2949999999999999</v>
      </c>
      <c r="M508">
        <f>VLOOKUP('Combined table'!B508,products!$A$1:$G$49,7,FALSE)</f>
        <v>1.1655</v>
      </c>
      <c r="N508" t="str">
        <f>TEXT(A508,"mmm yyyy")</f>
        <v>Dec 2020</v>
      </c>
      <c r="O508">
        <f t="shared" si="7"/>
        <v>25.9</v>
      </c>
    </row>
    <row r="509" spans="1:15" x14ac:dyDescent="0.25">
      <c r="A509" s="3">
        <v>43516</v>
      </c>
      <c r="B509" t="s">
        <v>6182</v>
      </c>
      <c r="C509" s="2">
        <v>3</v>
      </c>
      <c r="D509" s="2" t="s">
        <v>3357</v>
      </c>
      <c r="E509" s="2" t="s">
        <v>255</v>
      </c>
      <c r="F509" s="2" t="s">
        <v>19</v>
      </c>
      <c r="G509" t="s">
        <v>6190</v>
      </c>
      <c r="H509" t="str">
        <f>VLOOKUP('Combined table'!B509,products!$A$1:$G$49,2,FALSE)</f>
        <v>Ara</v>
      </c>
      <c r="I509" t="str">
        <f>VLOOKUP('Combined table'!B509,products!$A$1:$G$49,3,FALSE)</f>
        <v>L</v>
      </c>
      <c r="J509">
        <f>VLOOKUP('Combined table'!B509,products!$A$1:$G$49,4,FALSE)</f>
        <v>2.5</v>
      </c>
      <c r="K509">
        <f>VLOOKUP('Combined table'!B509,products!$A$1:$G$49,5,FALSE)</f>
        <v>29.784999999999997</v>
      </c>
      <c r="L509">
        <f>VLOOKUP('Combined table'!B509,products!$A$1:$G$49,6,FALSE)</f>
        <v>1.1913999999999998</v>
      </c>
      <c r="M509">
        <f>VLOOKUP('Combined table'!B509,products!$A$1:$G$49,7,FALSE)</f>
        <v>2.6806499999999995</v>
      </c>
      <c r="N509" t="str">
        <f>TEXT(A509,"mmm yyyy")</f>
        <v>Feb 2019</v>
      </c>
      <c r="O509">
        <f t="shared" si="7"/>
        <v>89.35499999999999</v>
      </c>
    </row>
    <row r="510" spans="1:15" x14ac:dyDescent="0.25">
      <c r="A510" s="3">
        <v>44210</v>
      </c>
      <c r="B510" t="s">
        <v>6169</v>
      </c>
      <c r="C510" s="2">
        <v>6</v>
      </c>
      <c r="D510" s="2" t="s">
        <v>3363</v>
      </c>
      <c r="E510" s="2" t="s">
        <v>377</v>
      </c>
      <c r="F510" s="2" t="s">
        <v>318</v>
      </c>
      <c r="G510" t="s">
        <v>6191</v>
      </c>
      <c r="H510" t="str">
        <f>VLOOKUP('Combined table'!B510,products!$A$1:$G$49,2,FALSE)</f>
        <v>Lib</v>
      </c>
      <c r="I510" t="str">
        <f>VLOOKUP('Combined table'!B510,products!$A$1:$G$49,3,FALSE)</f>
        <v>D</v>
      </c>
      <c r="J510">
        <f>VLOOKUP('Combined table'!B510,products!$A$1:$G$49,4,FALSE)</f>
        <v>0.5</v>
      </c>
      <c r="K510">
        <f>VLOOKUP('Combined table'!B510,products!$A$1:$G$49,5,FALSE)</f>
        <v>7.77</v>
      </c>
      <c r="L510">
        <f>VLOOKUP('Combined table'!B510,products!$A$1:$G$49,6,FALSE)</f>
        <v>1.5539999999999998</v>
      </c>
      <c r="M510">
        <f>VLOOKUP('Combined table'!B510,products!$A$1:$G$49,7,FALSE)</f>
        <v>1.0101</v>
      </c>
      <c r="N510" t="str">
        <f>TEXT(A510,"mmm yyyy")</f>
        <v>Jan 2021</v>
      </c>
      <c r="O510">
        <f t="shared" si="7"/>
        <v>46.62</v>
      </c>
    </row>
    <row r="511" spans="1:15" x14ac:dyDescent="0.25">
      <c r="A511" s="3">
        <v>43785</v>
      </c>
      <c r="B511" t="s">
        <v>6147</v>
      </c>
      <c r="C511" s="2">
        <v>3</v>
      </c>
      <c r="D511" s="2" t="s">
        <v>3369</v>
      </c>
      <c r="E511" s="2" t="s">
        <v>466</v>
      </c>
      <c r="F511" s="2" t="s">
        <v>318</v>
      </c>
      <c r="G511" t="s">
        <v>6190</v>
      </c>
      <c r="H511" t="str">
        <f>VLOOKUP('Combined table'!B511,products!$A$1:$G$49,2,FALSE)</f>
        <v>Ara</v>
      </c>
      <c r="I511" t="str">
        <f>VLOOKUP('Combined table'!B511,products!$A$1:$G$49,3,FALSE)</f>
        <v>D</v>
      </c>
      <c r="J511">
        <f>VLOOKUP('Combined table'!B511,products!$A$1:$G$49,4,FALSE)</f>
        <v>1</v>
      </c>
      <c r="K511">
        <f>VLOOKUP('Combined table'!B511,products!$A$1:$G$49,5,FALSE)</f>
        <v>9.9499999999999993</v>
      </c>
      <c r="L511">
        <f>VLOOKUP('Combined table'!B511,products!$A$1:$G$49,6,FALSE)</f>
        <v>0.99499999999999988</v>
      </c>
      <c r="M511">
        <f>VLOOKUP('Combined table'!B511,products!$A$1:$G$49,7,FALSE)</f>
        <v>0.89549999999999985</v>
      </c>
      <c r="N511" t="str">
        <f>TEXT(A511,"mmm yyyy")</f>
        <v>Nov 2019</v>
      </c>
      <c r="O511">
        <f t="shared" si="7"/>
        <v>29.849999999999998</v>
      </c>
    </row>
    <row r="512" spans="1:15" x14ac:dyDescent="0.25">
      <c r="A512" s="3">
        <v>43803</v>
      </c>
      <c r="B512" t="s">
        <v>6178</v>
      </c>
      <c r="C512" s="2">
        <v>3</v>
      </c>
      <c r="D512" s="2" t="s">
        <v>3375</v>
      </c>
      <c r="E512" s="2" t="s">
        <v>469</v>
      </c>
      <c r="F512" s="2" t="s">
        <v>318</v>
      </c>
      <c r="G512" t="s">
        <v>6190</v>
      </c>
      <c r="H512" t="str">
        <f>VLOOKUP('Combined table'!B512,products!$A$1:$G$49,2,FALSE)</f>
        <v>Rob</v>
      </c>
      <c r="I512" t="str">
        <f>VLOOKUP('Combined table'!B512,products!$A$1:$G$49,3,FALSE)</f>
        <v>L</v>
      </c>
      <c r="J512">
        <f>VLOOKUP('Combined table'!B512,products!$A$1:$G$49,4,FALSE)</f>
        <v>0.2</v>
      </c>
      <c r="K512">
        <f>VLOOKUP('Combined table'!B512,products!$A$1:$G$49,5,FALSE)</f>
        <v>3.5849999999999995</v>
      </c>
      <c r="L512">
        <f>VLOOKUP('Combined table'!B512,products!$A$1:$G$49,6,FALSE)</f>
        <v>1.7924999999999998</v>
      </c>
      <c r="M512">
        <f>VLOOKUP('Combined table'!B512,products!$A$1:$G$49,7,FALSE)</f>
        <v>0.21509999999999996</v>
      </c>
      <c r="N512" t="str">
        <f>TEXT(A512,"mmm yyyy")</f>
        <v>Dec 2019</v>
      </c>
      <c r="O512">
        <f t="shared" si="7"/>
        <v>10.754999999999999</v>
      </c>
    </row>
    <row r="513" spans="1:15" x14ac:dyDescent="0.25">
      <c r="A513" s="3">
        <v>44043</v>
      </c>
      <c r="B513" t="s">
        <v>6152</v>
      </c>
      <c r="C513" s="2">
        <v>4</v>
      </c>
      <c r="D513" s="2" t="s">
        <v>3381</v>
      </c>
      <c r="E513" s="2" t="s">
        <v>144</v>
      </c>
      <c r="F513" s="2" t="s">
        <v>19</v>
      </c>
      <c r="G513" t="s">
        <v>6190</v>
      </c>
      <c r="H513" t="str">
        <f>VLOOKUP('Combined table'!B513,products!$A$1:$G$49,2,FALSE)</f>
        <v>Ara</v>
      </c>
      <c r="I513" t="str">
        <f>VLOOKUP('Combined table'!B513,products!$A$1:$G$49,3,FALSE)</f>
        <v>M</v>
      </c>
      <c r="J513">
        <f>VLOOKUP('Combined table'!B513,products!$A$1:$G$49,4,FALSE)</f>
        <v>0.2</v>
      </c>
      <c r="K513">
        <f>VLOOKUP('Combined table'!B513,products!$A$1:$G$49,5,FALSE)</f>
        <v>3.375</v>
      </c>
      <c r="L513">
        <f>VLOOKUP('Combined table'!B513,products!$A$1:$G$49,6,FALSE)</f>
        <v>1.6875</v>
      </c>
      <c r="M513">
        <f>VLOOKUP('Combined table'!B513,products!$A$1:$G$49,7,FALSE)</f>
        <v>0.30374999999999996</v>
      </c>
      <c r="N513" t="str">
        <f>TEXT(A513,"mmm yyyy")</f>
        <v>Jul 2020</v>
      </c>
      <c r="O513">
        <f t="shared" si="7"/>
        <v>13.5</v>
      </c>
    </row>
    <row r="514" spans="1:15" x14ac:dyDescent="0.25">
      <c r="A514" s="3">
        <v>43535</v>
      </c>
      <c r="B514" t="s">
        <v>6170</v>
      </c>
      <c r="C514" s="2">
        <v>3</v>
      </c>
      <c r="D514" s="2" t="s">
        <v>3387</v>
      </c>
      <c r="E514" s="2" t="s">
        <v>328</v>
      </c>
      <c r="F514" s="2" t="s">
        <v>19</v>
      </c>
      <c r="G514" t="s">
        <v>6191</v>
      </c>
      <c r="H514" t="str">
        <f>VLOOKUP('Combined table'!B514,products!$A$1:$G$49,2,FALSE)</f>
        <v>Lib</v>
      </c>
      <c r="I514" t="str">
        <f>VLOOKUP('Combined table'!B514,products!$A$1:$G$49,3,FALSE)</f>
        <v>L</v>
      </c>
      <c r="J514">
        <f>VLOOKUP('Combined table'!B514,products!$A$1:$G$49,4,FALSE)</f>
        <v>1</v>
      </c>
      <c r="K514">
        <f>VLOOKUP('Combined table'!B514,products!$A$1:$G$49,5,FALSE)</f>
        <v>15.85</v>
      </c>
      <c r="L514">
        <f>VLOOKUP('Combined table'!B514,products!$A$1:$G$49,6,FALSE)</f>
        <v>1.585</v>
      </c>
      <c r="M514">
        <f>VLOOKUP('Combined table'!B514,products!$A$1:$G$49,7,FALSE)</f>
        <v>2.0605000000000002</v>
      </c>
      <c r="N514" t="str">
        <f>TEXT(A514,"mmm yyyy")</f>
        <v>Mar 2019</v>
      </c>
      <c r="O514">
        <f t="shared" si="7"/>
        <v>47.55</v>
      </c>
    </row>
    <row r="515" spans="1:15" x14ac:dyDescent="0.25">
      <c r="A515" s="3">
        <v>44691</v>
      </c>
      <c r="B515" t="s">
        <v>6170</v>
      </c>
      <c r="C515" s="2">
        <v>5</v>
      </c>
      <c r="D515" s="2" t="s">
        <v>3393</v>
      </c>
      <c r="E515" s="2" t="s">
        <v>46</v>
      </c>
      <c r="F515" s="2" t="s">
        <v>19</v>
      </c>
      <c r="G515" t="s">
        <v>6191</v>
      </c>
      <c r="H515" t="str">
        <f>VLOOKUP('Combined table'!B515,products!$A$1:$G$49,2,FALSE)</f>
        <v>Lib</v>
      </c>
      <c r="I515" t="str">
        <f>VLOOKUP('Combined table'!B515,products!$A$1:$G$49,3,FALSE)</f>
        <v>L</v>
      </c>
      <c r="J515">
        <f>VLOOKUP('Combined table'!B515,products!$A$1:$G$49,4,FALSE)</f>
        <v>1</v>
      </c>
      <c r="K515">
        <f>VLOOKUP('Combined table'!B515,products!$A$1:$G$49,5,FALSE)</f>
        <v>15.85</v>
      </c>
      <c r="L515">
        <f>VLOOKUP('Combined table'!B515,products!$A$1:$G$49,6,FALSE)</f>
        <v>1.585</v>
      </c>
      <c r="M515">
        <f>VLOOKUP('Combined table'!B515,products!$A$1:$G$49,7,FALSE)</f>
        <v>2.0605000000000002</v>
      </c>
      <c r="N515" t="str">
        <f>TEXT(A515,"mmm yyyy")</f>
        <v>May 2022</v>
      </c>
      <c r="O515">
        <f t="shared" ref="O515:O578" si="8">C515*K515</f>
        <v>79.25</v>
      </c>
    </row>
    <row r="516" spans="1:15" x14ac:dyDescent="0.25">
      <c r="A516" s="3">
        <v>44555</v>
      </c>
      <c r="B516" t="s">
        <v>6159</v>
      </c>
      <c r="C516" s="2">
        <v>6</v>
      </c>
      <c r="D516" s="2" t="s">
        <v>3398</v>
      </c>
      <c r="E516" s="2" t="s">
        <v>41</v>
      </c>
      <c r="F516" s="2" t="s">
        <v>19</v>
      </c>
      <c r="G516" t="s">
        <v>6190</v>
      </c>
      <c r="H516" t="str">
        <f>VLOOKUP('Combined table'!B516,products!$A$1:$G$49,2,FALSE)</f>
        <v>Lib</v>
      </c>
      <c r="I516" t="str">
        <f>VLOOKUP('Combined table'!B516,products!$A$1:$G$49,3,FALSE)</f>
        <v>M</v>
      </c>
      <c r="J516">
        <f>VLOOKUP('Combined table'!B516,products!$A$1:$G$49,4,FALSE)</f>
        <v>0.2</v>
      </c>
      <c r="K516">
        <f>VLOOKUP('Combined table'!B516,products!$A$1:$G$49,5,FALSE)</f>
        <v>4.3650000000000002</v>
      </c>
      <c r="L516">
        <f>VLOOKUP('Combined table'!B516,products!$A$1:$G$49,6,FALSE)</f>
        <v>2.1825000000000001</v>
      </c>
      <c r="M516">
        <f>VLOOKUP('Combined table'!B516,products!$A$1:$G$49,7,FALSE)</f>
        <v>0.56745000000000001</v>
      </c>
      <c r="N516" t="str">
        <f>TEXT(A516,"mmm yyyy")</f>
        <v>Dec 2021</v>
      </c>
      <c r="O516">
        <f t="shared" si="8"/>
        <v>26.19</v>
      </c>
    </row>
    <row r="517" spans="1:15" x14ac:dyDescent="0.25">
      <c r="A517" s="3">
        <v>44673</v>
      </c>
      <c r="B517" t="s">
        <v>6173</v>
      </c>
      <c r="C517" s="2">
        <v>3</v>
      </c>
      <c r="D517" s="2" t="s">
        <v>3404</v>
      </c>
      <c r="E517" s="2" t="s">
        <v>104</v>
      </c>
      <c r="F517" s="2" t="s">
        <v>19</v>
      </c>
      <c r="G517" t="s">
        <v>6191</v>
      </c>
      <c r="H517" t="str">
        <f>VLOOKUP('Combined table'!B517,products!$A$1:$G$49,2,FALSE)</f>
        <v>Rob</v>
      </c>
      <c r="I517" t="str">
        <f>VLOOKUP('Combined table'!B517,products!$A$1:$G$49,3,FALSE)</f>
        <v>L</v>
      </c>
      <c r="J517">
        <f>VLOOKUP('Combined table'!B517,products!$A$1:$G$49,4,FALSE)</f>
        <v>0.5</v>
      </c>
      <c r="K517">
        <f>VLOOKUP('Combined table'!B517,products!$A$1:$G$49,5,FALSE)</f>
        <v>7.169999999999999</v>
      </c>
      <c r="L517">
        <f>VLOOKUP('Combined table'!B517,products!$A$1:$G$49,6,FALSE)</f>
        <v>1.4339999999999997</v>
      </c>
      <c r="M517">
        <f>VLOOKUP('Combined table'!B517,products!$A$1:$G$49,7,FALSE)</f>
        <v>0.43019999999999992</v>
      </c>
      <c r="N517" t="str">
        <f>TEXT(A517,"mmm yyyy")</f>
        <v>Apr 2022</v>
      </c>
      <c r="O517">
        <f t="shared" si="8"/>
        <v>21.509999999999998</v>
      </c>
    </row>
    <row r="518" spans="1:15" x14ac:dyDescent="0.25">
      <c r="A518" s="3">
        <v>44723</v>
      </c>
      <c r="B518" t="s">
        <v>6149</v>
      </c>
      <c r="C518" s="2">
        <v>5</v>
      </c>
      <c r="D518" s="2" t="s">
        <v>3410</v>
      </c>
      <c r="E518" s="2" t="s">
        <v>283</v>
      </c>
      <c r="F518" s="2" t="s">
        <v>19</v>
      </c>
      <c r="G518" t="s">
        <v>6190</v>
      </c>
      <c r="H518" t="str">
        <f>VLOOKUP('Combined table'!B518,products!$A$1:$G$49,2,FALSE)</f>
        <v>Rob</v>
      </c>
      <c r="I518" t="str">
        <f>VLOOKUP('Combined table'!B518,products!$A$1:$G$49,3,FALSE)</f>
        <v>D</v>
      </c>
      <c r="J518">
        <f>VLOOKUP('Combined table'!B518,products!$A$1:$G$49,4,FALSE)</f>
        <v>2.5</v>
      </c>
      <c r="K518">
        <f>VLOOKUP('Combined table'!B518,products!$A$1:$G$49,5,FALSE)</f>
        <v>20.584999999999997</v>
      </c>
      <c r="L518">
        <f>VLOOKUP('Combined table'!B518,products!$A$1:$G$49,6,FALSE)</f>
        <v>0.82339999999999991</v>
      </c>
      <c r="M518">
        <f>VLOOKUP('Combined table'!B518,products!$A$1:$G$49,7,FALSE)</f>
        <v>1.2350999999999999</v>
      </c>
      <c r="N518" t="str">
        <f>TEXT(A518,"mmm yyyy")</f>
        <v>Jun 2022</v>
      </c>
      <c r="O518">
        <f t="shared" si="8"/>
        <v>102.92499999999998</v>
      </c>
    </row>
    <row r="519" spans="1:15" x14ac:dyDescent="0.25">
      <c r="A519" s="3">
        <v>44678</v>
      </c>
      <c r="B519" t="s">
        <v>6150</v>
      </c>
      <c r="C519" s="2">
        <v>2</v>
      </c>
      <c r="D519" s="2" t="s">
        <v>3415</v>
      </c>
      <c r="E519" s="2" t="s">
        <v>319</v>
      </c>
      <c r="F519" s="2" t="s">
        <v>19</v>
      </c>
      <c r="G519" t="s">
        <v>6191</v>
      </c>
      <c r="H519" t="str">
        <f>VLOOKUP('Combined table'!B519,products!$A$1:$G$49,2,FALSE)</f>
        <v>Lib</v>
      </c>
      <c r="I519" t="str">
        <f>VLOOKUP('Combined table'!B519,products!$A$1:$G$49,3,FALSE)</f>
        <v>D</v>
      </c>
      <c r="J519">
        <f>VLOOKUP('Combined table'!B519,products!$A$1:$G$49,4,FALSE)</f>
        <v>0.2</v>
      </c>
      <c r="K519">
        <f>VLOOKUP('Combined table'!B519,products!$A$1:$G$49,5,FALSE)</f>
        <v>3.8849999999999998</v>
      </c>
      <c r="L519">
        <f>VLOOKUP('Combined table'!B519,products!$A$1:$G$49,6,FALSE)</f>
        <v>1.9424999999999999</v>
      </c>
      <c r="M519">
        <f>VLOOKUP('Combined table'!B519,products!$A$1:$G$49,7,FALSE)</f>
        <v>0.50505</v>
      </c>
      <c r="N519" t="str">
        <f>TEXT(A519,"mmm yyyy")</f>
        <v>Apr 2022</v>
      </c>
      <c r="O519">
        <f t="shared" si="8"/>
        <v>7.77</v>
      </c>
    </row>
    <row r="520" spans="1:15" x14ac:dyDescent="0.25">
      <c r="A520" s="3">
        <v>44194</v>
      </c>
      <c r="B520" t="s">
        <v>6185</v>
      </c>
      <c r="C520" s="2">
        <v>5</v>
      </c>
      <c r="D520" s="2" t="s">
        <v>3420</v>
      </c>
      <c r="E520" s="2" t="s">
        <v>356</v>
      </c>
      <c r="F520" s="2" t="s">
        <v>19</v>
      </c>
      <c r="G520" t="s">
        <v>6191</v>
      </c>
      <c r="H520" t="str">
        <f>VLOOKUP('Combined table'!B520,products!$A$1:$G$49,2,FALSE)</f>
        <v>Exc</v>
      </c>
      <c r="I520" t="str">
        <f>VLOOKUP('Combined table'!B520,products!$A$1:$G$49,3,FALSE)</f>
        <v>D</v>
      </c>
      <c r="J520">
        <f>VLOOKUP('Combined table'!B520,products!$A$1:$G$49,4,FALSE)</f>
        <v>2.5</v>
      </c>
      <c r="K520">
        <f>VLOOKUP('Combined table'!B520,products!$A$1:$G$49,5,FALSE)</f>
        <v>27.945</v>
      </c>
      <c r="L520">
        <f>VLOOKUP('Combined table'!B520,products!$A$1:$G$49,6,FALSE)</f>
        <v>1.1177999999999999</v>
      </c>
      <c r="M520">
        <f>VLOOKUP('Combined table'!B520,products!$A$1:$G$49,7,FALSE)</f>
        <v>3.07395</v>
      </c>
      <c r="N520" t="str">
        <f>TEXT(A520,"mmm yyyy")</f>
        <v>Dec 2020</v>
      </c>
      <c r="O520">
        <f t="shared" si="8"/>
        <v>139.72499999999999</v>
      </c>
    </row>
    <row r="521" spans="1:15" x14ac:dyDescent="0.25">
      <c r="A521" s="3">
        <v>44026</v>
      </c>
      <c r="B521" t="s">
        <v>6158</v>
      </c>
      <c r="C521" s="2">
        <v>2</v>
      </c>
      <c r="D521" s="2" t="s">
        <v>3426</v>
      </c>
      <c r="E521" s="2" t="s">
        <v>63</v>
      </c>
      <c r="F521" s="2" t="s">
        <v>19</v>
      </c>
      <c r="G521" t="s">
        <v>6191</v>
      </c>
      <c r="H521" t="str">
        <f>VLOOKUP('Combined table'!B521,products!$A$1:$G$49,2,FALSE)</f>
        <v>Ara</v>
      </c>
      <c r="I521" t="str">
        <f>VLOOKUP('Combined table'!B521,products!$A$1:$G$49,3,FALSE)</f>
        <v>D</v>
      </c>
      <c r="J521">
        <f>VLOOKUP('Combined table'!B521,products!$A$1:$G$49,4,FALSE)</f>
        <v>0.5</v>
      </c>
      <c r="K521">
        <f>VLOOKUP('Combined table'!B521,products!$A$1:$G$49,5,FALSE)</f>
        <v>5.97</v>
      </c>
      <c r="L521">
        <f>VLOOKUP('Combined table'!B521,products!$A$1:$G$49,6,FALSE)</f>
        <v>1.194</v>
      </c>
      <c r="M521">
        <f>VLOOKUP('Combined table'!B521,products!$A$1:$G$49,7,FALSE)</f>
        <v>0.5373</v>
      </c>
      <c r="N521" t="str">
        <f>TEXT(A521,"mmm yyyy")</f>
        <v>Jul 2020</v>
      </c>
      <c r="O521">
        <f t="shared" si="8"/>
        <v>11.94</v>
      </c>
    </row>
    <row r="522" spans="1:15" x14ac:dyDescent="0.25">
      <c r="A522" s="3">
        <v>44446</v>
      </c>
      <c r="B522" t="s">
        <v>6150</v>
      </c>
      <c r="C522" s="2">
        <v>1</v>
      </c>
      <c r="D522" s="2" t="s">
        <v>3432</v>
      </c>
      <c r="E522" s="2" t="s">
        <v>69</v>
      </c>
      <c r="F522" s="2" t="s">
        <v>19</v>
      </c>
      <c r="G522" t="s">
        <v>6191</v>
      </c>
      <c r="H522" t="str">
        <f>VLOOKUP('Combined table'!B522,products!$A$1:$G$49,2,FALSE)</f>
        <v>Lib</v>
      </c>
      <c r="I522" t="str">
        <f>VLOOKUP('Combined table'!B522,products!$A$1:$G$49,3,FALSE)</f>
        <v>D</v>
      </c>
      <c r="J522">
        <f>VLOOKUP('Combined table'!B522,products!$A$1:$G$49,4,FALSE)</f>
        <v>0.2</v>
      </c>
      <c r="K522">
        <f>VLOOKUP('Combined table'!B522,products!$A$1:$G$49,5,FALSE)</f>
        <v>3.8849999999999998</v>
      </c>
      <c r="L522">
        <f>VLOOKUP('Combined table'!B522,products!$A$1:$G$49,6,FALSE)</f>
        <v>1.9424999999999999</v>
      </c>
      <c r="M522">
        <f>VLOOKUP('Combined table'!B522,products!$A$1:$G$49,7,FALSE)</f>
        <v>0.50505</v>
      </c>
      <c r="N522" t="str">
        <f>TEXT(A522,"mmm yyyy")</f>
        <v>Sep 2021</v>
      </c>
      <c r="O522">
        <f t="shared" si="8"/>
        <v>3.8849999999999998</v>
      </c>
    </row>
    <row r="523" spans="1:15" x14ac:dyDescent="0.25">
      <c r="A523" s="3">
        <v>44446</v>
      </c>
      <c r="B523" t="s">
        <v>6138</v>
      </c>
      <c r="C523" s="2">
        <v>4</v>
      </c>
      <c r="D523" s="2" t="s">
        <v>3437</v>
      </c>
      <c r="E523" s="2" t="s">
        <v>77</v>
      </c>
      <c r="F523" s="2" t="s">
        <v>19</v>
      </c>
      <c r="G523" t="s">
        <v>6191</v>
      </c>
      <c r="H523" t="str">
        <f>VLOOKUP('Combined table'!B523,products!$A$1:$G$49,2,FALSE)</f>
        <v>Rob</v>
      </c>
      <c r="I523" t="str">
        <f>VLOOKUP('Combined table'!B523,products!$A$1:$G$49,3,FALSE)</f>
        <v>M</v>
      </c>
      <c r="J523">
        <f>VLOOKUP('Combined table'!B523,products!$A$1:$G$49,4,FALSE)</f>
        <v>1</v>
      </c>
      <c r="K523">
        <f>VLOOKUP('Combined table'!B523,products!$A$1:$G$49,5,FALSE)</f>
        <v>9.9499999999999993</v>
      </c>
      <c r="L523">
        <f>VLOOKUP('Combined table'!B523,products!$A$1:$G$49,6,FALSE)</f>
        <v>0.99499999999999988</v>
      </c>
      <c r="M523">
        <f>VLOOKUP('Combined table'!B523,products!$A$1:$G$49,7,FALSE)</f>
        <v>0.59699999999999998</v>
      </c>
      <c r="N523" t="str">
        <f>TEXT(A523,"mmm yyyy")</f>
        <v>Sep 2021</v>
      </c>
      <c r="O523">
        <f t="shared" si="8"/>
        <v>39.799999999999997</v>
      </c>
    </row>
    <row r="524" spans="1:15" x14ac:dyDescent="0.25">
      <c r="A524" s="3">
        <v>43625</v>
      </c>
      <c r="B524" t="s">
        <v>6146</v>
      </c>
      <c r="C524" s="2">
        <v>5</v>
      </c>
      <c r="D524" s="2" t="s">
        <v>3443</v>
      </c>
      <c r="E524" s="2" t="s">
        <v>148</v>
      </c>
      <c r="F524" s="2" t="s">
        <v>19</v>
      </c>
      <c r="G524" t="s">
        <v>6191</v>
      </c>
      <c r="H524" t="str">
        <f>VLOOKUP('Combined table'!B524,products!$A$1:$G$49,2,FALSE)</f>
        <v>Rob</v>
      </c>
      <c r="I524" t="str">
        <f>VLOOKUP('Combined table'!B524,products!$A$1:$G$49,3,FALSE)</f>
        <v>M</v>
      </c>
      <c r="J524">
        <f>VLOOKUP('Combined table'!B524,products!$A$1:$G$49,4,FALSE)</f>
        <v>0.5</v>
      </c>
      <c r="K524">
        <f>VLOOKUP('Combined table'!B524,products!$A$1:$G$49,5,FALSE)</f>
        <v>5.97</v>
      </c>
      <c r="L524">
        <f>VLOOKUP('Combined table'!B524,products!$A$1:$G$49,6,FALSE)</f>
        <v>1.194</v>
      </c>
      <c r="M524">
        <f>VLOOKUP('Combined table'!B524,products!$A$1:$G$49,7,FALSE)</f>
        <v>0.35819999999999996</v>
      </c>
      <c r="N524" t="str">
        <f>TEXT(A524,"mmm yyyy")</f>
        <v>Jun 2019</v>
      </c>
      <c r="O524">
        <f t="shared" si="8"/>
        <v>29.849999999999998</v>
      </c>
    </row>
    <row r="525" spans="1:15" x14ac:dyDescent="0.25">
      <c r="A525" s="3">
        <v>44129</v>
      </c>
      <c r="B525" t="s">
        <v>6165</v>
      </c>
      <c r="C525" s="2">
        <v>1</v>
      </c>
      <c r="D525" s="2" t="s">
        <v>3449</v>
      </c>
      <c r="E525" s="2" t="s">
        <v>426</v>
      </c>
      <c r="F525" s="2" t="s">
        <v>318</v>
      </c>
      <c r="G525" t="s">
        <v>6191</v>
      </c>
      <c r="H525" t="str">
        <f>VLOOKUP('Combined table'!B525,products!$A$1:$G$49,2,FALSE)</f>
        <v>Lib</v>
      </c>
      <c r="I525" t="str">
        <f>VLOOKUP('Combined table'!B525,products!$A$1:$G$49,3,FALSE)</f>
        <v>D</v>
      </c>
      <c r="J525">
        <f>VLOOKUP('Combined table'!B525,products!$A$1:$G$49,4,FALSE)</f>
        <v>2.5</v>
      </c>
      <c r="K525">
        <f>VLOOKUP('Combined table'!B525,products!$A$1:$G$49,5,FALSE)</f>
        <v>29.784999999999997</v>
      </c>
      <c r="L525">
        <f>VLOOKUP('Combined table'!B525,products!$A$1:$G$49,6,FALSE)</f>
        <v>1.1913999999999998</v>
      </c>
      <c r="M525">
        <f>VLOOKUP('Combined table'!B525,products!$A$1:$G$49,7,FALSE)</f>
        <v>3.8720499999999998</v>
      </c>
      <c r="N525" t="str">
        <f>TEXT(A525,"mmm yyyy")</f>
        <v>Oct 2020</v>
      </c>
      <c r="O525">
        <f t="shared" si="8"/>
        <v>29.784999999999997</v>
      </c>
    </row>
    <row r="526" spans="1:15" x14ac:dyDescent="0.25">
      <c r="A526" s="3">
        <v>44255</v>
      </c>
      <c r="B526" t="s">
        <v>6164</v>
      </c>
      <c r="C526" s="2">
        <v>2</v>
      </c>
      <c r="D526" s="2" t="s">
        <v>3455</v>
      </c>
      <c r="E526" s="2" t="s">
        <v>83</v>
      </c>
      <c r="F526" s="2" t="s">
        <v>19</v>
      </c>
      <c r="G526" t="s">
        <v>6191</v>
      </c>
      <c r="H526" t="str">
        <f>VLOOKUP('Combined table'!B526,products!$A$1:$G$49,2,FALSE)</f>
        <v>Lib</v>
      </c>
      <c r="I526" t="str">
        <f>VLOOKUP('Combined table'!B526,products!$A$1:$G$49,3,FALSE)</f>
        <v>L</v>
      </c>
      <c r="J526">
        <f>VLOOKUP('Combined table'!B526,products!$A$1:$G$49,4,FALSE)</f>
        <v>2.5</v>
      </c>
      <c r="K526">
        <f>VLOOKUP('Combined table'!B526,products!$A$1:$G$49,5,FALSE)</f>
        <v>36.454999999999998</v>
      </c>
      <c r="L526">
        <f>VLOOKUP('Combined table'!B526,products!$A$1:$G$49,6,FALSE)</f>
        <v>1.4581999999999999</v>
      </c>
      <c r="M526">
        <f>VLOOKUP('Combined table'!B526,products!$A$1:$G$49,7,FALSE)</f>
        <v>4.7391499999999995</v>
      </c>
      <c r="N526" t="str">
        <f>TEXT(A526,"mmm yyyy")</f>
        <v>Feb 2021</v>
      </c>
      <c r="O526">
        <f t="shared" si="8"/>
        <v>72.91</v>
      </c>
    </row>
    <row r="527" spans="1:15" x14ac:dyDescent="0.25">
      <c r="A527" s="3">
        <v>44038</v>
      </c>
      <c r="B527" t="s">
        <v>6163</v>
      </c>
      <c r="C527" s="2">
        <v>5</v>
      </c>
      <c r="D527" s="2" t="s">
        <v>3460</v>
      </c>
      <c r="E527" s="2" t="s">
        <v>21</v>
      </c>
      <c r="F527" s="2" t="s">
        <v>19</v>
      </c>
      <c r="G527" t="s">
        <v>6190</v>
      </c>
      <c r="H527" t="str">
        <f>VLOOKUP('Combined table'!B527,products!$A$1:$G$49,2,FALSE)</f>
        <v>Rob</v>
      </c>
      <c r="I527" t="str">
        <f>VLOOKUP('Combined table'!B527,products!$A$1:$G$49,3,FALSE)</f>
        <v>D</v>
      </c>
      <c r="J527">
        <f>VLOOKUP('Combined table'!B527,products!$A$1:$G$49,4,FALSE)</f>
        <v>0.2</v>
      </c>
      <c r="K527">
        <f>VLOOKUP('Combined table'!B527,products!$A$1:$G$49,5,FALSE)</f>
        <v>2.6849999999999996</v>
      </c>
      <c r="L527">
        <f>VLOOKUP('Combined table'!B527,products!$A$1:$G$49,6,FALSE)</f>
        <v>1.3424999999999998</v>
      </c>
      <c r="M527">
        <f>VLOOKUP('Combined table'!B527,products!$A$1:$G$49,7,FALSE)</f>
        <v>0.16109999999999997</v>
      </c>
      <c r="N527" t="str">
        <f>TEXT(A527,"mmm yyyy")</f>
        <v>Jul 2020</v>
      </c>
      <c r="O527">
        <f t="shared" si="8"/>
        <v>13.424999999999997</v>
      </c>
    </row>
    <row r="528" spans="1:15" x14ac:dyDescent="0.25">
      <c r="A528" s="3">
        <v>44717</v>
      </c>
      <c r="B528" t="s">
        <v>6166</v>
      </c>
      <c r="C528" s="2">
        <v>4</v>
      </c>
      <c r="D528" s="2" t="s">
        <v>3465</v>
      </c>
      <c r="E528" s="2" t="s">
        <v>105</v>
      </c>
      <c r="F528" s="2" t="s">
        <v>19</v>
      </c>
      <c r="G528" t="s">
        <v>6190</v>
      </c>
      <c r="H528" t="str">
        <f>VLOOKUP('Combined table'!B528,products!$A$1:$G$49,2,FALSE)</f>
        <v>Exc</v>
      </c>
      <c r="I528" t="str">
        <f>VLOOKUP('Combined table'!B528,products!$A$1:$G$49,3,FALSE)</f>
        <v>M</v>
      </c>
      <c r="J528">
        <f>VLOOKUP('Combined table'!B528,products!$A$1:$G$49,4,FALSE)</f>
        <v>2.5</v>
      </c>
      <c r="K528">
        <f>VLOOKUP('Combined table'!B528,products!$A$1:$G$49,5,FALSE)</f>
        <v>31.624999999999996</v>
      </c>
      <c r="L528">
        <f>VLOOKUP('Combined table'!B528,products!$A$1:$G$49,6,FALSE)</f>
        <v>1.2649999999999999</v>
      </c>
      <c r="M528">
        <f>VLOOKUP('Combined table'!B528,products!$A$1:$G$49,7,FALSE)</f>
        <v>3.4787499999999998</v>
      </c>
      <c r="N528" t="str">
        <f>TEXT(A528,"mmm yyyy")</f>
        <v>Jun 2022</v>
      </c>
      <c r="O528">
        <f t="shared" si="8"/>
        <v>126.49999999999999</v>
      </c>
    </row>
    <row r="529" spans="1:15" x14ac:dyDescent="0.25">
      <c r="A529" s="3">
        <v>43517</v>
      </c>
      <c r="B529" t="s">
        <v>6139</v>
      </c>
      <c r="C529" s="2">
        <v>5</v>
      </c>
      <c r="D529" s="2" t="s">
        <v>3471</v>
      </c>
      <c r="E529" s="2" t="s">
        <v>151</v>
      </c>
      <c r="F529" s="2" t="s">
        <v>28</v>
      </c>
      <c r="G529" t="s">
        <v>6191</v>
      </c>
      <c r="H529" t="str">
        <f>VLOOKUP('Combined table'!B529,products!$A$1:$G$49,2,FALSE)</f>
        <v>Exc</v>
      </c>
      <c r="I529" t="str">
        <f>VLOOKUP('Combined table'!B529,products!$A$1:$G$49,3,FALSE)</f>
        <v>M</v>
      </c>
      <c r="J529">
        <f>VLOOKUP('Combined table'!B529,products!$A$1:$G$49,4,FALSE)</f>
        <v>0.5</v>
      </c>
      <c r="K529">
        <f>VLOOKUP('Combined table'!B529,products!$A$1:$G$49,5,FALSE)</f>
        <v>8.25</v>
      </c>
      <c r="L529">
        <f>VLOOKUP('Combined table'!B529,products!$A$1:$G$49,6,FALSE)</f>
        <v>1.65</v>
      </c>
      <c r="M529">
        <f>VLOOKUP('Combined table'!B529,products!$A$1:$G$49,7,FALSE)</f>
        <v>0.90749999999999997</v>
      </c>
      <c r="N529" t="str">
        <f>TEXT(A529,"mmm yyyy")</f>
        <v>Feb 2019</v>
      </c>
      <c r="O529">
        <f t="shared" si="8"/>
        <v>41.25</v>
      </c>
    </row>
    <row r="530" spans="1:15" x14ac:dyDescent="0.25">
      <c r="A530" s="3">
        <v>43926</v>
      </c>
      <c r="B530" t="s">
        <v>6176</v>
      </c>
      <c r="C530" s="2">
        <v>6</v>
      </c>
      <c r="D530" s="2" t="s">
        <v>3477</v>
      </c>
      <c r="E530" s="2" t="s">
        <v>96</v>
      </c>
      <c r="F530" s="2" t="s">
        <v>19</v>
      </c>
      <c r="G530" t="s">
        <v>6191</v>
      </c>
      <c r="H530" t="str">
        <f>VLOOKUP('Combined table'!B530,products!$A$1:$G$49,2,FALSE)</f>
        <v>Exc</v>
      </c>
      <c r="I530" t="str">
        <f>VLOOKUP('Combined table'!B530,products!$A$1:$G$49,3,FALSE)</f>
        <v>L</v>
      </c>
      <c r="J530">
        <f>VLOOKUP('Combined table'!B530,products!$A$1:$G$49,4,FALSE)</f>
        <v>0.5</v>
      </c>
      <c r="K530">
        <f>VLOOKUP('Combined table'!B530,products!$A$1:$G$49,5,FALSE)</f>
        <v>8.91</v>
      </c>
      <c r="L530">
        <f>VLOOKUP('Combined table'!B530,products!$A$1:$G$49,6,FALSE)</f>
        <v>1.782</v>
      </c>
      <c r="M530">
        <f>VLOOKUP('Combined table'!B530,products!$A$1:$G$49,7,FALSE)</f>
        <v>0.98009999999999997</v>
      </c>
      <c r="N530" t="str">
        <f>TEXT(A530,"mmm yyyy")</f>
        <v>Apr 2020</v>
      </c>
      <c r="O530">
        <f t="shared" si="8"/>
        <v>53.46</v>
      </c>
    </row>
    <row r="531" spans="1:15" x14ac:dyDescent="0.25">
      <c r="A531" s="3">
        <v>43475</v>
      </c>
      <c r="B531" t="s">
        <v>6138</v>
      </c>
      <c r="C531" s="2">
        <v>6</v>
      </c>
      <c r="D531" s="2" t="s">
        <v>3483</v>
      </c>
      <c r="E531" s="2" t="s">
        <v>38</v>
      </c>
      <c r="F531" s="2" t="s">
        <v>19</v>
      </c>
      <c r="G531" t="s">
        <v>6191</v>
      </c>
      <c r="H531" t="str">
        <f>VLOOKUP('Combined table'!B531,products!$A$1:$G$49,2,FALSE)</f>
        <v>Rob</v>
      </c>
      <c r="I531" t="str">
        <f>VLOOKUP('Combined table'!B531,products!$A$1:$G$49,3,FALSE)</f>
        <v>M</v>
      </c>
      <c r="J531">
        <f>VLOOKUP('Combined table'!B531,products!$A$1:$G$49,4,FALSE)</f>
        <v>1</v>
      </c>
      <c r="K531">
        <f>VLOOKUP('Combined table'!B531,products!$A$1:$G$49,5,FALSE)</f>
        <v>9.9499999999999993</v>
      </c>
      <c r="L531">
        <f>VLOOKUP('Combined table'!B531,products!$A$1:$G$49,6,FALSE)</f>
        <v>0.99499999999999988</v>
      </c>
      <c r="M531">
        <f>VLOOKUP('Combined table'!B531,products!$A$1:$G$49,7,FALSE)</f>
        <v>0.59699999999999998</v>
      </c>
      <c r="N531" t="str">
        <f>TEXT(A531,"mmm yyyy")</f>
        <v>Jan 2019</v>
      </c>
      <c r="O531">
        <f t="shared" si="8"/>
        <v>59.699999999999996</v>
      </c>
    </row>
    <row r="532" spans="1:15" x14ac:dyDescent="0.25">
      <c r="A532" s="3">
        <v>44663</v>
      </c>
      <c r="B532" t="s">
        <v>6138</v>
      </c>
      <c r="C532" s="2">
        <v>6</v>
      </c>
      <c r="D532" s="2" t="s">
        <v>3489</v>
      </c>
      <c r="E532" s="2" t="s">
        <v>260</v>
      </c>
      <c r="F532" s="2" t="s">
        <v>19</v>
      </c>
      <c r="G532" t="s">
        <v>6191</v>
      </c>
      <c r="H532" t="str">
        <f>VLOOKUP('Combined table'!B532,products!$A$1:$G$49,2,FALSE)</f>
        <v>Rob</v>
      </c>
      <c r="I532" t="str">
        <f>VLOOKUP('Combined table'!B532,products!$A$1:$G$49,3,FALSE)</f>
        <v>M</v>
      </c>
      <c r="J532">
        <f>VLOOKUP('Combined table'!B532,products!$A$1:$G$49,4,FALSE)</f>
        <v>1</v>
      </c>
      <c r="K532">
        <f>VLOOKUP('Combined table'!B532,products!$A$1:$G$49,5,FALSE)</f>
        <v>9.9499999999999993</v>
      </c>
      <c r="L532">
        <f>VLOOKUP('Combined table'!B532,products!$A$1:$G$49,6,FALSE)</f>
        <v>0.99499999999999988</v>
      </c>
      <c r="M532">
        <f>VLOOKUP('Combined table'!B532,products!$A$1:$G$49,7,FALSE)</f>
        <v>0.59699999999999998</v>
      </c>
      <c r="N532" t="str">
        <f>TEXT(A532,"mmm yyyy")</f>
        <v>Apr 2022</v>
      </c>
      <c r="O532">
        <f t="shared" si="8"/>
        <v>59.699999999999996</v>
      </c>
    </row>
    <row r="533" spans="1:15" x14ac:dyDescent="0.25">
      <c r="A533" s="3">
        <v>44591</v>
      </c>
      <c r="B533" t="s">
        <v>6177</v>
      </c>
      <c r="C533" s="2">
        <v>5</v>
      </c>
      <c r="D533" s="2" t="s">
        <v>3495</v>
      </c>
      <c r="E533" s="2" t="s">
        <v>26</v>
      </c>
      <c r="F533" s="2" t="s">
        <v>19</v>
      </c>
      <c r="G533" t="s">
        <v>6191</v>
      </c>
      <c r="H533" t="str">
        <f>VLOOKUP('Combined table'!B533,products!$A$1:$G$49,2,FALSE)</f>
        <v>Rob</v>
      </c>
      <c r="I533" t="str">
        <f>VLOOKUP('Combined table'!B533,products!$A$1:$G$49,3,FALSE)</f>
        <v>D</v>
      </c>
      <c r="J533">
        <f>VLOOKUP('Combined table'!B533,products!$A$1:$G$49,4,FALSE)</f>
        <v>1</v>
      </c>
      <c r="K533">
        <f>VLOOKUP('Combined table'!B533,products!$A$1:$G$49,5,FALSE)</f>
        <v>8.9499999999999993</v>
      </c>
      <c r="L533">
        <f>VLOOKUP('Combined table'!B533,products!$A$1:$G$49,6,FALSE)</f>
        <v>0.89499999999999991</v>
      </c>
      <c r="M533">
        <f>VLOOKUP('Combined table'!B533,products!$A$1:$G$49,7,FALSE)</f>
        <v>0.53699999999999992</v>
      </c>
      <c r="N533" t="str">
        <f>TEXT(A533,"mmm yyyy")</f>
        <v>Jan 2022</v>
      </c>
      <c r="O533">
        <f t="shared" si="8"/>
        <v>44.75</v>
      </c>
    </row>
    <row r="534" spans="1:15" x14ac:dyDescent="0.25">
      <c r="A534" s="3">
        <v>44330</v>
      </c>
      <c r="B534" t="s">
        <v>6139</v>
      </c>
      <c r="C534" s="2">
        <v>2</v>
      </c>
      <c r="D534" s="2" t="s">
        <v>3501</v>
      </c>
      <c r="E534" s="2" t="s">
        <v>413</v>
      </c>
      <c r="F534" s="2" t="s">
        <v>19</v>
      </c>
      <c r="G534" t="s">
        <v>6190</v>
      </c>
      <c r="H534" t="str">
        <f>VLOOKUP('Combined table'!B534,products!$A$1:$G$49,2,FALSE)</f>
        <v>Exc</v>
      </c>
      <c r="I534" t="str">
        <f>VLOOKUP('Combined table'!B534,products!$A$1:$G$49,3,FALSE)</f>
        <v>M</v>
      </c>
      <c r="J534">
        <f>VLOOKUP('Combined table'!B534,products!$A$1:$G$49,4,FALSE)</f>
        <v>0.5</v>
      </c>
      <c r="K534">
        <f>VLOOKUP('Combined table'!B534,products!$A$1:$G$49,5,FALSE)</f>
        <v>8.25</v>
      </c>
      <c r="L534">
        <f>VLOOKUP('Combined table'!B534,products!$A$1:$G$49,6,FALSE)</f>
        <v>1.65</v>
      </c>
      <c r="M534">
        <f>VLOOKUP('Combined table'!B534,products!$A$1:$G$49,7,FALSE)</f>
        <v>0.90749999999999997</v>
      </c>
      <c r="N534" t="str">
        <f>TEXT(A534,"mmm yyyy")</f>
        <v>May 2021</v>
      </c>
      <c r="O534">
        <f t="shared" si="8"/>
        <v>16.5</v>
      </c>
    </row>
    <row r="535" spans="1:15" x14ac:dyDescent="0.25">
      <c r="A535" s="3">
        <v>44724</v>
      </c>
      <c r="B535" t="s">
        <v>6172</v>
      </c>
      <c r="C535" s="2">
        <v>4</v>
      </c>
      <c r="D535" s="2" t="s">
        <v>3507</v>
      </c>
      <c r="E535" s="2" t="s">
        <v>52</v>
      </c>
      <c r="F535" s="2" t="s">
        <v>19</v>
      </c>
      <c r="G535" t="s">
        <v>6191</v>
      </c>
      <c r="H535" t="str">
        <f>VLOOKUP('Combined table'!B535,products!$A$1:$G$49,2,FALSE)</f>
        <v>Rob</v>
      </c>
      <c r="I535" t="str">
        <f>VLOOKUP('Combined table'!B535,products!$A$1:$G$49,3,FALSE)</f>
        <v>D</v>
      </c>
      <c r="J535">
        <f>VLOOKUP('Combined table'!B535,products!$A$1:$G$49,4,FALSE)</f>
        <v>0.5</v>
      </c>
      <c r="K535">
        <f>VLOOKUP('Combined table'!B535,products!$A$1:$G$49,5,FALSE)</f>
        <v>5.3699999999999992</v>
      </c>
      <c r="L535">
        <f>VLOOKUP('Combined table'!B535,products!$A$1:$G$49,6,FALSE)</f>
        <v>1.0739999999999998</v>
      </c>
      <c r="M535">
        <f>VLOOKUP('Combined table'!B535,products!$A$1:$G$49,7,FALSE)</f>
        <v>0.32219999999999993</v>
      </c>
      <c r="N535" t="str">
        <f>TEXT(A535,"mmm yyyy")</f>
        <v>Jun 2022</v>
      </c>
      <c r="O535">
        <f t="shared" si="8"/>
        <v>21.479999999999997</v>
      </c>
    </row>
    <row r="536" spans="1:15" x14ac:dyDescent="0.25">
      <c r="A536" s="3">
        <v>44563</v>
      </c>
      <c r="B536" t="s">
        <v>6151</v>
      </c>
      <c r="C536" s="2">
        <v>2</v>
      </c>
      <c r="D536" s="2" t="s">
        <v>3512</v>
      </c>
      <c r="E536" s="2" t="s">
        <v>456</v>
      </c>
      <c r="F536" s="2" t="s">
        <v>318</v>
      </c>
      <c r="G536" t="s">
        <v>6190</v>
      </c>
      <c r="H536" t="str">
        <f>VLOOKUP('Combined table'!B536,products!$A$1:$G$49,2,FALSE)</f>
        <v>Rob</v>
      </c>
      <c r="I536" t="str">
        <f>VLOOKUP('Combined table'!B536,products!$A$1:$G$49,3,FALSE)</f>
        <v>M</v>
      </c>
      <c r="J536">
        <f>VLOOKUP('Combined table'!B536,products!$A$1:$G$49,4,FALSE)</f>
        <v>2.5</v>
      </c>
      <c r="K536">
        <f>VLOOKUP('Combined table'!B536,products!$A$1:$G$49,5,FALSE)</f>
        <v>22.884999999999998</v>
      </c>
      <c r="L536">
        <f>VLOOKUP('Combined table'!B536,products!$A$1:$G$49,6,FALSE)</f>
        <v>0.91539999999999988</v>
      </c>
      <c r="M536">
        <f>VLOOKUP('Combined table'!B536,products!$A$1:$G$49,7,FALSE)</f>
        <v>1.3730999999999998</v>
      </c>
      <c r="N536" t="str">
        <f>TEXT(A536,"mmm yyyy")</f>
        <v>Jan 2022</v>
      </c>
      <c r="O536">
        <f t="shared" si="8"/>
        <v>45.769999999999996</v>
      </c>
    </row>
    <row r="537" spans="1:15" x14ac:dyDescent="0.25">
      <c r="A537" s="3">
        <v>44585</v>
      </c>
      <c r="B537" t="s">
        <v>6145</v>
      </c>
      <c r="C537" s="2">
        <v>2</v>
      </c>
      <c r="D537" s="2" t="s">
        <v>3518</v>
      </c>
      <c r="E537" s="2" t="s">
        <v>1282</v>
      </c>
      <c r="F537" s="2" t="s">
        <v>318</v>
      </c>
      <c r="G537" t="s">
        <v>6191</v>
      </c>
      <c r="H537" t="str">
        <f>VLOOKUP('Combined table'!B537,products!$A$1:$G$49,2,FALSE)</f>
        <v>Lib</v>
      </c>
      <c r="I537" t="str">
        <f>VLOOKUP('Combined table'!B537,products!$A$1:$G$49,3,FALSE)</f>
        <v>L</v>
      </c>
      <c r="J537">
        <f>VLOOKUP('Combined table'!B537,products!$A$1:$G$49,4,FALSE)</f>
        <v>0.2</v>
      </c>
      <c r="K537">
        <f>VLOOKUP('Combined table'!B537,products!$A$1:$G$49,5,FALSE)</f>
        <v>4.7549999999999999</v>
      </c>
      <c r="L537">
        <f>VLOOKUP('Combined table'!B537,products!$A$1:$G$49,6,FALSE)</f>
        <v>2.3774999999999999</v>
      </c>
      <c r="M537">
        <f>VLOOKUP('Combined table'!B537,products!$A$1:$G$49,7,FALSE)</f>
        <v>0.61814999999999998</v>
      </c>
      <c r="N537" t="str">
        <f>TEXT(A537,"mmm yyyy")</f>
        <v>Jan 2022</v>
      </c>
      <c r="O537">
        <f t="shared" si="8"/>
        <v>9.51</v>
      </c>
    </row>
    <row r="538" spans="1:15" x14ac:dyDescent="0.25">
      <c r="A538" s="3">
        <v>43544</v>
      </c>
      <c r="B538" t="s">
        <v>6163</v>
      </c>
      <c r="C538" s="2">
        <v>3</v>
      </c>
      <c r="D538" s="2" t="s">
        <v>3523</v>
      </c>
      <c r="E538" s="2" t="s">
        <v>39</v>
      </c>
      <c r="F538" s="2" t="s">
        <v>19</v>
      </c>
      <c r="G538" t="s">
        <v>6191</v>
      </c>
      <c r="H538" t="str">
        <f>VLOOKUP('Combined table'!B538,products!$A$1:$G$49,2,FALSE)</f>
        <v>Rob</v>
      </c>
      <c r="I538" t="str">
        <f>VLOOKUP('Combined table'!B538,products!$A$1:$G$49,3,FALSE)</f>
        <v>D</v>
      </c>
      <c r="J538">
        <f>VLOOKUP('Combined table'!B538,products!$A$1:$G$49,4,FALSE)</f>
        <v>0.2</v>
      </c>
      <c r="K538">
        <f>VLOOKUP('Combined table'!B538,products!$A$1:$G$49,5,FALSE)</f>
        <v>2.6849999999999996</v>
      </c>
      <c r="L538">
        <f>VLOOKUP('Combined table'!B538,products!$A$1:$G$49,6,FALSE)</f>
        <v>1.3424999999999998</v>
      </c>
      <c r="M538">
        <f>VLOOKUP('Combined table'!B538,products!$A$1:$G$49,7,FALSE)</f>
        <v>0.16109999999999997</v>
      </c>
      <c r="N538" t="str">
        <f>TEXT(A538,"mmm yyyy")</f>
        <v>Mar 2019</v>
      </c>
      <c r="O538">
        <f t="shared" si="8"/>
        <v>8.0549999999999997</v>
      </c>
    </row>
    <row r="539" spans="1:15" x14ac:dyDescent="0.25">
      <c r="A539" s="3">
        <v>44156</v>
      </c>
      <c r="B539" t="s">
        <v>6185</v>
      </c>
      <c r="C539" s="2">
        <v>4</v>
      </c>
      <c r="D539" s="2" t="s">
        <v>3529</v>
      </c>
      <c r="E539" s="2" t="s">
        <v>95</v>
      </c>
      <c r="F539" s="2" t="s">
        <v>19</v>
      </c>
      <c r="G539" t="s">
        <v>6190</v>
      </c>
      <c r="H539" t="str">
        <f>VLOOKUP('Combined table'!B539,products!$A$1:$G$49,2,FALSE)</f>
        <v>Exc</v>
      </c>
      <c r="I539" t="str">
        <f>VLOOKUP('Combined table'!B539,products!$A$1:$G$49,3,FALSE)</f>
        <v>D</v>
      </c>
      <c r="J539">
        <f>VLOOKUP('Combined table'!B539,products!$A$1:$G$49,4,FALSE)</f>
        <v>2.5</v>
      </c>
      <c r="K539">
        <f>VLOOKUP('Combined table'!B539,products!$A$1:$G$49,5,FALSE)</f>
        <v>27.945</v>
      </c>
      <c r="L539">
        <f>VLOOKUP('Combined table'!B539,products!$A$1:$G$49,6,FALSE)</f>
        <v>1.1177999999999999</v>
      </c>
      <c r="M539">
        <f>VLOOKUP('Combined table'!B539,products!$A$1:$G$49,7,FALSE)</f>
        <v>3.07395</v>
      </c>
      <c r="N539" t="str">
        <f>TEXT(A539,"mmm yyyy")</f>
        <v>Nov 2020</v>
      </c>
      <c r="O539">
        <f t="shared" si="8"/>
        <v>111.78</v>
      </c>
    </row>
    <row r="540" spans="1:15" x14ac:dyDescent="0.25">
      <c r="A540" s="3">
        <v>44482</v>
      </c>
      <c r="B540" t="s">
        <v>6163</v>
      </c>
      <c r="C540" s="2">
        <v>4</v>
      </c>
      <c r="D540" s="2" t="s">
        <v>3534</v>
      </c>
      <c r="E540" s="2" t="s">
        <v>217</v>
      </c>
      <c r="F540" s="2" t="s">
        <v>19</v>
      </c>
      <c r="G540" t="s">
        <v>6190</v>
      </c>
      <c r="H540" t="str">
        <f>VLOOKUP('Combined table'!B540,products!$A$1:$G$49,2,FALSE)</f>
        <v>Rob</v>
      </c>
      <c r="I540" t="str">
        <f>VLOOKUP('Combined table'!B540,products!$A$1:$G$49,3,FALSE)</f>
        <v>D</v>
      </c>
      <c r="J540">
        <f>VLOOKUP('Combined table'!B540,products!$A$1:$G$49,4,FALSE)</f>
        <v>0.2</v>
      </c>
      <c r="K540">
        <f>VLOOKUP('Combined table'!B540,products!$A$1:$G$49,5,FALSE)</f>
        <v>2.6849999999999996</v>
      </c>
      <c r="L540">
        <f>VLOOKUP('Combined table'!B540,products!$A$1:$G$49,6,FALSE)</f>
        <v>1.3424999999999998</v>
      </c>
      <c r="M540">
        <f>VLOOKUP('Combined table'!B540,products!$A$1:$G$49,7,FALSE)</f>
        <v>0.16109999999999997</v>
      </c>
      <c r="N540" t="str">
        <f>TEXT(A540,"mmm yyyy")</f>
        <v>Oct 2021</v>
      </c>
      <c r="O540">
        <f t="shared" si="8"/>
        <v>10.739999999999998</v>
      </c>
    </row>
    <row r="541" spans="1:15" x14ac:dyDescent="0.25">
      <c r="A541" s="3">
        <v>44488</v>
      </c>
      <c r="B541" t="s">
        <v>6172</v>
      </c>
      <c r="C541" s="2">
        <v>5</v>
      </c>
      <c r="D541" s="2" t="s">
        <v>3539</v>
      </c>
      <c r="E541" s="2" t="s">
        <v>48</v>
      </c>
      <c r="F541" s="2" t="s">
        <v>19</v>
      </c>
      <c r="G541" t="s">
        <v>6191</v>
      </c>
      <c r="H541" t="str">
        <f>VLOOKUP('Combined table'!B541,products!$A$1:$G$49,2,FALSE)</f>
        <v>Rob</v>
      </c>
      <c r="I541" t="str">
        <f>VLOOKUP('Combined table'!B541,products!$A$1:$G$49,3,FALSE)</f>
        <v>D</v>
      </c>
      <c r="J541">
        <f>VLOOKUP('Combined table'!B541,products!$A$1:$G$49,4,FALSE)</f>
        <v>0.5</v>
      </c>
      <c r="K541">
        <f>VLOOKUP('Combined table'!B541,products!$A$1:$G$49,5,FALSE)</f>
        <v>5.3699999999999992</v>
      </c>
      <c r="L541">
        <f>VLOOKUP('Combined table'!B541,products!$A$1:$G$49,6,FALSE)</f>
        <v>1.0739999999999998</v>
      </c>
      <c r="M541">
        <f>VLOOKUP('Combined table'!B541,products!$A$1:$G$49,7,FALSE)</f>
        <v>0.32219999999999993</v>
      </c>
      <c r="N541" t="str">
        <f>TEXT(A541,"mmm yyyy")</f>
        <v>Oct 2021</v>
      </c>
      <c r="O541">
        <f t="shared" si="8"/>
        <v>26.849999999999994</v>
      </c>
    </row>
    <row r="542" spans="1:15" x14ac:dyDescent="0.25">
      <c r="A542" s="3">
        <v>43584</v>
      </c>
      <c r="B542" t="s">
        <v>6170</v>
      </c>
      <c r="C542" s="2">
        <v>4</v>
      </c>
      <c r="D542" s="2" t="s">
        <v>3544</v>
      </c>
      <c r="E542" s="2" t="s">
        <v>174</v>
      </c>
      <c r="F542" s="2" t="s">
        <v>19</v>
      </c>
      <c r="G542" t="s">
        <v>6190</v>
      </c>
      <c r="H542" t="str">
        <f>VLOOKUP('Combined table'!B542,products!$A$1:$G$49,2,FALSE)</f>
        <v>Lib</v>
      </c>
      <c r="I542" t="str">
        <f>VLOOKUP('Combined table'!B542,products!$A$1:$G$49,3,FALSE)</f>
        <v>L</v>
      </c>
      <c r="J542">
        <f>VLOOKUP('Combined table'!B542,products!$A$1:$G$49,4,FALSE)</f>
        <v>1</v>
      </c>
      <c r="K542">
        <f>VLOOKUP('Combined table'!B542,products!$A$1:$G$49,5,FALSE)</f>
        <v>15.85</v>
      </c>
      <c r="L542">
        <f>VLOOKUP('Combined table'!B542,products!$A$1:$G$49,6,FALSE)</f>
        <v>1.585</v>
      </c>
      <c r="M542">
        <f>VLOOKUP('Combined table'!B542,products!$A$1:$G$49,7,FALSE)</f>
        <v>2.0605000000000002</v>
      </c>
      <c r="N542" t="str">
        <f>TEXT(A542,"mmm yyyy")</f>
        <v>Apr 2019</v>
      </c>
      <c r="O542">
        <f t="shared" si="8"/>
        <v>63.4</v>
      </c>
    </row>
    <row r="543" spans="1:15" x14ac:dyDescent="0.25">
      <c r="A543" s="3">
        <v>43750</v>
      </c>
      <c r="B543" t="s">
        <v>6168</v>
      </c>
      <c r="C543" s="2">
        <v>1</v>
      </c>
      <c r="D543" s="2" t="s">
        <v>3550</v>
      </c>
      <c r="E543" s="2" t="s">
        <v>443</v>
      </c>
      <c r="F543" s="2" t="s">
        <v>318</v>
      </c>
      <c r="G543" t="s">
        <v>6190</v>
      </c>
      <c r="H543" t="str">
        <f>VLOOKUP('Combined table'!B543,products!$A$1:$G$49,2,FALSE)</f>
        <v>Ara</v>
      </c>
      <c r="I543" t="str">
        <f>VLOOKUP('Combined table'!B543,products!$A$1:$G$49,3,FALSE)</f>
        <v>D</v>
      </c>
      <c r="J543">
        <f>VLOOKUP('Combined table'!B543,products!$A$1:$G$49,4,FALSE)</f>
        <v>2.5</v>
      </c>
      <c r="K543">
        <f>VLOOKUP('Combined table'!B543,products!$A$1:$G$49,5,FALSE)</f>
        <v>22.884999999999998</v>
      </c>
      <c r="L543">
        <f>VLOOKUP('Combined table'!B543,products!$A$1:$G$49,6,FALSE)</f>
        <v>0.91539999999999988</v>
      </c>
      <c r="M543">
        <f>VLOOKUP('Combined table'!B543,products!$A$1:$G$49,7,FALSE)</f>
        <v>2.0596499999999995</v>
      </c>
      <c r="N543" t="str">
        <f>TEXT(A543,"mmm yyyy")</f>
        <v>Oct 2019</v>
      </c>
      <c r="O543">
        <f t="shared" si="8"/>
        <v>22.884999999999998</v>
      </c>
    </row>
    <row r="544" spans="1:15" x14ac:dyDescent="0.25">
      <c r="A544" s="3">
        <v>44335</v>
      </c>
      <c r="B544" t="s">
        <v>6175</v>
      </c>
      <c r="C544" s="2">
        <v>4</v>
      </c>
      <c r="D544" s="2" t="s">
        <v>3555</v>
      </c>
      <c r="E544" s="2" t="s">
        <v>175</v>
      </c>
      <c r="F544" s="2" t="s">
        <v>19</v>
      </c>
      <c r="G544" t="s">
        <v>6191</v>
      </c>
      <c r="H544" t="str">
        <f>VLOOKUP('Combined table'!B544,products!$A$1:$G$49,2,FALSE)</f>
        <v>Ara</v>
      </c>
      <c r="I544" t="str">
        <f>VLOOKUP('Combined table'!B544,products!$A$1:$G$49,3,FALSE)</f>
        <v>M</v>
      </c>
      <c r="J544">
        <f>VLOOKUP('Combined table'!B544,products!$A$1:$G$49,4,FALSE)</f>
        <v>2.5</v>
      </c>
      <c r="K544">
        <f>VLOOKUP('Combined table'!B544,products!$A$1:$G$49,5,FALSE)</f>
        <v>25.874999999999996</v>
      </c>
      <c r="L544">
        <f>VLOOKUP('Combined table'!B544,products!$A$1:$G$49,6,FALSE)</f>
        <v>1.0349999999999999</v>
      </c>
      <c r="M544">
        <f>VLOOKUP('Combined table'!B544,products!$A$1:$G$49,7,FALSE)</f>
        <v>2.3287499999999994</v>
      </c>
      <c r="N544" t="str">
        <f>TEXT(A544,"mmm yyyy")</f>
        <v>May 2021</v>
      </c>
      <c r="O544">
        <f t="shared" si="8"/>
        <v>103.49999999999999</v>
      </c>
    </row>
    <row r="545" spans="1:15" x14ac:dyDescent="0.25">
      <c r="A545" s="3">
        <v>44380</v>
      </c>
      <c r="B545" t="s">
        <v>6142</v>
      </c>
      <c r="C545" s="2">
        <v>2</v>
      </c>
      <c r="D545" s="2" t="s">
        <v>3561</v>
      </c>
      <c r="E545" s="2" t="s">
        <v>98</v>
      </c>
      <c r="F545" s="2" t="s">
        <v>19</v>
      </c>
      <c r="G545" t="s">
        <v>6191</v>
      </c>
      <c r="H545" t="str">
        <f>VLOOKUP('Combined table'!B545,products!$A$1:$G$49,2,FALSE)</f>
        <v>Rob</v>
      </c>
      <c r="I545" t="str">
        <f>VLOOKUP('Combined table'!B545,products!$A$1:$G$49,3,FALSE)</f>
        <v>L</v>
      </c>
      <c r="J545">
        <f>VLOOKUP('Combined table'!B545,products!$A$1:$G$49,4,FALSE)</f>
        <v>2.5</v>
      </c>
      <c r="K545">
        <f>VLOOKUP('Combined table'!B545,products!$A$1:$G$49,5,FALSE)</f>
        <v>27.484999999999996</v>
      </c>
      <c r="L545">
        <f>VLOOKUP('Combined table'!B545,products!$A$1:$G$49,6,FALSE)</f>
        <v>1.0993999999999999</v>
      </c>
      <c r="M545">
        <f>VLOOKUP('Combined table'!B545,products!$A$1:$G$49,7,FALSE)</f>
        <v>1.6490999999999998</v>
      </c>
      <c r="N545" t="str">
        <f>TEXT(A545,"mmm yyyy")</f>
        <v>Jul 2021</v>
      </c>
      <c r="O545">
        <f t="shared" si="8"/>
        <v>54.969999999999992</v>
      </c>
    </row>
    <row r="546" spans="1:15" x14ac:dyDescent="0.25">
      <c r="A546" s="3">
        <v>43869</v>
      </c>
      <c r="B546" t="s">
        <v>6180</v>
      </c>
      <c r="C546" s="2">
        <v>2</v>
      </c>
      <c r="D546" s="2" t="s">
        <v>3567</v>
      </c>
      <c r="E546" s="2" t="s">
        <v>46</v>
      </c>
      <c r="F546" s="2" t="s">
        <v>19</v>
      </c>
      <c r="G546" t="s">
        <v>6191</v>
      </c>
      <c r="H546" t="str">
        <f>VLOOKUP('Combined table'!B546,products!$A$1:$G$49,2,FALSE)</f>
        <v>Ara</v>
      </c>
      <c r="I546" t="str">
        <f>VLOOKUP('Combined table'!B546,products!$A$1:$G$49,3,FALSE)</f>
        <v>L</v>
      </c>
      <c r="J546">
        <f>VLOOKUP('Combined table'!B546,products!$A$1:$G$49,4,FALSE)</f>
        <v>0.5</v>
      </c>
      <c r="K546">
        <f>VLOOKUP('Combined table'!B546,products!$A$1:$G$49,5,FALSE)</f>
        <v>7.77</v>
      </c>
      <c r="L546">
        <f>VLOOKUP('Combined table'!B546,products!$A$1:$G$49,6,FALSE)</f>
        <v>1.5539999999999998</v>
      </c>
      <c r="M546">
        <f>VLOOKUP('Combined table'!B546,products!$A$1:$G$49,7,FALSE)</f>
        <v>0.69929999999999992</v>
      </c>
      <c r="N546" t="str">
        <f>TEXT(A546,"mmm yyyy")</f>
        <v>Feb 2020</v>
      </c>
      <c r="O546">
        <f t="shared" si="8"/>
        <v>15.54</v>
      </c>
    </row>
    <row r="547" spans="1:15" x14ac:dyDescent="0.25">
      <c r="A547" s="3">
        <v>44120</v>
      </c>
      <c r="B547" t="s">
        <v>6150</v>
      </c>
      <c r="C547" s="2">
        <v>4</v>
      </c>
      <c r="D547" s="2" t="s">
        <v>3573</v>
      </c>
      <c r="E547" s="2" t="s">
        <v>176</v>
      </c>
      <c r="F547" s="2" t="s">
        <v>28</v>
      </c>
      <c r="G547" t="s">
        <v>6191</v>
      </c>
      <c r="H547" t="str">
        <f>VLOOKUP('Combined table'!B547,products!$A$1:$G$49,2,FALSE)</f>
        <v>Lib</v>
      </c>
      <c r="I547" t="str">
        <f>VLOOKUP('Combined table'!B547,products!$A$1:$G$49,3,FALSE)</f>
        <v>D</v>
      </c>
      <c r="J547">
        <f>VLOOKUP('Combined table'!B547,products!$A$1:$G$49,4,FALSE)</f>
        <v>0.2</v>
      </c>
      <c r="K547">
        <f>VLOOKUP('Combined table'!B547,products!$A$1:$G$49,5,FALSE)</f>
        <v>3.8849999999999998</v>
      </c>
      <c r="L547">
        <f>VLOOKUP('Combined table'!B547,products!$A$1:$G$49,6,FALSE)</f>
        <v>1.9424999999999999</v>
      </c>
      <c r="M547">
        <f>VLOOKUP('Combined table'!B547,products!$A$1:$G$49,7,FALSE)</f>
        <v>0.50505</v>
      </c>
      <c r="N547" t="str">
        <f>TEXT(A547,"mmm yyyy")</f>
        <v>Oct 2020</v>
      </c>
      <c r="O547">
        <f t="shared" si="8"/>
        <v>15.54</v>
      </c>
    </row>
    <row r="548" spans="1:15" x14ac:dyDescent="0.25">
      <c r="A548" s="3">
        <v>44127</v>
      </c>
      <c r="B548" t="s">
        <v>6185</v>
      </c>
      <c r="C548" s="2">
        <v>3</v>
      </c>
      <c r="D548" s="2" t="s">
        <v>3579</v>
      </c>
      <c r="E548" s="2" t="s">
        <v>375</v>
      </c>
      <c r="F548" s="2" t="s">
        <v>318</v>
      </c>
      <c r="G548" t="s">
        <v>6191</v>
      </c>
      <c r="H548" t="str">
        <f>VLOOKUP('Combined table'!B548,products!$A$1:$G$49,2,FALSE)</f>
        <v>Exc</v>
      </c>
      <c r="I548" t="str">
        <f>VLOOKUP('Combined table'!B548,products!$A$1:$G$49,3,FALSE)</f>
        <v>D</v>
      </c>
      <c r="J548">
        <f>VLOOKUP('Combined table'!B548,products!$A$1:$G$49,4,FALSE)</f>
        <v>2.5</v>
      </c>
      <c r="K548">
        <f>VLOOKUP('Combined table'!B548,products!$A$1:$G$49,5,FALSE)</f>
        <v>27.945</v>
      </c>
      <c r="L548">
        <f>VLOOKUP('Combined table'!B548,products!$A$1:$G$49,6,FALSE)</f>
        <v>1.1177999999999999</v>
      </c>
      <c r="M548">
        <f>VLOOKUP('Combined table'!B548,products!$A$1:$G$49,7,FALSE)</f>
        <v>3.07395</v>
      </c>
      <c r="N548" t="str">
        <f>TEXT(A548,"mmm yyyy")</f>
        <v>Oct 2020</v>
      </c>
      <c r="O548">
        <f t="shared" si="8"/>
        <v>83.835000000000008</v>
      </c>
    </row>
    <row r="549" spans="1:15" x14ac:dyDescent="0.25">
      <c r="A549" s="3">
        <v>44265</v>
      </c>
      <c r="B549" t="s">
        <v>6178</v>
      </c>
      <c r="C549" s="2">
        <v>3</v>
      </c>
      <c r="D549" s="2" t="s">
        <v>3584</v>
      </c>
      <c r="E549" s="2" t="s">
        <v>20</v>
      </c>
      <c r="F549" s="2" t="s">
        <v>19</v>
      </c>
      <c r="G549" t="s">
        <v>6190</v>
      </c>
      <c r="H549" t="str">
        <f>VLOOKUP('Combined table'!B549,products!$A$1:$G$49,2,FALSE)</f>
        <v>Rob</v>
      </c>
      <c r="I549" t="str">
        <f>VLOOKUP('Combined table'!B549,products!$A$1:$G$49,3,FALSE)</f>
        <v>L</v>
      </c>
      <c r="J549">
        <f>VLOOKUP('Combined table'!B549,products!$A$1:$G$49,4,FALSE)</f>
        <v>0.2</v>
      </c>
      <c r="K549">
        <f>VLOOKUP('Combined table'!B549,products!$A$1:$G$49,5,FALSE)</f>
        <v>3.5849999999999995</v>
      </c>
      <c r="L549">
        <f>VLOOKUP('Combined table'!B549,products!$A$1:$G$49,6,FALSE)</f>
        <v>1.7924999999999998</v>
      </c>
      <c r="M549">
        <f>VLOOKUP('Combined table'!B549,products!$A$1:$G$49,7,FALSE)</f>
        <v>0.21509999999999996</v>
      </c>
      <c r="N549" t="str">
        <f>TEXT(A549,"mmm yyyy")</f>
        <v>Mar 2021</v>
      </c>
      <c r="O549">
        <f t="shared" si="8"/>
        <v>10.754999999999999</v>
      </c>
    </row>
    <row r="550" spans="1:15" x14ac:dyDescent="0.25">
      <c r="A550" s="3">
        <v>44384</v>
      </c>
      <c r="B550" t="s">
        <v>6184</v>
      </c>
      <c r="C550" s="2">
        <v>3</v>
      </c>
      <c r="D550" s="2" t="s">
        <v>3589</v>
      </c>
      <c r="E550" s="2" t="s">
        <v>77</v>
      </c>
      <c r="F550" s="2" t="s">
        <v>19</v>
      </c>
      <c r="G550" t="s">
        <v>6190</v>
      </c>
      <c r="H550" t="str">
        <f>VLOOKUP('Combined table'!B550,products!$A$1:$G$49,2,FALSE)</f>
        <v>Exc</v>
      </c>
      <c r="I550" t="str">
        <f>VLOOKUP('Combined table'!B550,products!$A$1:$G$49,3,FALSE)</f>
        <v>L</v>
      </c>
      <c r="J550">
        <f>VLOOKUP('Combined table'!B550,products!$A$1:$G$49,4,FALSE)</f>
        <v>0.2</v>
      </c>
      <c r="K550">
        <f>VLOOKUP('Combined table'!B550,products!$A$1:$G$49,5,FALSE)</f>
        <v>4.4550000000000001</v>
      </c>
      <c r="L550">
        <f>VLOOKUP('Combined table'!B550,products!$A$1:$G$49,6,FALSE)</f>
        <v>2.2275</v>
      </c>
      <c r="M550">
        <f>VLOOKUP('Combined table'!B550,products!$A$1:$G$49,7,FALSE)</f>
        <v>0.49004999999999999</v>
      </c>
      <c r="N550" t="str">
        <f>TEXT(A550,"mmm yyyy")</f>
        <v>Jul 2021</v>
      </c>
      <c r="O550">
        <f t="shared" si="8"/>
        <v>13.365</v>
      </c>
    </row>
    <row r="551" spans="1:15" x14ac:dyDescent="0.25">
      <c r="A551" s="3">
        <v>44232</v>
      </c>
      <c r="B551" t="s">
        <v>6184</v>
      </c>
      <c r="C551" s="2">
        <v>4</v>
      </c>
      <c r="D551" s="2" t="s">
        <v>3595</v>
      </c>
      <c r="E551" s="2" t="s">
        <v>57</v>
      </c>
      <c r="F551" s="2" t="s">
        <v>19</v>
      </c>
      <c r="G551" t="s">
        <v>6190</v>
      </c>
      <c r="H551" t="str">
        <f>VLOOKUP('Combined table'!B551,products!$A$1:$G$49,2,FALSE)</f>
        <v>Exc</v>
      </c>
      <c r="I551" t="str">
        <f>VLOOKUP('Combined table'!B551,products!$A$1:$G$49,3,FALSE)</f>
        <v>L</v>
      </c>
      <c r="J551">
        <f>VLOOKUP('Combined table'!B551,products!$A$1:$G$49,4,FALSE)</f>
        <v>0.2</v>
      </c>
      <c r="K551">
        <f>VLOOKUP('Combined table'!B551,products!$A$1:$G$49,5,FALSE)</f>
        <v>4.4550000000000001</v>
      </c>
      <c r="L551">
        <f>VLOOKUP('Combined table'!B551,products!$A$1:$G$49,6,FALSE)</f>
        <v>2.2275</v>
      </c>
      <c r="M551">
        <f>VLOOKUP('Combined table'!B551,products!$A$1:$G$49,7,FALSE)</f>
        <v>0.49004999999999999</v>
      </c>
      <c r="N551" t="str">
        <f>TEXT(A551,"mmm yyyy")</f>
        <v>Feb 2021</v>
      </c>
      <c r="O551">
        <f t="shared" si="8"/>
        <v>17.82</v>
      </c>
    </row>
    <row r="552" spans="1:15" x14ac:dyDescent="0.25">
      <c r="A552" s="3">
        <v>44176</v>
      </c>
      <c r="B552" t="s">
        <v>6150</v>
      </c>
      <c r="C552" s="2">
        <v>6</v>
      </c>
      <c r="D552" s="2" t="s">
        <v>3601</v>
      </c>
      <c r="E552" s="2" t="s">
        <v>199</v>
      </c>
      <c r="F552" s="2" t="s">
        <v>19</v>
      </c>
      <c r="G552" t="s">
        <v>6190</v>
      </c>
      <c r="H552" t="str">
        <f>VLOOKUP('Combined table'!B552,products!$A$1:$G$49,2,FALSE)</f>
        <v>Lib</v>
      </c>
      <c r="I552" t="str">
        <f>VLOOKUP('Combined table'!B552,products!$A$1:$G$49,3,FALSE)</f>
        <v>D</v>
      </c>
      <c r="J552">
        <f>VLOOKUP('Combined table'!B552,products!$A$1:$G$49,4,FALSE)</f>
        <v>0.2</v>
      </c>
      <c r="K552">
        <f>VLOOKUP('Combined table'!B552,products!$A$1:$G$49,5,FALSE)</f>
        <v>3.8849999999999998</v>
      </c>
      <c r="L552">
        <f>VLOOKUP('Combined table'!B552,products!$A$1:$G$49,6,FALSE)</f>
        <v>1.9424999999999999</v>
      </c>
      <c r="M552">
        <f>VLOOKUP('Combined table'!B552,products!$A$1:$G$49,7,FALSE)</f>
        <v>0.50505</v>
      </c>
      <c r="N552" t="str">
        <f>TEXT(A552,"mmm yyyy")</f>
        <v>Dec 2020</v>
      </c>
      <c r="O552">
        <f t="shared" si="8"/>
        <v>23.31</v>
      </c>
    </row>
    <row r="553" spans="1:15" x14ac:dyDescent="0.25">
      <c r="A553" s="3">
        <v>44694</v>
      </c>
      <c r="B553" t="s">
        <v>6153</v>
      </c>
      <c r="C553" s="2">
        <v>2</v>
      </c>
      <c r="D553" s="2" t="s">
        <v>3607</v>
      </c>
      <c r="E553" s="2" t="s">
        <v>18</v>
      </c>
      <c r="F553" s="2" t="s">
        <v>19</v>
      </c>
      <c r="G553" t="s">
        <v>6191</v>
      </c>
      <c r="H553" t="str">
        <f>VLOOKUP('Combined table'!B553,products!$A$1:$G$49,2,FALSE)</f>
        <v>Exc</v>
      </c>
      <c r="I553" t="str">
        <f>VLOOKUP('Combined table'!B553,products!$A$1:$G$49,3,FALSE)</f>
        <v>D</v>
      </c>
      <c r="J553">
        <f>VLOOKUP('Combined table'!B553,products!$A$1:$G$49,4,FALSE)</f>
        <v>0.2</v>
      </c>
      <c r="K553">
        <f>VLOOKUP('Combined table'!B553,products!$A$1:$G$49,5,FALSE)</f>
        <v>3.645</v>
      </c>
      <c r="L553">
        <f>VLOOKUP('Combined table'!B553,products!$A$1:$G$49,6,FALSE)</f>
        <v>1.8225</v>
      </c>
      <c r="M553">
        <f>VLOOKUP('Combined table'!B553,products!$A$1:$G$49,7,FALSE)</f>
        <v>0.40095000000000003</v>
      </c>
      <c r="N553" t="str">
        <f>TEXT(A553,"mmm yyyy")</f>
        <v>May 2022</v>
      </c>
      <c r="O553">
        <f t="shared" si="8"/>
        <v>7.29</v>
      </c>
    </row>
    <row r="554" spans="1:15" x14ac:dyDescent="0.25">
      <c r="A554" s="3">
        <v>43761</v>
      </c>
      <c r="B554" t="s">
        <v>6184</v>
      </c>
      <c r="C554" s="2">
        <v>4</v>
      </c>
      <c r="D554" s="2" t="s">
        <v>3613</v>
      </c>
      <c r="E554" s="2" t="s">
        <v>365</v>
      </c>
      <c r="F554" s="2" t="s">
        <v>28</v>
      </c>
      <c r="G554" t="s">
        <v>6190</v>
      </c>
      <c r="H554" t="str">
        <f>VLOOKUP('Combined table'!B554,products!$A$1:$G$49,2,FALSE)</f>
        <v>Exc</v>
      </c>
      <c r="I554" t="str">
        <f>VLOOKUP('Combined table'!B554,products!$A$1:$G$49,3,FALSE)</f>
        <v>L</v>
      </c>
      <c r="J554">
        <f>VLOOKUP('Combined table'!B554,products!$A$1:$G$49,4,FALSE)</f>
        <v>0.2</v>
      </c>
      <c r="K554">
        <f>VLOOKUP('Combined table'!B554,products!$A$1:$G$49,5,FALSE)</f>
        <v>4.4550000000000001</v>
      </c>
      <c r="L554">
        <f>VLOOKUP('Combined table'!B554,products!$A$1:$G$49,6,FALSE)</f>
        <v>2.2275</v>
      </c>
      <c r="M554">
        <f>VLOOKUP('Combined table'!B554,products!$A$1:$G$49,7,FALSE)</f>
        <v>0.49004999999999999</v>
      </c>
      <c r="N554" t="str">
        <f>TEXT(A554,"mmm yyyy")</f>
        <v>Oct 2019</v>
      </c>
      <c r="O554">
        <f t="shared" si="8"/>
        <v>17.82</v>
      </c>
    </row>
    <row r="555" spans="1:15" x14ac:dyDescent="0.25">
      <c r="A555" s="3">
        <v>44085</v>
      </c>
      <c r="B555" t="s">
        <v>6141</v>
      </c>
      <c r="C555" s="2">
        <v>5</v>
      </c>
      <c r="D555" s="2" t="s">
        <v>3619</v>
      </c>
      <c r="E555" s="2" t="s">
        <v>260</v>
      </c>
      <c r="F555" s="2" t="s">
        <v>19</v>
      </c>
      <c r="G555" t="s">
        <v>6191</v>
      </c>
      <c r="H555" t="str">
        <f>VLOOKUP('Combined table'!B555,products!$A$1:$G$49,2,FALSE)</f>
        <v>Exc</v>
      </c>
      <c r="I555" t="str">
        <f>VLOOKUP('Combined table'!B555,products!$A$1:$G$49,3,FALSE)</f>
        <v>M</v>
      </c>
      <c r="J555">
        <f>VLOOKUP('Combined table'!B555,products!$A$1:$G$49,4,FALSE)</f>
        <v>1</v>
      </c>
      <c r="K555">
        <f>VLOOKUP('Combined table'!B555,products!$A$1:$G$49,5,FALSE)</f>
        <v>13.75</v>
      </c>
      <c r="L555">
        <f>VLOOKUP('Combined table'!B555,products!$A$1:$G$49,6,FALSE)</f>
        <v>1.375</v>
      </c>
      <c r="M555">
        <f>VLOOKUP('Combined table'!B555,products!$A$1:$G$49,7,FALSE)</f>
        <v>1.5125</v>
      </c>
      <c r="N555" t="str">
        <f>TEXT(A555,"mmm yyyy")</f>
        <v>Sep 2020</v>
      </c>
      <c r="O555">
        <f t="shared" si="8"/>
        <v>68.75</v>
      </c>
    </row>
    <row r="556" spans="1:15" x14ac:dyDescent="0.25">
      <c r="A556" s="3">
        <v>43737</v>
      </c>
      <c r="B556" t="s">
        <v>6142</v>
      </c>
      <c r="C556" s="2">
        <v>2</v>
      </c>
      <c r="D556" s="2" t="s">
        <v>3624</v>
      </c>
      <c r="E556" s="2" t="s">
        <v>280</v>
      </c>
      <c r="F556" s="2" t="s">
        <v>28</v>
      </c>
      <c r="G556" t="s">
        <v>6190</v>
      </c>
      <c r="H556" t="str">
        <f>VLOOKUP('Combined table'!B556,products!$A$1:$G$49,2,FALSE)</f>
        <v>Rob</v>
      </c>
      <c r="I556" t="str">
        <f>VLOOKUP('Combined table'!B556,products!$A$1:$G$49,3,FALSE)</f>
        <v>L</v>
      </c>
      <c r="J556">
        <f>VLOOKUP('Combined table'!B556,products!$A$1:$G$49,4,FALSE)</f>
        <v>2.5</v>
      </c>
      <c r="K556">
        <f>VLOOKUP('Combined table'!B556,products!$A$1:$G$49,5,FALSE)</f>
        <v>27.484999999999996</v>
      </c>
      <c r="L556">
        <f>VLOOKUP('Combined table'!B556,products!$A$1:$G$49,6,FALSE)</f>
        <v>1.0993999999999999</v>
      </c>
      <c r="M556">
        <f>VLOOKUP('Combined table'!B556,products!$A$1:$G$49,7,FALSE)</f>
        <v>1.6490999999999998</v>
      </c>
      <c r="N556" t="str">
        <f>TEXT(A556,"mmm yyyy")</f>
        <v>Sep 2019</v>
      </c>
      <c r="O556">
        <f t="shared" si="8"/>
        <v>54.969999999999992</v>
      </c>
    </row>
    <row r="557" spans="1:15" x14ac:dyDescent="0.25">
      <c r="A557" s="3">
        <v>44258</v>
      </c>
      <c r="B557" t="s">
        <v>6141</v>
      </c>
      <c r="C557" s="2">
        <v>6</v>
      </c>
      <c r="D557" s="2" t="s">
        <v>3629</v>
      </c>
      <c r="E557" s="2" t="s">
        <v>418</v>
      </c>
      <c r="F557" s="2" t="s">
        <v>318</v>
      </c>
      <c r="G557" t="s">
        <v>6191</v>
      </c>
      <c r="H557" t="str">
        <f>VLOOKUP('Combined table'!B557,products!$A$1:$G$49,2,FALSE)</f>
        <v>Exc</v>
      </c>
      <c r="I557" t="str">
        <f>VLOOKUP('Combined table'!B557,products!$A$1:$G$49,3,FALSE)</f>
        <v>M</v>
      </c>
      <c r="J557">
        <f>VLOOKUP('Combined table'!B557,products!$A$1:$G$49,4,FALSE)</f>
        <v>1</v>
      </c>
      <c r="K557">
        <f>VLOOKUP('Combined table'!B557,products!$A$1:$G$49,5,FALSE)</f>
        <v>13.75</v>
      </c>
      <c r="L557">
        <f>VLOOKUP('Combined table'!B557,products!$A$1:$G$49,6,FALSE)</f>
        <v>1.375</v>
      </c>
      <c r="M557">
        <f>VLOOKUP('Combined table'!B557,products!$A$1:$G$49,7,FALSE)</f>
        <v>1.5125</v>
      </c>
      <c r="N557" t="str">
        <f>TEXT(A557,"mmm yyyy")</f>
        <v>Mar 2021</v>
      </c>
      <c r="O557">
        <f t="shared" si="8"/>
        <v>82.5</v>
      </c>
    </row>
    <row r="558" spans="1:15" x14ac:dyDescent="0.25">
      <c r="A558" s="3">
        <v>44523</v>
      </c>
      <c r="B558" t="s">
        <v>6159</v>
      </c>
      <c r="C558" s="2">
        <v>2</v>
      </c>
      <c r="D558" s="2" t="s">
        <v>3635</v>
      </c>
      <c r="E558" s="2" t="s">
        <v>175</v>
      </c>
      <c r="F558" s="2" t="s">
        <v>19</v>
      </c>
      <c r="G558" t="s">
        <v>6190</v>
      </c>
      <c r="H558" t="str">
        <f>VLOOKUP('Combined table'!B558,products!$A$1:$G$49,2,FALSE)</f>
        <v>Lib</v>
      </c>
      <c r="I558" t="str">
        <f>VLOOKUP('Combined table'!B558,products!$A$1:$G$49,3,FALSE)</f>
        <v>M</v>
      </c>
      <c r="J558">
        <f>VLOOKUP('Combined table'!B558,products!$A$1:$G$49,4,FALSE)</f>
        <v>0.2</v>
      </c>
      <c r="K558">
        <f>VLOOKUP('Combined table'!B558,products!$A$1:$G$49,5,FALSE)</f>
        <v>4.3650000000000002</v>
      </c>
      <c r="L558">
        <f>VLOOKUP('Combined table'!B558,products!$A$1:$G$49,6,FALSE)</f>
        <v>2.1825000000000001</v>
      </c>
      <c r="M558">
        <f>VLOOKUP('Combined table'!B558,products!$A$1:$G$49,7,FALSE)</f>
        <v>0.56745000000000001</v>
      </c>
      <c r="N558" t="str">
        <f>TEXT(A558,"mmm yyyy")</f>
        <v>Nov 2021</v>
      </c>
      <c r="O558">
        <f t="shared" si="8"/>
        <v>8.73</v>
      </c>
    </row>
    <row r="559" spans="1:15" x14ac:dyDescent="0.25">
      <c r="A559" s="3">
        <v>44506</v>
      </c>
      <c r="B559" t="s">
        <v>6171</v>
      </c>
      <c r="C559" s="2">
        <v>4</v>
      </c>
      <c r="D559" s="2" t="s">
        <v>3640</v>
      </c>
      <c r="E559" s="2" t="s">
        <v>80</v>
      </c>
      <c r="F559" s="2" t="s">
        <v>19</v>
      </c>
      <c r="G559" t="s">
        <v>6191</v>
      </c>
      <c r="H559" t="str">
        <f>VLOOKUP('Combined table'!B559,products!$A$1:$G$49,2,FALSE)</f>
        <v>Exc</v>
      </c>
      <c r="I559" t="str">
        <f>VLOOKUP('Combined table'!B559,products!$A$1:$G$49,3,FALSE)</f>
        <v>L</v>
      </c>
      <c r="J559">
        <f>VLOOKUP('Combined table'!B559,products!$A$1:$G$49,4,FALSE)</f>
        <v>1</v>
      </c>
      <c r="K559">
        <f>VLOOKUP('Combined table'!B559,products!$A$1:$G$49,5,FALSE)</f>
        <v>14.85</v>
      </c>
      <c r="L559">
        <f>VLOOKUP('Combined table'!B559,products!$A$1:$G$49,6,FALSE)</f>
        <v>1.4849999999999999</v>
      </c>
      <c r="M559">
        <f>VLOOKUP('Combined table'!B559,products!$A$1:$G$49,7,FALSE)</f>
        <v>1.6335</v>
      </c>
      <c r="N559" t="str">
        <f>TEXT(A559,"mmm yyyy")</f>
        <v>Nov 2021</v>
      </c>
      <c r="O559">
        <f t="shared" si="8"/>
        <v>59.4</v>
      </c>
    </row>
    <row r="560" spans="1:15" x14ac:dyDescent="0.25">
      <c r="A560" s="3">
        <v>44225</v>
      </c>
      <c r="B560" t="s">
        <v>6150</v>
      </c>
      <c r="C560" s="2">
        <v>4</v>
      </c>
      <c r="D560" s="2" t="s">
        <v>3645</v>
      </c>
      <c r="E560" s="2" t="s">
        <v>43</v>
      </c>
      <c r="F560" s="2" t="s">
        <v>19</v>
      </c>
      <c r="G560" t="s">
        <v>6190</v>
      </c>
      <c r="H560" t="str">
        <f>VLOOKUP('Combined table'!B560,products!$A$1:$G$49,2,FALSE)</f>
        <v>Lib</v>
      </c>
      <c r="I560" t="str">
        <f>VLOOKUP('Combined table'!B560,products!$A$1:$G$49,3,FALSE)</f>
        <v>D</v>
      </c>
      <c r="J560">
        <f>VLOOKUP('Combined table'!B560,products!$A$1:$G$49,4,FALSE)</f>
        <v>0.2</v>
      </c>
      <c r="K560">
        <f>VLOOKUP('Combined table'!B560,products!$A$1:$G$49,5,FALSE)</f>
        <v>3.8849999999999998</v>
      </c>
      <c r="L560">
        <f>VLOOKUP('Combined table'!B560,products!$A$1:$G$49,6,FALSE)</f>
        <v>1.9424999999999999</v>
      </c>
      <c r="M560">
        <f>VLOOKUP('Combined table'!B560,products!$A$1:$G$49,7,FALSE)</f>
        <v>0.50505</v>
      </c>
      <c r="N560" t="str">
        <f>TEXT(A560,"mmm yyyy")</f>
        <v>Jan 2021</v>
      </c>
      <c r="O560">
        <f t="shared" si="8"/>
        <v>15.54</v>
      </c>
    </row>
    <row r="561" spans="1:15" x14ac:dyDescent="0.25">
      <c r="A561" s="3">
        <v>44667</v>
      </c>
      <c r="B561" t="s">
        <v>6140</v>
      </c>
      <c r="C561" s="2">
        <v>3</v>
      </c>
      <c r="D561" s="2" t="s">
        <v>3650</v>
      </c>
      <c r="E561" s="2" t="s">
        <v>45</v>
      </c>
      <c r="F561" s="2" t="s">
        <v>19</v>
      </c>
      <c r="G561" t="s">
        <v>6190</v>
      </c>
      <c r="H561" t="str">
        <f>VLOOKUP('Combined table'!B561,products!$A$1:$G$49,2,FALSE)</f>
        <v>Ara</v>
      </c>
      <c r="I561" t="str">
        <f>VLOOKUP('Combined table'!B561,products!$A$1:$G$49,3,FALSE)</f>
        <v>L</v>
      </c>
      <c r="J561">
        <f>VLOOKUP('Combined table'!B561,products!$A$1:$G$49,4,FALSE)</f>
        <v>1</v>
      </c>
      <c r="K561">
        <f>VLOOKUP('Combined table'!B561,products!$A$1:$G$49,5,FALSE)</f>
        <v>12.95</v>
      </c>
      <c r="L561">
        <f>VLOOKUP('Combined table'!B561,products!$A$1:$G$49,6,FALSE)</f>
        <v>1.2949999999999999</v>
      </c>
      <c r="M561">
        <f>VLOOKUP('Combined table'!B561,products!$A$1:$G$49,7,FALSE)</f>
        <v>1.1655</v>
      </c>
      <c r="N561" t="str">
        <f>TEXT(A561,"mmm yyyy")</f>
        <v>Apr 2022</v>
      </c>
      <c r="O561">
        <f t="shared" si="8"/>
        <v>38.849999999999994</v>
      </c>
    </row>
    <row r="562" spans="1:15" x14ac:dyDescent="0.25">
      <c r="A562" s="3">
        <v>44401</v>
      </c>
      <c r="B562" t="s">
        <v>6166</v>
      </c>
      <c r="C562" s="2">
        <v>6</v>
      </c>
      <c r="D562" s="2" t="s">
        <v>3656</v>
      </c>
      <c r="E562" s="2" t="s">
        <v>240</v>
      </c>
      <c r="F562" s="2" t="s">
        <v>19</v>
      </c>
      <c r="G562" t="s">
        <v>6190</v>
      </c>
      <c r="H562" t="str">
        <f>VLOOKUP('Combined table'!B562,products!$A$1:$G$49,2,FALSE)</f>
        <v>Exc</v>
      </c>
      <c r="I562" t="str">
        <f>VLOOKUP('Combined table'!B562,products!$A$1:$G$49,3,FALSE)</f>
        <v>M</v>
      </c>
      <c r="J562">
        <f>VLOOKUP('Combined table'!B562,products!$A$1:$G$49,4,FALSE)</f>
        <v>2.5</v>
      </c>
      <c r="K562">
        <f>VLOOKUP('Combined table'!B562,products!$A$1:$G$49,5,FALSE)</f>
        <v>31.624999999999996</v>
      </c>
      <c r="L562">
        <f>VLOOKUP('Combined table'!B562,products!$A$1:$G$49,6,FALSE)</f>
        <v>1.2649999999999999</v>
      </c>
      <c r="M562">
        <f>VLOOKUP('Combined table'!B562,products!$A$1:$G$49,7,FALSE)</f>
        <v>3.4787499999999998</v>
      </c>
      <c r="N562" t="str">
        <f>TEXT(A562,"mmm yyyy")</f>
        <v>Jul 2021</v>
      </c>
      <c r="O562">
        <f t="shared" si="8"/>
        <v>189.74999999999997</v>
      </c>
    </row>
    <row r="563" spans="1:15" x14ac:dyDescent="0.25">
      <c r="A563" s="3">
        <v>43688</v>
      </c>
      <c r="B563" t="s">
        <v>6154</v>
      </c>
      <c r="C563" s="2">
        <v>6</v>
      </c>
      <c r="D563" s="2" t="s">
        <v>3661</v>
      </c>
      <c r="E563" s="2" t="s">
        <v>3664</v>
      </c>
      <c r="F563" s="2" t="s">
        <v>318</v>
      </c>
      <c r="G563" t="s">
        <v>6190</v>
      </c>
      <c r="H563" t="str">
        <f>VLOOKUP('Combined table'!B563,products!$A$1:$G$49,2,FALSE)</f>
        <v>Ara</v>
      </c>
      <c r="I563" t="str">
        <f>VLOOKUP('Combined table'!B563,products!$A$1:$G$49,3,FALSE)</f>
        <v>D</v>
      </c>
      <c r="J563">
        <f>VLOOKUP('Combined table'!B563,products!$A$1:$G$49,4,FALSE)</f>
        <v>0.2</v>
      </c>
      <c r="K563">
        <f>VLOOKUP('Combined table'!B563,products!$A$1:$G$49,5,FALSE)</f>
        <v>2.9849999999999999</v>
      </c>
      <c r="L563">
        <f>VLOOKUP('Combined table'!B563,products!$A$1:$G$49,6,FALSE)</f>
        <v>1.4924999999999999</v>
      </c>
      <c r="M563">
        <f>VLOOKUP('Combined table'!B563,products!$A$1:$G$49,7,FALSE)</f>
        <v>0.26865</v>
      </c>
      <c r="N563" t="str">
        <f>TEXT(A563,"mmm yyyy")</f>
        <v>Aug 2019</v>
      </c>
      <c r="O563">
        <f t="shared" si="8"/>
        <v>17.91</v>
      </c>
    </row>
    <row r="564" spans="1:15" x14ac:dyDescent="0.25">
      <c r="A564" s="3">
        <v>43669</v>
      </c>
      <c r="B564" t="s">
        <v>6145</v>
      </c>
      <c r="C564" s="2">
        <v>6</v>
      </c>
      <c r="D564" s="2" t="s">
        <v>3667</v>
      </c>
      <c r="E564" s="2" t="s">
        <v>159</v>
      </c>
      <c r="F564" s="2" t="s">
        <v>28</v>
      </c>
      <c r="G564" t="s">
        <v>6191</v>
      </c>
      <c r="H564" t="str">
        <f>VLOOKUP('Combined table'!B564,products!$A$1:$G$49,2,FALSE)</f>
        <v>Lib</v>
      </c>
      <c r="I564" t="str">
        <f>VLOOKUP('Combined table'!B564,products!$A$1:$G$49,3,FALSE)</f>
        <v>L</v>
      </c>
      <c r="J564">
        <f>VLOOKUP('Combined table'!B564,products!$A$1:$G$49,4,FALSE)</f>
        <v>0.2</v>
      </c>
      <c r="K564">
        <f>VLOOKUP('Combined table'!B564,products!$A$1:$G$49,5,FALSE)</f>
        <v>4.7549999999999999</v>
      </c>
      <c r="L564">
        <f>VLOOKUP('Combined table'!B564,products!$A$1:$G$49,6,FALSE)</f>
        <v>2.3774999999999999</v>
      </c>
      <c r="M564">
        <f>VLOOKUP('Combined table'!B564,products!$A$1:$G$49,7,FALSE)</f>
        <v>0.61814999999999998</v>
      </c>
      <c r="N564" t="str">
        <f>TEXT(A564,"mmm yyyy")</f>
        <v>Jul 2019</v>
      </c>
      <c r="O564">
        <f t="shared" si="8"/>
        <v>28.53</v>
      </c>
    </row>
    <row r="565" spans="1:15" x14ac:dyDescent="0.25">
      <c r="A565" s="3">
        <v>43991</v>
      </c>
      <c r="B565" t="s">
        <v>6141</v>
      </c>
      <c r="C565" s="2">
        <v>6</v>
      </c>
      <c r="D565" s="2" t="s">
        <v>3673</v>
      </c>
      <c r="E565" s="2" t="s">
        <v>84</v>
      </c>
      <c r="F565" s="2" t="s">
        <v>19</v>
      </c>
      <c r="G565" t="s">
        <v>6191</v>
      </c>
      <c r="H565" t="str">
        <f>VLOOKUP('Combined table'!B565,products!$A$1:$G$49,2,FALSE)</f>
        <v>Exc</v>
      </c>
      <c r="I565" t="str">
        <f>VLOOKUP('Combined table'!B565,products!$A$1:$G$49,3,FALSE)</f>
        <v>M</v>
      </c>
      <c r="J565">
        <f>VLOOKUP('Combined table'!B565,products!$A$1:$G$49,4,FALSE)</f>
        <v>1</v>
      </c>
      <c r="K565">
        <f>VLOOKUP('Combined table'!B565,products!$A$1:$G$49,5,FALSE)</f>
        <v>13.75</v>
      </c>
      <c r="L565">
        <f>VLOOKUP('Combined table'!B565,products!$A$1:$G$49,6,FALSE)</f>
        <v>1.375</v>
      </c>
      <c r="M565">
        <f>VLOOKUP('Combined table'!B565,products!$A$1:$G$49,7,FALSE)</f>
        <v>1.5125</v>
      </c>
      <c r="N565" t="str">
        <f>TEXT(A565,"mmm yyyy")</f>
        <v>Jun 2020</v>
      </c>
      <c r="O565">
        <f t="shared" si="8"/>
        <v>82.5</v>
      </c>
    </row>
    <row r="566" spans="1:15" x14ac:dyDescent="0.25">
      <c r="A566" s="3">
        <v>43883</v>
      </c>
      <c r="B566" t="s">
        <v>6173</v>
      </c>
      <c r="C566" s="2">
        <v>2</v>
      </c>
      <c r="D566" s="2" t="s">
        <v>3679</v>
      </c>
      <c r="E566" s="2" t="s">
        <v>49</v>
      </c>
      <c r="F566" s="2" t="s">
        <v>19</v>
      </c>
      <c r="G566" t="s">
        <v>6191</v>
      </c>
      <c r="H566" t="str">
        <f>VLOOKUP('Combined table'!B566,products!$A$1:$G$49,2,FALSE)</f>
        <v>Rob</v>
      </c>
      <c r="I566" t="str">
        <f>VLOOKUP('Combined table'!B566,products!$A$1:$G$49,3,FALSE)</f>
        <v>L</v>
      </c>
      <c r="J566">
        <f>VLOOKUP('Combined table'!B566,products!$A$1:$G$49,4,FALSE)</f>
        <v>0.5</v>
      </c>
      <c r="K566">
        <f>VLOOKUP('Combined table'!B566,products!$A$1:$G$49,5,FALSE)</f>
        <v>7.169999999999999</v>
      </c>
      <c r="L566">
        <f>VLOOKUP('Combined table'!B566,products!$A$1:$G$49,6,FALSE)</f>
        <v>1.4339999999999997</v>
      </c>
      <c r="M566">
        <f>VLOOKUP('Combined table'!B566,products!$A$1:$G$49,7,FALSE)</f>
        <v>0.43019999999999992</v>
      </c>
      <c r="N566" t="str">
        <f>TEXT(A566,"mmm yyyy")</f>
        <v>Feb 2020</v>
      </c>
      <c r="O566">
        <f t="shared" si="8"/>
        <v>14.339999999999998</v>
      </c>
    </row>
    <row r="567" spans="1:15" x14ac:dyDescent="0.25">
      <c r="A567" s="3">
        <v>44031</v>
      </c>
      <c r="B567" t="s">
        <v>6149</v>
      </c>
      <c r="C567" s="2">
        <v>4</v>
      </c>
      <c r="D567" s="2" t="s">
        <v>3685</v>
      </c>
      <c r="E567" s="2" t="s">
        <v>67</v>
      </c>
      <c r="F567" s="2" t="s">
        <v>19</v>
      </c>
      <c r="G567" t="s">
        <v>6191</v>
      </c>
      <c r="H567" t="str">
        <f>VLOOKUP('Combined table'!B567,products!$A$1:$G$49,2,FALSE)</f>
        <v>Rob</v>
      </c>
      <c r="I567" t="str">
        <f>VLOOKUP('Combined table'!B567,products!$A$1:$G$49,3,FALSE)</f>
        <v>D</v>
      </c>
      <c r="J567">
        <f>VLOOKUP('Combined table'!B567,products!$A$1:$G$49,4,FALSE)</f>
        <v>2.5</v>
      </c>
      <c r="K567">
        <f>VLOOKUP('Combined table'!B567,products!$A$1:$G$49,5,FALSE)</f>
        <v>20.584999999999997</v>
      </c>
      <c r="L567">
        <f>VLOOKUP('Combined table'!B567,products!$A$1:$G$49,6,FALSE)</f>
        <v>0.82339999999999991</v>
      </c>
      <c r="M567">
        <f>VLOOKUP('Combined table'!B567,products!$A$1:$G$49,7,FALSE)</f>
        <v>1.2350999999999999</v>
      </c>
      <c r="N567" t="str">
        <f>TEXT(A567,"mmm yyyy")</f>
        <v>Jul 2020</v>
      </c>
      <c r="O567">
        <f t="shared" si="8"/>
        <v>82.339999999999989</v>
      </c>
    </row>
    <row r="568" spans="1:15" x14ac:dyDescent="0.25">
      <c r="A568" s="3">
        <v>44459</v>
      </c>
      <c r="B568" t="s">
        <v>6152</v>
      </c>
      <c r="C568" s="2">
        <v>6</v>
      </c>
      <c r="D568" s="2" t="s">
        <v>3691</v>
      </c>
      <c r="E568" s="2" t="s">
        <v>271</v>
      </c>
      <c r="F568" s="2" t="s">
        <v>19</v>
      </c>
      <c r="G568" t="s">
        <v>6190</v>
      </c>
      <c r="H568" t="str">
        <f>VLOOKUP('Combined table'!B568,products!$A$1:$G$49,2,FALSE)</f>
        <v>Ara</v>
      </c>
      <c r="I568" t="str">
        <f>VLOOKUP('Combined table'!B568,products!$A$1:$G$49,3,FALSE)</f>
        <v>M</v>
      </c>
      <c r="J568">
        <f>VLOOKUP('Combined table'!B568,products!$A$1:$G$49,4,FALSE)</f>
        <v>0.2</v>
      </c>
      <c r="K568">
        <f>VLOOKUP('Combined table'!B568,products!$A$1:$G$49,5,FALSE)</f>
        <v>3.375</v>
      </c>
      <c r="L568">
        <f>VLOOKUP('Combined table'!B568,products!$A$1:$G$49,6,FALSE)</f>
        <v>1.6875</v>
      </c>
      <c r="M568">
        <f>VLOOKUP('Combined table'!B568,products!$A$1:$G$49,7,FALSE)</f>
        <v>0.30374999999999996</v>
      </c>
      <c r="N568" t="str">
        <f>TEXT(A568,"mmm yyyy")</f>
        <v>Sep 2021</v>
      </c>
      <c r="O568">
        <f t="shared" si="8"/>
        <v>20.25</v>
      </c>
    </row>
    <row r="569" spans="1:15" x14ac:dyDescent="0.25">
      <c r="A569" s="3">
        <v>44318</v>
      </c>
      <c r="B569" t="s">
        <v>6142</v>
      </c>
      <c r="C569" s="2">
        <v>6</v>
      </c>
      <c r="D569" s="2" t="s">
        <v>3697</v>
      </c>
      <c r="E569" s="2" t="s">
        <v>433</v>
      </c>
      <c r="F569" s="2" t="s">
        <v>318</v>
      </c>
      <c r="G569" t="s">
        <v>6191</v>
      </c>
      <c r="H569" t="str">
        <f>VLOOKUP('Combined table'!B569,products!$A$1:$G$49,2,FALSE)</f>
        <v>Rob</v>
      </c>
      <c r="I569" t="str">
        <f>VLOOKUP('Combined table'!B569,products!$A$1:$G$49,3,FALSE)</f>
        <v>L</v>
      </c>
      <c r="J569">
        <f>VLOOKUP('Combined table'!B569,products!$A$1:$G$49,4,FALSE)</f>
        <v>2.5</v>
      </c>
      <c r="K569">
        <f>VLOOKUP('Combined table'!B569,products!$A$1:$G$49,5,FALSE)</f>
        <v>27.484999999999996</v>
      </c>
      <c r="L569">
        <f>VLOOKUP('Combined table'!B569,products!$A$1:$G$49,6,FALSE)</f>
        <v>1.0993999999999999</v>
      </c>
      <c r="M569">
        <f>VLOOKUP('Combined table'!B569,products!$A$1:$G$49,7,FALSE)</f>
        <v>1.6490999999999998</v>
      </c>
      <c r="N569" t="str">
        <f>TEXT(A569,"mmm yyyy")</f>
        <v>May 2021</v>
      </c>
      <c r="O569">
        <f t="shared" si="8"/>
        <v>164.90999999999997</v>
      </c>
    </row>
    <row r="570" spans="1:15" x14ac:dyDescent="0.25">
      <c r="A570" s="3">
        <v>44526</v>
      </c>
      <c r="B570" t="s">
        <v>6145</v>
      </c>
      <c r="C570" s="2">
        <v>4</v>
      </c>
      <c r="D570" s="2" t="s">
        <v>3702</v>
      </c>
      <c r="E570" s="2" t="s">
        <v>123</v>
      </c>
      <c r="F570" s="2" t="s">
        <v>19</v>
      </c>
      <c r="G570" t="s">
        <v>6190</v>
      </c>
      <c r="H570" t="str">
        <f>VLOOKUP('Combined table'!B570,products!$A$1:$G$49,2,FALSE)</f>
        <v>Lib</v>
      </c>
      <c r="I570" t="str">
        <f>VLOOKUP('Combined table'!B570,products!$A$1:$G$49,3,FALSE)</f>
        <v>L</v>
      </c>
      <c r="J570">
        <f>VLOOKUP('Combined table'!B570,products!$A$1:$G$49,4,FALSE)</f>
        <v>0.2</v>
      </c>
      <c r="K570">
        <f>VLOOKUP('Combined table'!B570,products!$A$1:$G$49,5,FALSE)</f>
        <v>4.7549999999999999</v>
      </c>
      <c r="L570">
        <f>VLOOKUP('Combined table'!B570,products!$A$1:$G$49,6,FALSE)</f>
        <v>2.3774999999999999</v>
      </c>
      <c r="M570">
        <f>VLOOKUP('Combined table'!B570,products!$A$1:$G$49,7,FALSE)</f>
        <v>0.61814999999999998</v>
      </c>
      <c r="N570" t="str">
        <f>TEXT(A570,"mmm yyyy")</f>
        <v>Nov 2021</v>
      </c>
      <c r="O570">
        <f t="shared" si="8"/>
        <v>19.02</v>
      </c>
    </row>
    <row r="571" spans="1:15" x14ac:dyDescent="0.25">
      <c r="A571" s="3">
        <v>43879</v>
      </c>
      <c r="B571" t="s">
        <v>6168</v>
      </c>
      <c r="C571" s="2">
        <v>6</v>
      </c>
      <c r="D571" s="2" t="s">
        <v>3708</v>
      </c>
      <c r="E571" s="2" t="s">
        <v>255</v>
      </c>
      <c r="F571" s="2" t="s">
        <v>19</v>
      </c>
      <c r="G571" t="s">
        <v>6191</v>
      </c>
      <c r="H571" t="str">
        <f>VLOOKUP('Combined table'!B571,products!$A$1:$G$49,2,FALSE)</f>
        <v>Ara</v>
      </c>
      <c r="I571" t="str">
        <f>VLOOKUP('Combined table'!B571,products!$A$1:$G$49,3,FALSE)</f>
        <v>D</v>
      </c>
      <c r="J571">
        <f>VLOOKUP('Combined table'!B571,products!$A$1:$G$49,4,FALSE)</f>
        <v>2.5</v>
      </c>
      <c r="K571">
        <f>VLOOKUP('Combined table'!B571,products!$A$1:$G$49,5,FALSE)</f>
        <v>22.884999999999998</v>
      </c>
      <c r="L571">
        <f>VLOOKUP('Combined table'!B571,products!$A$1:$G$49,6,FALSE)</f>
        <v>0.91539999999999988</v>
      </c>
      <c r="M571">
        <f>VLOOKUP('Combined table'!B571,products!$A$1:$G$49,7,FALSE)</f>
        <v>2.0596499999999995</v>
      </c>
      <c r="N571" t="str">
        <f>TEXT(A571,"mmm yyyy")</f>
        <v>Feb 2020</v>
      </c>
      <c r="O571">
        <f t="shared" si="8"/>
        <v>137.31</v>
      </c>
    </row>
    <row r="572" spans="1:15" x14ac:dyDescent="0.25">
      <c r="A572" s="3">
        <v>43928</v>
      </c>
      <c r="B572" t="s">
        <v>6157</v>
      </c>
      <c r="C572" s="2">
        <v>4</v>
      </c>
      <c r="D572" s="2" t="s">
        <v>3714</v>
      </c>
      <c r="E572" s="2" t="s">
        <v>68</v>
      </c>
      <c r="F572" s="2" t="s">
        <v>19</v>
      </c>
      <c r="G572" t="s">
        <v>6191</v>
      </c>
      <c r="H572" t="str">
        <f>VLOOKUP('Combined table'!B572,products!$A$1:$G$49,2,FALSE)</f>
        <v>Ara</v>
      </c>
      <c r="I572" t="str">
        <f>VLOOKUP('Combined table'!B572,products!$A$1:$G$49,3,FALSE)</f>
        <v>M</v>
      </c>
      <c r="J572">
        <f>VLOOKUP('Combined table'!B572,products!$A$1:$G$49,4,FALSE)</f>
        <v>0.5</v>
      </c>
      <c r="K572">
        <f>VLOOKUP('Combined table'!B572,products!$A$1:$G$49,5,FALSE)</f>
        <v>6.75</v>
      </c>
      <c r="L572">
        <f>VLOOKUP('Combined table'!B572,products!$A$1:$G$49,6,FALSE)</f>
        <v>1.35</v>
      </c>
      <c r="M572">
        <f>VLOOKUP('Combined table'!B572,products!$A$1:$G$49,7,FALSE)</f>
        <v>0.60749999999999993</v>
      </c>
      <c r="N572" t="str">
        <f>TEXT(A572,"mmm yyyy")</f>
        <v>Apr 2020</v>
      </c>
      <c r="O572">
        <f t="shared" si="8"/>
        <v>27</v>
      </c>
    </row>
    <row r="573" spans="1:15" x14ac:dyDescent="0.25">
      <c r="A573" s="3">
        <v>44592</v>
      </c>
      <c r="B573" t="s">
        <v>6176</v>
      </c>
      <c r="C573" s="2">
        <v>4</v>
      </c>
      <c r="D573" s="2" t="s">
        <v>3720</v>
      </c>
      <c r="E573" s="2" t="s">
        <v>244</v>
      </c>
      <c r="F573" s="2" t="s">
        <v>28</v>
      </c>
      <c r="G573" t="s">
        <v>6191</v>
      </c>
      <c r="H573" t="str">
        <f>VLOOKUP('Combined table'!B573,products!$A$1:$G$49,2,FALSE)</f>
        <v>Exc</v>
      </c>
      <c r="I573" t="str">
        <f>VLOOKUP('Combined table'!B573,products!$A$1:$G$49,3,FALSE)</f>
        <v>L</v>
      </c>
      <c r="J573">
        <f>VLOOKUP('Combined table'!B573,products!$A$1:$G$49,4,FALSE)</f>
        <v>0.5</v>
      </c>
      <c r="K573">
        <f>VLOOKUP('Combined table'!B573,products!$A$1:$G$49,5,FALSE)</f>
        <v>8.91</v>
      </c>
      <c r="L573">
        <f>VLOOKUP('Combined table'!B573,products!$A$1:$G$49,6,FALSE)</f>
        <v>1.782</v>
      </c>
      <c r="M573">
        <f>VLOOKUP('Combined table'!B573,products!$A$1:$G$49,7,FALSE)</f>
        <v>0.98009999999999997</v>
      </c>
      <c r="N573" t="str">
        <f>TEXT(A573,"mmm yyyy")</f>
        <v>Jan 2022</v>
      </c>
      <c r="O573">
        <f t="shared" si="8"/>
        <v>35.64</v>
      </c>
    </row>
    <row r="574" spans="1:15" x14ac:dyDescent="0.25">
      <c r="A574" s="3">
        <v>43515</v>
      </c>
      <c r="B574" t="s">
        <v>6154</v>
      </c>
      <c r="C574" s="2">
        <v>2</v>
      </c>
      <c r="D574" s="2" t="s">
        <v>3726</v>
      </c>
      <c r="E574" s="2" t="s">
        <v>87</v>
      </c>
      <c r="F574" s="2" t="s">
        <v>19</v>
      </c>
      <c r="G574" t="s">
        <v>6190</v>
      </c>
      <c r="H574" t="str">
        <f>VLOOKUP('Combined table'!B574,products!$A$1:$G$49,2,FALSE)</f>
        <v>Ara</v>
      </c>
      <c r="I574" t="str">
        <f>VLOOKUP('Combined table'!B574,products!$A$1:$G$49,3,FALSE)</f>
        <v>D</v>
      </c>
      <c r="J574">
        <f>VLOOKUP('Combined table'!B574,products!$A$1:$G$49,4,FALSE)</f>
        <v>0.2</v>
      </c>
      <c r="K574">
        <f>VLOOKUP('Combined table'!B574,products!$A$1:$G$49,5,FALSE)</f>
        <v>2.9849999999999999</v>
      </c>
      <c r="L574">
        <f>VLOOKUP('Combined table'!B574,products!$A$1:$G$49,6,FALSE)</f>
        <v>1.4924999999999999</v>
      </c>
      <c r="M574">
        <f>VLOOKUP('Combined table'!B574,products!$A$1:$G$49,7,FALSE)</f>
        <v>0.26865</v>
      </c>
      <c r="N574" t="str">
        <f>TEXT(A574,"mmm yyyy")</f>
        <v>Feb 2019</v>
      </c>
      <c r="O574">
        <f t="shared" si="8"/>
        <v>5.97</v>
      </c>
    </row>
    <row r="575" spans="1:15" x14ac:dyDescent="0.25">
      <c r="A575" s="3">
        <v>43781</v>
      </c>
      <c r="B575" t="s">
        <v>6155</v>
      </c>
      <c r="C575" s="2">
        <v>6</v>
      </c>
      <c r="D575" s="2" t="s">
        <v>3730</v>
      </c>
      <c r="E575" s="2" t="s">
        <v>175</v>
      </c>
      <c r="F575" s="2" t="s">
        <v>19</v>
      </c>
      <c r="G575" t="s">
        <v>6191</v>
      </c>
      <c r="H575" t="str">
        <f>VLOOKUP('Combined table'!B575,products!$A$1:$G$49,2,FALSE)</f>
        <v>Ara</v>
      </c>
      <c r="I575" t="str">
        <f>VLOOKUP('Combined table'!B575,products!$A$1:$G$49,3,FALSE)</f>
        <v>M</v>
      </c>
      <c r="J575">
        <f>VLOOKUP('Combined table'!B575,products!$A$1:$G$49,4,FALSE)</f>
        <v>1</v>
      </c>
      <c r="K575">
        <f>VLOOKUP('Combined table'!B575,products!$A$1:$G$49,5,FALSE)</f>
        <v>11.25</v>
      </c>
      <c r="L575">
        <f>VLOOKUP('Combined table'!B575,products!$A$1:$G$49,6,FALSE)</f>
        <v>1.125</v>
      </c>
      <c r="M575">
        <f>VLOOKUP('Combined table'!B575,products!$A$1:$G$49,7,FALSE)</f>
        <v>1.0125</v>
      </c>
      <c r="N575" t="str">
        <f>TEXT(A575,"mmm yyyy")</f>
        <v>Nov 2019</v>
      </c>
      <c r="O575">
        <f t="shared" si="8"/>
        <v>67.5</v>
      </c>
    </row>
    <row r="576" spans="1:15" x14ac:dyDescent="0.25">
      <c r="A576" s="3">
        <v>44697</v>
      </c>
      <c r="B576" t="s">
        <v>6178</v>
      </c>
      <c r="C576" s="2">
        <v>6</v>
      </c>
      <c r="D576" s="2" t="s">
        <v>3736</v>
      </c>
      <c r="E576" s="2" t="s">
        <v>250</v>
      </c>
      <c r="F576" s="2" t="s">
        <v>19</v>
      </c>
      <c r="G576" t="s">
        <v>6190</v>
      </c>
      <c r="H576" t="str">
        <f>VLOOKUP('Combined table'!B576,products!$A$1:$G$49,2,FALSE)</f>
        <v>Rob</v>
      </c>
      <c r="I576" t="str">
        <f>VLOOKUP('Combined table'!B576,products!$A$1:$G$49,3,FALSE)</f>
        <v>L</v>
      </c>
      <c r="J576">
        <f>VLOOKUP('Combined table'!B576,products!$A$1:$G$49,4,FALSE)</f>
        <v>0.2</v>
      </c>
      <c r="K576">
        <f>VLOOKUP('Combined table'!B576,products!$A$1:$G$49,5,FALSE)</f>
        <v>3.5849999999999995</v>
      </c>
      <c r="L576">
        <f>VLOOKUP('Combined table'!B576,products!$A$1:$G$49,6,FALSE)</f>
        <v>1.7924999999999998</v>
      </c>
      <c r="M576">
        <f>VLOOKUP('Combined table'!B576,products!$A$1:$G$49,7,FALSE)</f>
        <v>0.21509999999999996</v>
      </c>
      <c r="N576" t="str">
        <f>TEXT(A576,"mmm yyyy")</f>
        <v>May 2022</v>
      </c>
      <c r="O576">
        <f t="shared" si="8"/>
        <v>21.509999999999998</v>
      </c>
    </row>
    <row r="577" spans="1:15" x14ac:dyDescent="0.25">
      <c r="A577" s="3">
        <v>44239</v>
      </c>
      <c r="B577" t="s">
        <v>6181</v>
      </c>
      <c r="C577" s="2">
        <v>2</v>
      </c>
      <c r="D577" s="2" t="s">
        <v>3741</v>
      </c>
      <c r="E577" s="2" t="s">
        <v>27</v>
      </c>
      <c r="F577" s="2" t="s">
        <v>19</v>
      </c>
      <c r="G577" t="s">
        <v>6191</v>
      </c>
      <c r="H577" t="str">
        <f>VLOOKUP('Combined table'!B577,products!$A$1:$G$49,2,FALSE)</f>
        <v>Lib</v>
      </c>
      <c r="I577" t="str">
        <f>VLOOKUP('Combined table'!B577,products!$A$1:$G$49,3,FALSE)</f>
        <v>M</v>
      </c>
      <c r="J577">
        <f>VLOOKUP('Combined table'!B577,products!$A$1:$G$49,4,FALSE)</f>
        <v>2.5</v>
      </c>
      <c r="K577">
        <f>VLOOKUP('Combined table'!B577,products!$A$1:$G$49,5,FALSE)</f>
        <v>33.464999999999996</v>
      </c>
      <c r="L577">
        <f>VLOOKUP('Combined table'!B577,products!$A$1:$G$49,6,FALSE)</f>
        <v>1.3385999999999998</v>
      </c>
      <c r="M577">
        <f>VLOOKUP('Combined table'!B577,products!$A$1:$G$49,7,FALSE)</f>
        <v>4.3504499999999995</v>
      </c>
      <c r="N577" t="str">
        <f>TEXT(A577,"mmm yyyy")</f>
        <v>Feb 2021</v>
      </c>
      <c r="O577">
        <f t="shared" si="8"/>
        <v>66.929999999999993</v>
      </c>
    </row>
    <row r="578" spans="1:15" x14ac:dyDescent="0.25">
      <c r="A578" s="3">
        <v>44290</v>
      </c>
      <c r="B578" t="s">
        <v>6154</v>
      </c>
      <c r="C578" s="2">
        <v>6</v>
      </c>
      <c r="D578" s="2" t="s">
        <v>3747</v>
      </c>
      <c r="E578" s="2" t="s">
        <v>31</v>
      </c>
      <c r="F578" s="2" t="s">
        <v>19</v>
      </c>
      <c r="G578" t="s">
        <v>6191</v>
      </c>
      <c r="H578" t="str">
        <f>VLOOKUP('Combined table'!B578,products!$A$1:$G$49,2,FALSE)</f>
        <v>Ara</v>
      </c>
      <c r="I578" t="str">
        <f>VLOOKUP('Combined table'!B578,products!$A$1:$G$49,3,FALSE)</f>
        <v>D</v>
      </c>
      <c r="J578">
        <f>VLOOKUP('Combined table'!B578,products!$A$1:$G$49,4,FALSE)</f>
        <v>0.2</v>
      </c>
      <c r="K578">
        <f>VLOOKUP('Combined table'!B578,products!$A$1:$G$49,5,FALSE)</f>
        <v>2.9849999999999999</v>
      </c>
      <c r="L578">
        <f>VLOOKUP('Combined table'!B578,products!$A$1:$G$49,6,FALSE)</f>
        <v>1.4924999999999999</v>
      </c>
      <c r="M578">
        <f>VLOOKUP('Combined table'!B578,products!$A$1:$G$49,7,FALSE)</f>
        <v>0.26865</v>
      </c>
      <c r="N578" t="str">
        <f>TEXT(A578,"mmm yyyy")</f>
        <v>Apr 2021</v>
      </c>
      <c r="O578">
        <f t="shared" si="8"/>
        <v>17.91</v>
      </c>
    </row>
    <row r="579" spans="1:15" x14ac:dyDescent="0.25">
      <c r="A579" s="3">
        <v>44410</v>
      </c>
      <c r="B579" t="s">
        <v>6162</v>
      </c>
      <c r="C579" s="2">
        <v>4</v>
      </c>
      <c r="D579" s="2" t="s">
        <v>3753</v>
      </c>
      <c r="E579" s="2" t="s">
        <v>180</v>
      </c>
      <c r="F579" s="2" t="s">
        <v>28</v>
      </c>
      <c r="G579" t="s">
        <v>6191</v>
      </c>
      <c r="H579" t="str">
        <f>VLOOKUP('Combined table'!B579,products!$A$1:$G$49,2,FALSE)</f>
        <v>Lib</v>
      </c>
      <c r="I579" t="str">
        <f>VLOOKUP('Combined table'!B579,products!$A$1:$G$49,3,FALSE)</f>
        <v>M</v>
      </c>
      <c r="J579">
        <f>VLOOKUP('Combined table'!B579,products!$A$1:$G$49,4,FALSE)</f>
        <v>1</v>
      </c>
      <c r="K579">
        <f>VLOOKUP('Combined table'!B579,products!$A$1:$G$49,5,FALSE)</f>
        <v>14.55</v>
      </c>
      <c r="L579">
        <f>VLOOKUP('Combined table'!B579,products!$A$1:$G$49,6,FALSE)</f>
        <v>1.4550000000000001</v>
      </c>
      <c r="M579">
        <f>VLOOKUP('Combined table'!B579,products!$A$1:$G$49,7,FALSE)</f>
        <v>1.8915000000000002</v>
      </c>
      <c r="N579" t="str">
        <f>TEXT(A579,"mmm yyyy")</f>
        <v>Aug 2021</v>
      </c>
      <c r="O579">
        <f t="shared" ref="O579:O642" si="9">C579*K579</f>
        <v>58.2</v>
      </c>
    </row>
    <row r="580" spans="1:15" x14ac:dyDescent="0.25">
      <c r="A580" s="3">
        <v>44720</v>
      </c>
      <c r="B580" t="s">
        <v>6184</v>
      </c>
      <c r="C580" s="2">
        <v>3</v>
      </c>
      <c r="D580" s="2" t="s">
        <v>3758</v>
      </c>
      <c r="E580" s="2" t="s">
        <v>414</v>
      </c>
      <c r="F580" s="2" t="s">
        <v>318</v>
      </c>
      <c r="G580" t="s">
        <v>6191</v>
      </c>
      <c r="H580" t="str">
        <f>VLOOKUP('Combined table'!B580,products!$A$1:$G$49,2,FALSE)</f>
        <v>Exc</v>
      </c>
      <c r="I580" t="str">
        <f>VLOOKUP('Combined table'!B580,products!$A$1:$G$49,3,FALSE)</f>
        <v>L</v>
      </c>
      <c r="J580">
        <f>VLOOKUP('Combined table'!B580,products!$A$1:$G$49,4,FALSE)</f>
        <v>0.2</v>
      </c>
      <c r="K580">
        <f>VLOOKUP('Combined table'!B580,products!$A$1:$G$49,5,FALSE)</f>
        <v>4.4550000000000001</v>
      </c>
      <c r="L580">
        <f>VLOOKUP('Combined table'!B580,products!$A$1:$G$49,6,FALSE)</f>
        <v>2.2275</v>
      </c>
      <c r="M580">
        <f>VLOOKUP('Combined table'!B580,products!$A$1:$G$49,7,FALSE)</f>
        <v>0.49004999999999999</v>
      </c>
      <c r="N580" t="str">
        <f>TEXT(A580,"mmm yyyy")</f>
        <v>Jun 2022</v>
      </c>
      <c r="O580">
        <f t="shared" si="9"/>
        <v>13.365</v>
      </c>
    </row>
    <row r="581" spans="1:15" x14ac:dyDescent="0.25">
      <c r="A581" s="3">
        <v>44720</v>
      </c>
      <c r="B581" t="s">
        <v>6157</v>
      </c>
      <c r="C581" s="2">
        <v>5</v>
      </c>
      <c r="D581" s="2" t="s">
        <v>3763</v>
      </c>
      <c r="E581" s="2" t="s">
        <v>3664</v>
      </c>
      <c r="F581" s="2" t="s">
        <v>318</v>
      </c>
      <c r="G581" t="s">
        <v>6191</v>
      </c>
      <c r="H581" t="str">
        <f>VLOOKUP('Combined table'!B581,products!$A$1:$G$49,2,FALSE)</f>
        <v>Ara</v>
      </c>
      <c r="I581" t="str">
        <f>VLOOKUP('Combined table'!B581,products!$A$1:$G$49,3,FALSE)</f>
        <v>M</v>
      </c>
      <c r="J581">
        <f>VLOOKUP('Combined table'!B581,products!$A$1:$G$49,4,FALSE)</f>
        <v>0.5</v>
      </c>
      <c r="K581">
        <f>VLOOKUP('Combined table'!B581,products!$A$1:$G$49,5,FALSE)</f>
        <v>6.75</v>
      </c>
      <c r="L581">
        <f>VLOOKUP('Combined table'!B581,products!$A$1:$G$49,6,FALSE)</f>
        <v>1.35</v>
      </c>
      <c r="M581">
        <f>VLOOKUP('Combined table'!B581,products!$A$1:$G$49,7,FALSE)</f>
        <v>0.60749999999999993</v>
      </c>
      <c r="N581" t="str">
        <f>TEXT(A581,"mmm yyyy")</f>
        <v>Jun 2022</v>
      </c>
      <c r="O581">
        <f t="shared" si="9"/>
        <v>33.75</v>
      </c>
    </row>
    <row r="582" spans="1:15" x14ac:dyDescent="0.25">
      <c r="A582" s="3">
        <v>43965</v>
      </c>
      <c r="B582" t="s">
        <v>6171</v>
      </c>
      <c r="C582" s="2">
        <v>3</v>
      </c>
      <c r="D582" s="2" t="s">
        <v>3769</v>
      </c>
      <c r="E582" s="2" t="s">
        <v>146</v>
      </c>
      <c r="F582" s="2" t="s">
        <v>19</v>
      </c>
      <c r="G582" t="s">
        <v>6190</v>
      </c>
      <c r="H582" t="str">
        <f>VLOOKUP('Combined table'!B582,products!$A$1:$G$49,2,FALSE)</f>
        <v>Exc</v>
      </c>
      <c r="I582" t="str">
        <f>VLOOKUP('Combined table'!B582,products!$A$1:$G$49,3,FALSE)</f>
        <v>L</v>
      </c>
      <c r="J582">
        <f>VLOOKUP('Combined table'!B582,products!$A$1:$G$49,4,FALSE)</f>
        <v>1</v>
      </c>
      <c r="K582">
        <f>VLOOKUP('Combined table'!B582,products!$A$1:$G$49,5,FALSE)</f>
        <v>14.85</v>
      </c>
      <c r="L582">
        <f>VLOOKUP('Combined table'!B582,products!$A$1:$G$49,6,FALSE)</f>
        <v>1.4849999999999999</v>
      </c>
      <c r="M582">
        <f>VLOOKUP('Combined table'!B582,products!$A$1:$G$49,7,FALSE)</f>
        <v>1.6335</v>
      </c>
      <c r="N582" t="str">
        <f>TEXT(A582,"mmm yyyy")</f>
        <v>May 2020</v>
      </c>
      <c r="O582">
        <f t="shared" si="9"/>
        <v>44.55</v>
      </c>
    </row>
    <row r="583" spans="1:15" x14ac:dyDescent="0.25">
      <c r="A583" s="3">
        <v>44190</v>
      </c>
      <c r="B583" t="s">
        <v>6176</v>
      </c>
      <c r="C583" s="2">
        <v>5</v>
      </c>
      <c r="D583" s="2" t="s">
        <v>3775</v>
      </c>
      <c r="E583" s="2" t="s">
        <v>144</v>
      </c>
      <c r="F583" s="2" t="s">
        <v>28</v>
      </c>
      <c r="G583" t="s">
        <v>6190</v>
      </c>
      <c r="H583" t="str">
        <f>VLOOKUP('Combined table'!B583,products!$A$1:$G$49,2,FALSE)</f>
        <v>Exc</v>
      </c>
      <c r="I583" t="str">
        <f>VLOOKUP('Combined table'!B583,products!$A$1:$G$49,3,FALSE)</f>
        <v>L</v>
      </c>
      <c r="J583">
        <f>VLOOKUP('Combined table'!B583,products!$A$1:$G$49,4,FALSE)</f>
        <v>0.5</v>
      </c>
      <c r="K583">
        <f>VLOOKUP('Combined table'!B583,products!$A$1:$G$49,5,FALSE)</f>
        <v>8.91</v>
      </c>
      <c r="L583">
        <f>VLOOKUP('Combined table'!B583,products!$A$1:$G$49,6,FALSE)</f>
        <v>1.782</v>
      </c>
      <c r="M583">
        <f>VLOOKUP('Combined table'!B583,products!$A$1:$G$49,7,FALSE)</f>
        <v>0.98009999999999997</v>
      </c>
      <c r="N583" t="str">
        <f>TEXT(A583,"mmm yyyy")</f>
        <v>Dec 2020</v>
      </c>
      <c r="O583">
        <f t="shared" si="9"/>
        <v>44.55</v>
      </c>
    </row>
    <row r="584" spans="1:15" x14ac:dyDescent="0.25">
      <c r="A584" s="3">
        <v>44382</v>
      </c>
      <c r="B584" t="s">
        <v>6183</v>
      </c>
      <c r="C584" s="2">
        <v>5</v>
      </c>
      <c r="D584" s="2" t="s">
        <v>3780</v>
      </c>
      <c r="E584" s="2" t="s">
        <v>38</v>
      </c>
      <c r="F584" s="2" t="s">
        <v>19</v>
      </c>
      <c r="G584" t="s">
        <v>6191</v>
      </c>
      <c r="H584" t="str">
        <f>VLOOKUP('Combined table'!B584,products!$A$1:$G$49,2,FALSE)</f>
        <v>Exc</v>
      </c>
      <c r="I584" t="str">
        <f>VLOOKUP('Combined table'!B584,products!$A$1:$G$49,3,FALSE)</f>
        <v>D</v>
      </c>
      <c r="J584">
        <f>VLOOKUP('Combined table'!B584,products!$A$1:$G$49,4,FALSE)</f>
        <v>1</v>
      </c>
      <c r="K584">
        <f>VLOOKUP('Combined table'!B584,products!$A$1:$G$49,5,FALSE)</f>
        <v>12.15</v>
      </c>
      <c r="L584">
        <f>VLOOKUP('Combined table'!B584,products!$A$1:$G$49,6,FALSE)</f>
        <v>1.2150000000000001</v>
      </c>
      <c r="M584">
        <f>VLOOKUP('Combined table'!B584,products!$A$1:$G$49,7,FALSE)</f>
        <v>1.3365</v>
      </c>
      <c r="N584" t="str">
        <f>TEXT(A584,"mmm yyyy")</f>
        <v>Jul 2021</v>
      </c>
      <c r="O584">
        <f t="shared" si="9"/>
        <v>60.75</v>
      </c>
    </row>
    <row r="585" spans="1:15" x14ac:dyDescent="0.25">
      <c r="A585" s="3">
        <v>43538</v>
      </c>
      <c r="B585" t="s">
        <v>6178</v>
      </c>
      <c r="C585" s="2">
        <v>1</v>
      </c>
      <c r="D585" s="2" t="s">
        <v>3786</v>
      </c>
      <c r="E585" s="2" t="s">
        <v>34</v>
      </c>
      <c r="F585" s="2" t="s">
        <v>19</v>
      </c>
      <c r="G585" t="s">
        <v>6190</v>
      </c>
      <c r="H585" t="str">
        <f>VLOOKUP('Combined table'!B585,products!$A$1:$G$49,2,FALSE)</f>
        <v>Rob</v>
      </c>
      <c r="I585" t="str">
        <f>VLOOKUP('Combined table'!B585,products!$A$1:$G$49,3,FALSE)</f>
        <v>L</v>
      </c>
      <c r="J585">
        <f>VLOOKUP('Combined table'!B585,products!$A$1:$G$49,4,FALSE)</f>
        <v>0.2</v>
      </c>
      <c r="K585">
        <f>VLOOKUP('Combined table'!B585,products!$A$1:$G$49,5,FALSE)</f>
        <v>3.5849999999999995</v>
      </c>
      <c r="L585">
        <f>VLOOKUP('Combined table'!B585,products!$A$1:$G$49,6,FALSE)</f>
        <v>1.7924999999999998</v>
      </c>
      <c r="M585">
        <f>VLOOKUP('Combined table'!B585,products!$A$1:$G$49,7,FALSE)</f>
        <v>0.21509999999999996</v>
      </c>
      <c r="N585" t="str">
        <f>TEXT(A585,"mmm yyyy")</f>
        <v>Mar 2019</v>
      </c>
      <c r="O585">
        <f t="shared" si="9"/>
        <v>3.5849999999999995</v>
      </c>
    </row>
    <row r="586" spans="1:15" x14ac:dyDescent="0.25">
      <c r="A586" s="3">
        <v>44262</v>
      </c>
      <c r="B586" t="s">
        <v>6178</v>
      </c>
      <c r="C586" s="2">
        <v>6</v>
      </c>
      <c r="D586" s="2" t="s">
        <v>3792</v>
      </c>
      <c r="E586" s="2" t="s">
        <v>352</v>
      </c>
      <c r="F586" s="2" t="s">
        <v>19</v>
      </c>
      <c r="G586" t="s">
        <v>6191</v>
      </c>
      <c r="H586" t="str">
        <f>VLOOKUP('Combined table'!B586,products!$A$1:$G$49,2,FALSE)</f>
        <v>Rob</v>
      </c>
      <c r="I586" t="str">
        <f>VLOOKUP('Combined table'!B586,products!$A$1:$G$49,3,FALSE)</f>
        <v>L</v>
      </c>
      <c r="J586">
        <f>VLOOKUP('Combined table'!B586,products!$A$1:$G$49,4,FALSE)</f>
        <v>0.2</v>
      </c>
      <c r="K586">
        <f>VLOOKUP('Combined table'!B586,products!$A$1:$G$49,5,FALSE)</f>
        <v>3.5849999999999995</v>
      </c>
      <c r="L586">
        <f>VLOOKUP('Combined table'!B586,products!$A$1:$G$49,6,FALSE)</f>
        <v>1.7924999999999998</v>
      </c>
      <c r="M586">
        <f>VLOOKUP('Combined table'!B586,products!$A$1:$G$49,7,FALSE)</f>
        <v>0.21509999999999996</v>
      </c>
      <c r="N586" t="str">
        <f>TEXT(A586,"mmm yyyy")</f>
        <v>Mar 2021</v>
      </c>
      <c r="O586">
        <f t="shared" si="9"/>
        <v>21.509999999999998</v>
      </c>
    </row>
    <row r="587" spans="1:15" x14ac:dyDescent="0.25">
      <c r="A587" s="3">
        <v>44505</v>
      </c>
      <c r="B587" t="s">
        <v>6139</v>
      </c>
      <c r="C587" s="2">
        <v>2</v>
      </c>
      <c r="D587" s="2" t="s">
        <v>3798</v>
      </c>
      <c r="E587" s="2" t="s">
        <v>360</v>
      </c>
      <c r="F587" s="2" t="s">
        <v>318</v>
      </c>
      <c r="G587" t="s">
        <v>6190</v>
      </c>
      <c r="H587" t="str">
        <f>VLOOKUP('Combined table'!B587,products!$A$1:$G$49,2,FALSE)</f>
        <v>Exc</v>
      </c>
      <c r="I587" t="str">
        <f>VLOOKUP('Combined table'!B587,products!$A$1:$G$49,3,FALSE)</f>
        <v>M</v>
      </c>
      <c r="J587">
        <f>VLOOKUP('Combined table'!B587,products!$A$1:$G$49,4,FALSE)</f>
        <v>0.5</v>
      </c>
      <c r="K587">
        <f>VLOOKUP('Combined table'!B587,products!$A$1:$G$49,5,FALSE)</f>
        <v>8.25</v>
      </c>
      <c r="L587">
        <f>VLOOKUP('Combined table'!B587,products!$A$1:$G$49,6,FALSE)</f>
        <v>1.65</v>
      </c>
      <c r="M587">
        <f>VLOOKUP('Combined table'!B587,products!$A$1:$G$49,7,FALSE)</f>
        <v>0.90749999999999997</v>
      </c>
      <c r="N587" t="str">
        <f>TEXT(A587,"mmm yyyy")</f>
        <v>Nov 2021</v>
      </c>
      <c r="O587">
        <f t="shared" si="9"/>
        <v>16.5</v>
      </c>
    </row>
    <row r="588" spans="1:15" x14ac:dyDescent="0.25">
      <c r="A588" s="3">
        <v>43867</v>
      </c>
      <c r="B588" t="s">
        <v>6142</v>
      </c>
      <c r="C588" s="2">
        <v>3</v>
      </c>
      <c r="D588" s="2" t="s">
        <v>3804</v>
      </c>
      <c r="E588" s="2" t="s">
        <v>173</v>
      </c>
      <c r="F588" s="2" t="s">
        <v>19</v>
      </c>
      <c r="G588" t="s">
        <v>6191</v>
      </c>
      <c r="H588" t="str">
        <f>VLOOKUP('Combined table'!B588,products!$A$1:$G$49,2,FALSE)</f>
        <v>Rob</v>
      </c>
      <c r="I588" t="str">
        <f>VLOOKUP('Combined table'!B588,products!$A$1:$G$49,3,FALSE)</f>
        <v>L</v>
      </c>
      <c r="J588">
        <f>VLOOKUP('Combined table'!B588,products!$A$1:$G$49,4,FALSE)</f>
        <v>2.5</v>
      </c>
      <c r="K588">
        <f>VLOOKUP('Combined table'!B588,products!$A$1:$G$49,5,FALSE)</f>
        <v>27.484999999999996</v>
      </c>
      <c r="L588">
        <f>VLOOKUP('Combined table'!B588,products!$A$1:$G$49,6,FALSE)</f>
        <v>1.0993999999999999</v>
      </c>
      <c r="M588">
        <f>VLOOKUP('Combined table'!B588,products!$A$1:$G$49,7,FALSE)</f>
        <v>1.6490999999999998</v>
      </c>
      <c r="N588" t="str">
        <f>TEXT(A588,"mmm yyyy")</f>
        <v>Feb 2020</v>
      </c>
      <c r="O588">
        <f t="shared" si="9"/>
        <v>82.454999999999984</v>
      </c>
    </row>
    <row r="589" spans="1:15" x14ac:dyDescent="0.25">
      <c r="A589" s="3">
        <v>44267</v>
      </c>
      <c r="B589" t="s">
        <v>6169</v>
      </c>
      <c r="C589" s="2">
        <v>1</v>
      </c>
      <c r="D589" s="2" t="s">
        <v>3809</v>
      </c>
      <c r="E589" s="2" t="s">
        <v>223</v>
      </c>
      <c r="F589" s="2" t="s">
        <v>19</v>
      </c>
      <c r="G589" t="s">
        <v>6190</v>
      </c>
      <c r="H589" t="str">
        <f>VLOOKUP('Combined table'!B589,products!$A$1:$G$49,2,FALSE)</f>
        <v>Lib</v>
      </c>
      <c r="I589" t="str">
        <f>VLOOKUP('Combined table'!B589,products!$A$1:$G$49,3,FALSE)</f>
        <v>D</v>
      </c>
      <c r="J589">
        <f>VLOOKUP('Combined table'!B589,products!$A$1:$G$49,4,FALSE)</f>
        <v>0.5</v>
      </c>
      <c r="K589">
        <f>VLOOKUP('Combined table'!B589,products!$A$1:$G$49,5,FALSE)</f>
        <v>7.77</v>
      </c>
      <c r="L589">
        <f>VLOOKUP('Combined table'!B589,products!$A$1:$G$49,6,FALSE)</f>
        <v>1.5539999999999998</v>
      </c>
      <c r="M589">
        <f>VLOOKUP('Combined table'!B589,products!$A$1:$G$49,7,FALSE)</f>
        <v>1.0101</v>
      </c>
      <c r="N589" t="str">
        <f>TEXT(A589,"mmm yyyy")</f>
        <v>Mar 2021</v>
      </c>
      <c r="O589">
        <f t="shared" si="9"/>
        <v>7.77</v>
      </c>
    </row>
    <row r="590" spans="1:15" x14ac:dyDescent="0.25">
      <c r="A590" s="3">
        <v>44046</v>
      </c>
      <c r="B590" t="s">
        <v>6146</v>
      </c>
      <c r="C590" s="2">
        <v>2</v>
      </c>
      <c r="D590" s="2" t="s">
        <v>3814</v>
      </c>
      <c r="E590" s="2" t="s">
        <v>50</v>
      </c>
      <c r="F590" s="2" t="s">
        <v>19</v>
      </c>
      <c r="G590" t="s">
        <v>6190</v>
      </c>
      <c r="H590" t="str">
        <f>VLOOKUP('Combined table'!B590,products!$A$1:$G$49,2,FALSE)</f>
        <v>Rob</v>
      </c>
      <c r="I590" t="str">
        <f>VLOOKUP('Combined table'!B590,products!$A$1:$G$49,3,FALSE)</f>
        <v>M</v>
      </c>
      <c r="J590">
        <f>VLOOKUP('Combined table'!B590,products!$A$1:$G$49,4,FALSE)</f>
        <v>0.5</v>
      </c>
      <c r="K590">
        <f>VLOOKUP('Combined table'!B590,products!$A$1:$G$49,5,FALSE)</f>
        <v>5.97</v>
      </c>
      <c r="L590">
        <f>VLOOKUP('Combined table'!B590,products!$A$1:$G$49,6,FALSE)</f>
        <v>1.194</v>
      </c>
      <c r="M590">
        <f>VLOOKUP('Combined table'!B590,products!$A$1:$G$49,7,FALSE)</f>
        <v>0.35819999999999996</v>
      </c>
      <c r="N590" t="str">
        <f>TEXT(A590,"mmm yyyy")</f>
        <v>Aug 2020</v>
      </c>
      <c r="O590">
        <f t="shared" si="9"/>
        <v>11.94</v>
      </c>
    </row>
    <row r="591" spans="1:15" x14ac:dyDescent="0.25">
      <c r="A591" s="3">
        <v>43671</v>
      </c>
      <c r="B591" t="s">
        <v>6148</v>
      </c>
      <c r="C591" s="2">
        <v>6</v>
      </c>
      <c r="D591" s="2" t="s">
        <v>3820</v>
      </c>
      <c r="E591" s="2" t="s">
        <v>62</v>
      </c>
      <c r="F591" s="2" t="s">
        <v>19</v>
      </c>
      <c r="G591" t="s">
        <v>6191</v>
      </c>
      <c r="H591" t="str">
        <f>VLOOKUP('Combined table'!B591,products!$A$1:$G$49,2,FALSE)</f>
        <v>Exc</v>
      </c>
      <c r="I591" t="str">
        <f>VLOOKUP('Combined table'!B591,products!$A$1:$G$49,3,FALSE)</f>
        <v>L</v>
      </c>
      <c r="J591">
        <f>VLOOKUP('Combined table'!B591,products!$A$1:$G$49,4,FALSE)</f>
        <v>2.5</v>
      </c>
      <c r="K591">
        <f>VLOOKUP('Combined table'!B591,products!$A$1:$G$49,5,FALSE)</f>
        <v>34.154999999999994</v>
      </c>
      <c r="L591">
        <f>VLOOKUP('Combined table'!B591,products!$A$1:$G$49,6,FALSE)</f>
        <v>1.3661999999999999</v>
      </c>
      <c r="M591">
        <f>VLOOKUP('Combined table'!B591,products!$A$1:$G$49,7,FALSE)</f>
        <v>3.7570499999999996</v>
      </c>
      <c r="N591" t="str">
        <f>TEXT(A591,"mmm yyyy")</f>
        <v>Jul 2019</v>
      </c>
      <c r="O591">
        <f t="shared" si="9"/>
        <v>204.92999999999995</v>
      </c>
    </row>
    <row r="592" spans="1:15" x14ac:dyDescent="0.25">
      <c r="A592" s="3">
        <v>43950</v>
      </c>
      <c r="B592" t="s">
        <v>6166</v>
      </c>
      <c r="C592" s="2">
        <v>2</v>
      </c>
      <c r="D592" s="2" t="s">
        <v>3825</v>
      </c>
      <c r="E592" s="2" t="s">
        <v>161</v>
      </c>
      <c r="F592" s="2" t="s">
        <v>19</v>
      </c>
      <c r="G592" t="s">
        <v>6190</v>
      </c>
      <c r="H592" t="str">
        <f>VLOOKUP('Combined table'!B592,products!$A$1:$G$49,2,FALSE)</f>
        <v>Exc</v>
      </c>
      <c r="I592" t="str">
        <f>VLOOKUP('Combined table'!B592,products!$A$1:$G$49,3,FALSE)</f>
        <v>M</v>
      </c>
      <c r="J592">
        <f>VLOOKUP('Combined table'!B592,products!$A$1:$G$49,4,FALSE)</f>
        <v>2.5</v>
      </c>
      <c r="K592">
        <f>VLOOKUP('Combined table'!B592,products!$A$1:$G$49,5,FALSE)</f>
        <v>31.624999999999996</v>
      </c>
      <c r="L592">
        <f>VLOOKUP('Combined table'!B592,products!$A$1:$G$49,6,FALSE)</f>
        <v>1.2649999999999999</v>
      </c>
      <c r="M592">
        <f>VLOOKUP('Combined table'!B592,products!$A$1:$G$49,7,FALSE)</f>
        <v>3.4787499999999998</v>
      </c>
      <c r="N592" t="str">
        <f>TEXT(A592,"mmm yyyy")</f>
        <v>Apr 2020</v>
      </c>
      <c r="O592">
        <f t="shared" si="9"/>
        <v>63.249999999999993</v>
      </c>
    </row>
    <row r="593" spans="1:15" x14ac:dyDescent="0.25">
      <c r="A593" s="3">
        <v>43587</v>
      </c>
      <c r="B593" t="s">
        <v>6163</v>
      </c>
      <c r="C593" s="2">
        <v>3</v>
      </c>
      <c r="D593" s="2" t="s">
        <v>3831</v>
      </c>
      <c r="E593" s="2" t="s">
        <v>25</v>
      </c>
      <c r="F593" s="2" t="s">
        <v>19</v>
      </c>
      <c r="G593" t="s">
        <v>6190</v>
      </c>
      <c r="H593" t="str">
        <f>VLOOKUP('Combined table'!B593,products!$A$1:$G$49,2,FALSE)</f>
        <v>Rob</v>
      </c>
      <c r="I593" t="str">
        <f>VLOOKUP('Combined table'!B593,products!$A$1:$G$49,3,FALSE)</f>
        <v>D</v>
      </c>
      <c r="J593">
        <f>VLOOKUP('Combined table'!B593,products!$A$1:$G$49,4,FALSE)</f>
        <v>0.2</v>
      </c>
      <c r="K593">
        <f>VLOOKUP('Combined table'!B593,products!$A$1:$G$49,5,FALSE)</f>
        <v>2.6849999999999996</v>
      </c>
      <c r="L593">
        <f>VLOOKUP('Combined table'!B593,products!$A$1:$G$49,6,FALSE)</f>
        <v>1.3424999999999998</v>
      </c>
      <c r="M593">
        <f>VLOOKUP('Combined table'!B593,products!$A$1:$G$49,7,FALSE)</f>
        <v>0.16109999999999997</v>
      </c>
      <c r="N593" t="str">
        <f>TEXT(A593,"mmm yyyy")</f>
        <v>May 2019</v>
      </c>
      <c r="O593">
        <f t="shared" si="9"/>
        <v>8.0549999999999997</v>
      </c>
    </row>
    <row r="594" spans="1:15" x14ac:dyDescent="0.25">
      <c r="A594" s="3">
        <v>44437</v>
      </c>
      <c r="B594" t="s">
        <v>6175</v>
      </c>
      <c r="C594" s="2">
        <v>2</v>
      </c>
      <c r="D594" s="2" t="s">
        <v>3836</v>
      </c>
      <c r="E594" s="2" t="s">
        <v>45</v>
      </c>
      <c r="F594" s="2" t="s">
        <v>19</v>
      </c>
      <c r="G594" t="s">
        <v>6191</v>
      </c>
      <c r="H594" t="str">
        <f>VLOOKUP('Combined table'!B594,products!$A$1:$G$49,2,FALSE)</f>
        <v>Ara</v>
      </c>
      <c r="I594" t="str">
        <f>VLOOKUP('Combined table'!B594,products!$A$1:$G$49,3,FALSE)</f>
        <v>M</v>
      </c>
      <c r="J594">
        <f>VLOOKUP('Combined table'!B594,products!$A$1:$G$49,4,FALSE)</f>
        <v>2.5</v>
      </c>
      <c r="K594">
        <f>VLOOKUP('Combined table'!B594,products!$A$1:$G$49,5,FALSE)</f>
        <v>25.874999999999996</v>
      </c>
      <c r="L594">
        <f>VLOOKUP('Combined table'!B594,products!$A$1:$G$49,6,FALSE)</f>
        <v>1.0349999999999999</v>
      </c>
      <c r="M594">
        <f>VLOOKUP('Combined table'!B594,products!$A$1:$G$49,7,FALSE)</f>
        <v>2.3287499999999994</v>
      </c>
      <c r="N594" t="str">
        <f>TEXT(A594,"mmm yyyy")</f>
        <v>Aug 2021</v>
      </c>
      <c r="O594">
        <f t="shared" si="9"/>
        <v>51.749999999999993</v>
      </c>
    </row>
    <row r="595" spans="1:15" x14ac:dyDescent="0.25">
      <c r="A595" s="3">
        <v>43903</v>
      </c>
      <c r="B595" t="s">
        <v>6185</v>
      </c>
      <c r="C595" s="2">
        <v>1</v>
      </c>
      <c r="D595" s="2" t="s">
        <v>3841</v>
      </c>
      <c r="E595" s="2" t="s">
        <v>81</v>
      </c>
      <c r="F595" s="2" t="s">
        <v>28</v>
      </c>
      <c r="G595" t="s">
        <v>6190</v>
      </c>
      <c r="H595" t="str">
        <f>VLOOKUP('Combined table'!B595,products!$A$1:$G$49,2,FALSE)</f>
        <v>Exc</v>
      </c>
      <c r="I595" t="str">
        <f>VLOOKUP('Combined table'!B595,products!$A$1:$G$49,3,FALSE)</f>
        <v>D</v>
      </c>
      <c r="J595">
        <f>VLOOKUP('Combined table'!B595,products!$A$1:$G$49,4,FALSE)</f>
        <v>2.5</v>
      </c>
      <c r="K595">
        <f>VLOOKUP('Combined table'!B595,products!$A$1:$G$49,5,FALSE)</f>
        <v>27.945</v>
      </c>
      <c r="L595">
        <f>VLOOKUP('Combined table'!B595,products!$A$1:$G$49,6,FALSE)</f>
        <v>1.1177999999999999</v>
      </c>
      <c r="M595">
        <f>VLOOKUP('Combined table'!B595,products!$A$1:$G$49,7,FALSE)</f>
        <v>3.07395</v>
      </c>
      <c r="N595" t="str">
        <f>TEXT(A595,"mmm yyyy")</f>
        <v>Mar 2020</v>
      </c>
      <c r="O595">
        <f t="shared" si="9"/>
        <v>27.945</v>
      </c>
    </row>
    <row r="596" spans="1:15" x14ac:dyDescent="0.25">
      <c r="A596" s="3">
        <v>43512</v>
      </c>
      <c r="B596" t="s">
        <v>6182</v>
      </c>
      <c r="C596" s="2">
        <v>2</v>
      </c>
      <c r="D596" s="2" t="s">
        <v>3846</v>
      </c>
      <c r="E596" s="2" t="s">
        <v>65</v>
      </c>
      <c r="F596" s="2" t="s">
        <v>19</v>
      </c>
      <c r="G596" t="s">
        <v>6191</v>
      </c>
      <c r="H596" t="str">
        <f>VLOOKUP('Combined table'!B596,products!$A$1:$G$49,2,FALSE)</f>
        <v>Ara</v>
      </c>
      <c r="I596" t="str">
        <f>VLOOKUP('Combined table'!B596,products!$A$1:$G$49,3,FALSE)</f>
        <v>L</v>
      </c>
      <c r="J596">
        <f>VLOOKUP('Combined table'!B596,products!$A$1:$G$49,4,FALSE)</f>
        <v>2.5</v>
      </c>
      <c r="K596">
        <f>VLOOKUP('Combined table'!B596,products!$A$1:$G$49,5,FALSE)</f>
        <v>29.784999999999997</v>
      </c>
      <c r="L596">
        <f>VLOOKUP('Combined table'!B596,products!$A$1:$G$49,6,FALSE)</f>
        <v>1.1913999999999998</v>
      </c>
      <c r="M596">
        <f>VLOOKUP('Combined table'!B596,products!$A$1:$G$49,7,FALSE)</f>
        <v>2.6806499999999995</v>
      </c>
      <c r="N596" t="str">
        <f>TEXT(A596,"mmm yyyy")</f>
        <v>Feb 2019</v>
      </c>
      <c r="O596">
        <f t="shared" si="9"/>
        <v>59.569999999999993</v>
      </c>
    </row>
    <row r="597" spans="1:15" x14ac:dyDescent="0.25">
      <c r="A597" s="3">
        <v>44527</v>
      </c>
      <c r="B597" t="s">
        <v>6171</v>
      </c>
      <c r="C597" s="2">
        <v>1</v>
      </c>
      <c r="D597" s="2" t="s">
        <v>3852</v>
      </c>
      <c r="E597" s="2" t="s">
        <v>307</v>
      </c>
      <c r="F597" s="2" t="s">
        <v>28</v>
      </c>
      <c r="G597" t="s">
        <v>6191</v>
      </c>
      <c r="H597" t="str">
        <f>VLOOKUP('Combined table'!B597,products!$A$1:$G$49,2,FALSE)</f>
        <v>Exc</v>
      </c>
      <c r="I597" t="str">
        <f>VLOOKUP('Combined table'!B597,products!$A$1:$G$49,3,FALSE)</f>
        <v>L</v>
      </c>
      <c r="J597">
        <f>VLOOKUP('Combined table'!B597,products!$A$1:$G$49,4,FALSE)</f>
        <v>1</v>
      </c>
      <c r="K597">
        <f>VLOOKUP('Combined table'!B597,products!$A$1:$G$49,5,FALSE)</f>
        <v>14.85</v>
      </c>
      <c r="L597">
        <f>VLOOKUP('Combined table'!B597,products!$A$1:$G$49,6,FALSE)</f>
        <v>1.4849999999999999</v>
      </c>
      <c r="M597">
        <f>VLOOKUP('Combined table'!B597,products!$A$1:$G$49,7,FALSE)</f>
        <v>1.6335</v>
      </c>
      <c r="N597" t="str">
        <f>TEXT(A597,"mmm yyyy")</f>
        <v>Nov 2021</v>
      </c>
      <c r="O597">
        <f t="shared" si="9"/>
        <v>14.85</v>
      </c>
    </row>
    <row r="598" spans="1:15" x14ac:dyDescent="0.25">
      <c r="A598" s="3">
        <v>44523</v>
      </c>
      <c r="B598" t="s">
        <v>6157</v>
      </c>
      <c r="C598" s="2">
        <v>5</v>
      </c>
      <c r="D598" s="2" t="s">
        <v>3856</v>
      </c>
      <c r="E598" s="2" t="s">
        <v>39</v>
      </c>
      <c r="F598" s="2" t="s">
        <v>19</v>
      </c>
      <c r="G598" t="s">
        <v>6191</v>
      </c>
      <c r="H598" t="str">
        <f>VLOOKUP('Combined table'!B598,products!$A$1:$G$49,2,FALSE)</f>
        <v>Ara</v>
      </c>
      <c r="I598" t="str">
        <f>VLOOKUP('Combined table'!B598,products!$A$1:$G$49,3,FALSE)</f>
        <v>M</v>
      </c>
      <c r="J598">
        <f>VLOOKUP('Combined table'!B598,products!$A$1:$G$49,4,FALSE)</f>
        <v>0.5</v>
      </c>
      <c r="K598">
        <f>VLOOKUP('Combined table'!B598,products!$A$1:$G$49,5,FALSE)</f>
        <v>6.75</v>
      </c>
      <c r="L598">
        <f>VLOOKUP('Combined table'!B598,products!$A$1:$G$49,6,FALSE)</f>
        <v>1.35</v>
      </c>
      <c r="M598">
        <f>VLOOKUP('Combined table'!B598,products!$A$1:$G$49,7,FALSE)</f>
        <v>0.60749999999999993</v>
      </c>
      <c r="N598" t="str">
        <f>TEXT(A598,"mmm yyyy")</f>
        <v>Nov 2021</v>
      </c>
      <c r="O598">
        <f t="shared" si="9"/>
        <v>33.75</v>
      </c>
    </row>
    <row r="599" spans="1:15" x14ac:dyDescent="0.25">
      <c r="A599" s="3">
        <v>44532</v>
      </c>
      <c r="B599" t="s">
        <v>6164</v>
      </c>
      <c r="C599" s="2">
        <v>4</v>
      </c>
      <c r="D599" s="2" t="s">
        <v>3862</v>
      </c>
      <c r="E599" s="2" t="s">
        <v>87</v>
      </c>
      <c r="F599" s="2" t="s">
        <v>19</v>
      </c>
      <c r="G599" t="s">
        <v>6190</v>
      </c>
      <c r="H599" t="str">
        <f>VLOOKUP('Combined table'!B599,products!$A$1:$G$49,2,FALSE)</f>
        <v>Lib</v>
      </c>
      <c r="I599" t="str">
        <f>VLOOKUP('Combined table'!B599,products!$A$1:$G$49,3,FALSE)</f>
        <v>L</v>
      </c>
      <c r="J599">
        <f>VLOOKUP('Combined table'!B599,products!$A$1:$G$49,4,FALSE)</f>
        <v>2.5</v>
      </c>
      <c r="K599">
        <f>VLOOKUP('Combined table'!B599,products!$A$1:$G$49,5,FALSE)</f>
        <v>36.454999999999998</v>
      </c>
      <c r="L599">
        <f>VLOOKUP('Combined table'!B599,products!$A$1:$G$49,6,FALSE)</f>
        <v>1.4581999999999999</v>
      </c>
      <c r="M599">
        <f>VLOOKUP('Combined table'!B599,products!$A$1:$G$49,7,FALSE)</f>
        <v>4.7391499999999995</v>
      </c>
      <c r="N599" t="str">
        <f>TEXT(A599,"mmm yyyy")</f>
        <v>Dec 2021</v>
      </c>
      <c r="O599">
        <f t="shared" si="9"/>
        <v>145.82</v>
      </c>
    </row>
    <row r="600" spans="1:15" x14ac:dyDescent="0.25">
      <c r="A600" s="3">
        <v>43471</v>
      </c>
      <c r="B600" t="s">
        <v>6174</v>
      </c>
      <c r="C600" s="2">
        <v>4</v>
      </c>
      <c r="D600" s="2" t="s">
        <v>3868</v>
      </c>
      <c r="E600" s="2" t="s">
        <v>150</v>
      </c>
      <c r="F600" s="2" t="s">
        <v>19</v>
      </c>
      <c r="G600" t="s">
        <v>6190</v>
      </c>
      <c r="H600" t="str">
        <f>VLOOKUP('Combined table'!B600,products!$A$1:$G$49,2,FALSE)</f>
        <v>Rob</v>
      </c>
      <c r="I600" t="str">
        <f>VLOOKUP('Combined table'!B600,products!$A$1:$G$49,3,FALSE)</f>
        <v>M</v>
      </c>
      <c r="J600">
        <f>VLOOKUP('Combined table'!B600,products!$A$1:$G$49,4,FALSE)</f>
        <v>0.2</v>
      </c>
      <c r="K600">
        <f>VLOOKUP('Combined table'!B600,products!$A$1:$G$49,5,FALSE)</f>
        <v>2.9849999999999999</v>
      </c>
      <c r="L600">
        <f>VLOOKUP('Combined table'!B600,products!$A$1:$G$49,6,FALSE)</f>
        <v>1.4924999999999999</v>
      </c>
      <c r="M600">
        <f>VLOOKUP('Combined table'!B600,products!$A$1:$G$49,7,FALSE)</f>
        <v>0.17909999999999998</v>
      </c>
      <c r="N600" t="str">
        <f>TEXT(A600,"mmm yyyy")</f>
        <v>Jan 2019</v>
      </c>
      <c r="O600">
        <f t="shared" si="9"/>
        <v>11.94</v>
      </c>
    </row>
    <row r="601" spans="1:15" x14ac:dyDescent="0.25">
      <c r="A601" s="3">
        <v>44321</v>
      </c>
      <c r="B601" t="s">
        <v>6154</v>
      </c>
      <c r="C601" s="2">
        <v>4</v>
      </c>
      <c r="D601" s="2" t="s">
        <v>3874</v>
      </c>
      <c r="E601" s="2" t="s">
        <v>175</v>
      </c>
      <c r="F601" s="2" t="s">
        <v>19</v>
      </c>
      <c r="G601" t="s">
        <v>6190</v>
      </c>
      <c r="H601" t="str">
        <f>VLOOKUP('Combined table'!B601,products!$A$1:$G$49,2,FALSE)</f>
        <v>Ara</v>
      </c>
      <c r="I601" t="str">
        <f>VLOOKUP('Combined table'!B601,products!$A$1:$G$49,3,FALSE)</f>
        <v>D</v>
      </c>
      <c r="J601">
        <f>VLOOKUP('Combined table'!B601,products!$A$1:$G$49,4,FALSE)</f>
        <v>0.2</v>
      </c>
      <c r="K601">
        <f>VLOOKUP('Combined table'!B601,products!$A$1:$G$49,5,FALSE)</f>
        <v>2.9849999999999999</v>
      </c>
      <c r="L601">
        <f>VLOOKUP('Combined table'!B601,products!$A$1:$G$49,6,FALSE)</f>
        <v>1.4924999999999999</v>
      </c>
      <c r="M601">
        <f>VLOOKUP('Combined table'!B601,products!$A$1:$G$49,7,FALSE)</f>
        <v>0.26865</v>
      </c>
      <c r="N601" t="str">
        <f>TEXT(A601,"mmm yyyy")</f>
        <v>May 2021</v>
      </c>
      <c r="O601">
        <f t="shared" si="9"/>
        <v>11.94</v>
      </c>
    </row>
    <row r="602" spans="1:15" x14ac:dyDescent="0.25">
      <c r="A602" s="3">
        <v>44492</v>
      </c>
      <c r="B602" t="s">
        <v>6169</v>
      </c>
      <c r="C602" s="2">
        <v>1</v>
      </c>
      <c r="D602" s="2" t="s">
        <v>3879</v>
      </c>
      <c r="E602" s="2" t="s">
        <v>46</v>
      </c>
      <c r="F602" s="2" t="s">
        <v>19</v>
      </c>
      <c r="G602" t="s">
        <v>6191</v>
      </c>
      <c r="H602" t="str">
        <f>VLOOKUP('Combined table'!B602,products!$A$1:$G$49,2,FALSE)</f>
        <v>Lib</v>
      </c>
      <c r="I602" t="str">
        <f>VLOOKUP('Combined table'!B602,products!$A$1:$G$49,3,FALSE)</f>
        <v>D</v>
      </c>
      <c r="J602">
        <f>VLOOKUP('Combined table'!B602,products!$A$1:$G$49,4,FALSE)</f>
        <v>0.5</v>
      </c>
      <c r="K602">
        <f>VLOOKUP('Combined table'!B602,products!$A$1:$G$49,5,FALSE)</f>
        <v>7.77</v>
      </c>
      <c r="L602">
        <f>VLOOKUP('Combined table'!B602,products!$A$1:$G$49,6,FALSE)</f>
        <v>1.5539999999999998</v>
      </c>
      <c r="M602">
        <f>VLOOKUP('Combined table'!B602,products!$A$1:$G$49,7,FALSE)</f>
        <v>1.0101</v>
      </c>
      <c r="N602" t="str">
        <f>TEXT(A602,"mmm yyyy")</f>
        <v>Oct 2021</v>
      </c>
      <c r="O602">
        <f t="shared" si="9"/>
        <v>7.77</v>
      </c>
    </row>
    <row r="603" spans="1:15" x14ac:dyDescent="0.25">
      <c r="A603" s="3">
        <v>43815</v>
      </c>
      <c r="B603" t="s">
        <v>6142</v>
      </c>
      <c r="C603" s="2">
        <v>4</v>
      </c>
      <c r="D603" s="2" t="s">
        <v>3885</v>
      </c>
      <c r="E603" s="2" t="s">
        <v>269</v>
      </c>
      <c r="F603" s="2" t="s">
        <v>19</v>
      </c>
      <c r="G603" t="s">
        <v>6190</v>
      </c>
      <c r="H603" t="str">
        <f>VLOOKUP('Combined table'!B603,products!$A$1:$G$49,2,FALSE)</f>
        <v>Rob</v>
      </c>
      <c r="I603" t="str">
        <f>VLOOKUP('Combined table'!B603,products!$A$1:$G$49,3,FALSE)</f>
        <v>L</v>
      </c>
      <c r="J603">
        <f>VLOOKUP('Combined table'!B603,products!$A$1:$G$49,4,FALSE)</f>
        <v>2.5</v>
      </c>
      <c r="K603">
        <f>VLOOKUP('Combined table'!B603,products!$A$1:$G$49,5,FALSE)</f>
        <v>27.484999999999996</v>
      </c>
      <c r="L603">
        <f>VLOOKUP('Combined table'!B603,products!$A$1:$G$49,6,FALSE)</f>
        <v>1.0993999999999999</v>
      </c>
      <c r="M603">
        <f>VLOOKUP('Combined table'!B603,products!$A$1:$G$49,7,FALSE)</f>
        <v>1.6490999999999998</v>
      </c>
      <c r="N603" t="str">
        <f>TEXT(A603,"mmm yyyy")</f>
        <v>Dec 2019</v>
      </c>
      <c r="O603">
        <f t="shared" si="9"/>
        <v>109.93999999999998</v>
      </c>
    </row>
    <row r="604" spans="1:15" x14ac:dyDescent="0.25">
      <c r="A604" s="3">
        <v>43603</v>
      </c>
      <c r="B604" t="s">
        <v>6184</v>
      </c>
      <c r="C604" s="2">
        <v>5</v>
      </c>
      <c r="D604" s="2" t="s">
        <v>3891</v>
      </c>
      <c r="E604" s="2" t="s">
        <v>260</v>
      </c>
      <c r="F604" s="2" t="s">
        <v>19</v>
      </c>
      <c r="G604" t="s">
        <v>6190</v>
      </c>
      <c r="H604" t="str">
        <f>VLOOKUP('Combined table'!B604,products!$A$1:$G$49,2,FALSE)</f>
        <v>Exc</v>
      </c>
      <c r="I604" t="str">
        <f>VLOOKUP('Combined table'!B604,products!$A$1:$G$49,3,FALSE)</f>
        <v>L</v>
      </c>
      <c r="J604">
        <f>VLOOKUP('Combined table'!B604,products!$A$1:$G$49,4,FALSE)</f>
        <v>0.2</v>
      </c>
      <c r="K604">
        <f>VLOOKUP('Combined table'!B604,products!$A$1:$G$49,5,FALSE)</f>
        <v>4.4550000000000001</v>
      </c>
      <c r="L604">
        <f>VLOOKUP('Combined table'!B604,products!$A$1:$G$49,6,FALSE)</f>
        <v>2.2275</v>
      </c>
      <c r="M604">
        <f>VLOOKUP('Combined table'!B604,products!$A$1:$G$49,7,FALSE)</f>
        <v>0.49004999999999999</v>
      </c>
      <c r="N604" t="str">
        <f>TEXT(A604,"mmm yyyy")</f>
        <v>May 2019</v>
      </c>
      <c r="O604">
        <f t="shared" si="9"/>
        <v>22.274999999999999</v>
      </c>
    </row>
    <row r="605" spans="1:15" x14ac:dyDescent="0.25">
      <c r="A605" s="3">
        <v>43660</v>
      </c>
      <c r="B605" t="s">
        <v>6174</v>
      </c>
      <c r="C605" s="2">
        <v>3</v>
      </c>
      <c r="D605" s="2" t="s">
        <v>3897</v>
      </c>
      <c r="E605" s="2" t="s">
        <v>78</v>
      </c>
      <c r="F605" s="2" t="s">
        <v>19</v>
      </c>
      <c r="G605" t="s">
        <v>6191</v>
      </c>
      <c r="H605" t="str">
        <f>VLOOKUP('Combined table'!B605,products!$A$1:$G$49,2,FALSE)</f>
        <v>Rob</v>
      </c>
      <c r="I605" t="str">
        <f>VLOOKUP('Combined table'!B605,products!$A$1:$G$49,3,FALSE)</f>
        <v>M</v>
      </c>
      <c r="J605">
        <f>VLOOKUP('Combined table'!B605,products!$A$1:$G$49,4,FALSE)</f>
        <v>0.2</v>
      </c>
      <c r="K605">
        <f>VLOOKUP('Combined table'!B605,products!$A$1:$G$49,5,FALSE)</f>
        <v>2.9849999999999999</v>
      </c>
      <c r="L605">
        <f>VLOOKUP('Combined table'!B605,products!$A$1:$G$49,6,FALSE)</f>
        <v>1.4924999999999999</v>
      </c>
      <c r="M605">
        <f>VLOOKUP('Combined table'!B605,products!$A$1:$G$49,7,FALSE)</f>
        <v>0.17909999999999998</v>
      </c>
      <c r="N605" t="str">
        <f>TEXT(A605,"mmm yyyy")</f>
        <v>Jul 2019</v>
      </c>
      <c r="O605">
        <f t="shared" si="9"/>
        <v>8.9550000000000001</v>
      </c>
    </row>
    <row r="606" spans="1:15" x14ac:dyDescent="0.25">
      <c r="A606" s="3">
        <v>44148</v>
      </c>
      <c r="B606" t="s">
        <v>6165</v>
      </c>
      <c r="C606" s="2">
        <v>4</v>
      </c>
      <c r="D606" s="2" t="s">
        <v>3902</v>
      </c>
      <c r="E606" s="2" t="s">
        <v>380</v>
      </c>
      <c r="F606" s="2" t="s">
        <v>318</v>
      </c>
      <c r="G606" t="s">
        <v>6191</v>
      </c>
      <c r="H606" t="str">
        <f>VLOOKUP('Combined table'!B606,products!$A$1:$G$49,2,FALSE)</f>
        <v>Lib</v>
      </c>
      <c r="I606" t="str">
        <f>VLOOKUP('Combined table'!B606,products!$A$1:$G$49,3,FALSE)</f>
        <v>D</v>
      </c>
      <c r="J606">
        <f>VLOOKUP('Combined table'!B606,products!$A$1:$G$49,4,FALSE)</f>
        <v>2.5</v>
      </c>
      <c r="K606">
        <f>VLOOKUP('Combined table'!B606,products!$A$1:$G$49,5,FALSE)</f>
        <v>29.784999999999997</v>
      </c>
      <c r="L606">
        <f>VLOOKUP('Combined table'!B606,products!$A$1:$G$49,6,FALSE)</f>
        <v>1.1913999999999998</v>
      </c>
      <c r="M606">
        <f>VLOOKUP('Combined table'!B606,products!$A$1:$G$49,7,FALSE)</f>
        <v>3.8720499999999998</v>
      </c>
      <c r="N606" t="str">
        <f>TEXT(A606,"mmm yyyy")</f>
        <v>Nov 2020</v>
      </c>
      <c r="O606">
        <f t="shared" si="9"/>
        <v>119.13999999999999</v>
      </c>
    </row>
    <row r="607" spans="1:15" x14ac:dyDescent="0.25">
      <c r="A607" s="3">
        <v>44028</v>
      </c>
      <c r="B607" t="s">
        <v>6182</v>
      </c>
      <c r="C607" s="2">
        <v>5</v>
      </c>
      <c r="D607" s="2" t="s">
        <v>3907</v>
      </c>
      <c r="E607" s="2" t="s">
        <v>108</v>
      </c>
      <c r="F607" s="2" t="s">
        <v>19</v>
      </c>
      <c r="G607" t="s">
        <v>6190</v>
      </c>
      <c r="H607" t="str">
        <f>VLOOKUP('Combined table'!B607,products!$A$1:$G$49,2,FALSE)</f>
        <v>Ara</v>
      </c>
      <c r="I607" t="str">
        <f>VLOOKUP('Combined table'!B607,products!$A$1:$G$49,3,FALSE)</f>
        <v>L</v>
      </c>
      <c r="J607">
        <f>VLOOKUP('Combined table'!B607,products!$A$1:$G$49,4,FALSE)</f>
        <v>2.5</v>
      </c>
      <c r="K607">
        <f>VLOOKUP('Combined table'!B607,products!$A$1:$G$49,5,FALSE)</f>
        <v>29.784999999999997</v>
      </c>
      <c r="L607">
        <f>VLOOKUP('Combined table'!B607,products!$A$1:$G$49,6,FALSE)</f>
        <v>1.1913999999999998</v>
      </c>
      <c r="M607">
        <f>VLOOKUP('Combined table'!B607,products!$A$1:$G$49,7,FALSE)</f>
        <v>2.6806499999999995</v>
      </c>
      <c r="N607" t="str">
        <f>TEXT(A607,"mmm yyyy")</f>
        <v>Jul 2020</v>
      </c>
      <c r="O607">
        <f t="shared" si="9"/>
        <v>148.92499999999998</v>
      </c>
    </row>
    <row r="608" spans="1:15" x14ac:dyDescent="0.25">
      <c r="A608" s="3">
        <v>44138</v>
      </c>
      <c r="B608" t="s">
        <v>6164</v>
      </c>
      <c r="C608" s="2">
        <v>3</v>
      </c>
      <c r="D608" s="2" t="s">
        <v>3913</v>
      </c>
      <c r="E608" s="2" t="s">
        <v>29</v>
      </c>
      <c r="F608" s="2" t="s">
        <v>19</v>
      </c>
      <c r="G608" t="s">
        <v>6191</v>
      </c>
      <c r="H608" t="str">
        <f>VLOOKUP('Combined table'!B608,products!$A$1:$G$49,2,FALSE)</f>
        <v>Lib</v>
      </c>
      <c r="I608" t="str">
        <f>VLOOKUP('Combined table'!B608,products!$A$1:$G$49,3,FALSE)</f>
        <v>L</v>
      </c>
      <c r="J608">
        <f>VLOOKUP('Combined table'!B608,products!$A$1:$G$49,4,FALSE)</f>
        <v>2.5</v>
      </c>
      <c r="K608">
        <f>VLOOKUP('Combined table'!B608,products!$A$1:$G$49,5,FALSE)</f>
        <v>36.454999999999998</v>
      </c>
      <c r="L608">
        <f>VLOOKUP('Combined table'!B608,products!$A$1:$G$49,6,FALSE)</f>
        <v>1.4581999999999999</v>
      </c>
      <c r="M608">
        <f>VLOOKUP('Combined table'!B608,products!$A$1:$G$49,7,FALSE)</f>
        <v>4.7391499999999995</v>
      </c>
      <c r="N608" t="str">
        <f>TEXT(A608,"mmm yyyy")</f>
        <v>Nov 2020</v>
      </c>
      <c r="O608">
        <f t="shared" si="9"/>
        <v>109.36499999999999</v>
      </c>
    </row>
    <row r="609" spans="1:15" x14ac:dyDescent="0.25">
      <c r="A609" s="3">
        <v>44640</v>
      </c>
      <c r="B609" t="s">
        <v>6153</v>
      </c>
      <c r="C609" s="2">
        <v>1</v>
      </c>
      <c r="D609" s="2" t="s">
        <v>3919</v>
      </c>
      <c r="E609" s="2" t="s">
        <v>175</v>
      </c>
      <c r="F609" s="2" t="s">
        <v>19</v>
      </c>
      <c r="G609" t="s">
        <v>6190</v>
      </c>
      <c r="H609" t="str">
        <f>VLOOKUP('Combined table'!B609,products!$A$1:$G$49,2,FALSE)</f>
        <v>Exc</v>
      </c>
      <c r="I609" t="str">
        <f>VLOOKUP('Combined table'!B609,products!$A$1:$G$49,3,FALSE)</f>
        <v>D</v>
      </c>
      <c r="J609">
        <f>VLOOKUP('Combined table'!B609,products!$A$1:$G$49,4,FALSE)</f>
        <v>0.2</v>
      </c>
      <c r="K609">
        <f>VLOOKUP('Combined table'!B609,products!$A$1:$G$49,5,FALSE)</f>
        <v>3.645</v>
      </c>
      <c r="L609">
        <f>VLOOKUP('Combined table'!B609,products!$A$1:$G$49,6,FALSE)</f>
        <v>1.8225</v>
      </c>
      <c r="M609">
        <f>VLOOKUP('Combined table'!B609,products!$A$1:$G$49,7,FALSE)</f>
        <v>0.40095000000000003</v>
      </c>
      <c r="N609" t="str">
        <f>TEXT(A609,"mmm yyyy")</f>
        <v>Mar 2022</v>
      </c>
      <c r="O609">
        <f t="shared" si="9"/>
        <v>3.645</v>
      </c>
    </row>
    <row r="610" spans="1:15" x14ac:dyDescent="0.25">
      <c r="A610" s="3">
        <v>44608</v>
      </c>
      <c r="B610" t="s">
        <v>6185</v>
      </c>
      <c r="C610" s="2">
        <v>2</v>
      </c>
      <c r="D610" s="2" t="s">
        <v>3925</v>
      </c>
      <c r="E610" s="2" t="s">
        <v>255</v>
      </c>
      <c r="F610" s="2" t="s">
        <v>19</v>
      </c>
      <c r="G610" t="s">
        <v>6191</v>
      </c>
      <c r="H610" t="str">
        <f>VLOOKUP('Combined table'!B610,products!$A$1:$G$49,2,FALSE)</f>
        <v>Exc</v>
      </c>
      <c r="I610" t="str">
        <f>VLOOKUP('Combined table'!B610,products!$A$1:$G$49,3,FALSE)</f>
        <v>D</v>
      </c>
      <c r="J610">
        <f>VLOOKUP('Combined table'!B610,products!$A$1:$G$49,4,FALSE)</f>
        <v>2.5</v>
      </c>
      <c r="K610">
        <f>VLOOKUP('Combined table'!B610,products!$A$1:$G$49,5,FALSE)</f>
        <v>27.945</v>
      </c>
      <c r="L610">
        <f>VLOOKUP('Combined table'!B610,products!$A$1:$G$49,6,FALSE)</f>
        <v>1.1177999999999999</v>
      </c>
      <c r="M610">
        <f>VLOOKUP('Combined table'!B610,products!$A$1:$G$49,7,FALSE)</f>
        <v>3.07395</v>
      </c>
      <c r="N610" t="str">
        <f>TEXT(A610,"mmm yyyy")</f>
        <v>Feb 2022</v>
      </c>
      <c r="O610">
        <f t="shared" si="9"/>
        <v>55.89</v>
      </c>
    </row>
    <row r="611" spans="1:15" x14ac:dyDescent="0.25">
      <c r="A611" s="3">
        <v>44147</v>
      </c>
      <c r="B611" t="s">
        <v>6159</v>
      </c>
      <c r="C611" s="2">
        <v>6</v>
      </c>
      <c r="D611" s="2" t="s">
        <v>3929</v>
      </c>
      <c r="E611" s="2" t="s">
        <v>45</v>
      </c>
      <c r="F611" s="2" t="s">
        <v>19</v>
      </c>
      <c r="G611" t="s">
        <v>6190</v>
      </c>
      <c r="H611" t="str">
        <f>VLOOKUP('Combined table'!B611,products!$A$1:$G$49,2,FALSE)</f>
        <v>Lib</v>
      </c>
      <c r="I611" t="str">
        <f>VLOOKUP('Combined table'!B611,products!$A$1:$G$49,3,FALSE)</f>
        <v>M</v>
      </c>
      <c r="J611">
        <f>VLOOKUP('Combined table'!B611,products!$A$1:$G$49,4,FALSE)</f>
        <v>0.2</v>
      </c>
      <c r="K611">
        <f>VLOOKUP('Combined table'!B611,products!$A$1:$G$49,5,FALSE)</f>
        <v>4.3650000000000002</v>
      </c>
      <c r="L611">
        <f>VLOOKUP('Combined table'!B611,products!$A$1:$G$49,6,FALSE)</f>
        <v>2.1825000000000001</v>
      </c>
      <c r="M611">
        <f>VLOOKUP('Combined table'!B611,products!$A$1:$G$49,7,FALSE)</f>
        <v>0.56745000000000001</v>
      </c>
      <c r="N611" t="str">
        <f>TEXT(A611,"mmm yyyy")</f>
        <v>Nov 2020</v>
      </c>
      <c r="O611">
        <f t="shared" si="9"/>
        <v>26.19</v>
      </c>
    </row>
    <row r="612" spans="1:15" x14ac:dyDescent="0.25">
      <c r="A612" s="3">
        <v>43743</v>
      </c>
      <c r="B612" t="s">
        <v>6138</v>
      </c>
      <c r="C612" s="2">
        <v>4</v>
      </c>
      <c r="D612" s="2" t="s">
        <v>3935</v>
      </c>
      <c r="E612" s="2" t="s">
        <v>271</v>
      </c>
      <c r="F612" s="2" t="s">
        <v>19</v>
      </c>
      <c r="G612" t="s">
        <v>6191</v>
      </c>
      <c r="H612" t="str">
        <f>VLOOKUP('Combined table'!B612,products!$A$1:$G$49,2,FALSE)</f>
        <v>Rob</v>
      </c>
      <c r="I612" t="str">
        <f>VLOOKUP('Combined table'!B612,products!$A$1:$G$49,3,FALSE)</f>
        <v>M</v>
      </c>
      <c r="J612">
        <f>VLOOKUP('Combined table'!B612,products!$A$1:$G$49,4,FALSE)</f>
        <v>1</v>
      </c>
      <c r="K612">
        <f>VLOOKUP('Combined table'!B612,products!$A$1:$G$49,5,FALSE)</f>
        <v>9.9499999999999993</v>
      </c>
      <c r="L612">
        <f>VLOOKUP('Combined table'!B612,products!$A$1:$G$49,6,FALSE)</f>
        <v>0.99499999999999988</v>
      </c>
      <c r="M612">
        <f>VLOOKUP('Combined table'!B612,products!$A$1:$G$49,7,FALSE)</f>
        <v>0.59699999999999998</v>
      </c>
      <c r="N612" t="str">
        <f>TEXT(A612,"mmm yyyy")</f>
        <v>Oct 2019</v>
      </c>
      <c r="O612">
        <f t="shared" si="9"/>
        <v>39.799999999999997</v>
      </c>
    </row>
    <row r="613" spans="1:15" x14ac:dyDescent="0.25">
      <c r="A613" s="3">
        <v>43739</v>
      </c>
      <c r="B613" t="s">
        <v>6148</v>
      </c>
      <c r="C613" s="2">
        <v>2</v>
      </c>
      <c r="D613" s="2" t="s">
        <v>3941</v>
      </c>
      <c r="E613" s="2" t="s">
        <v>175</v>
      </c>
      <c r="F613" s="2" t="s">
        <v>19</v>
      </c>
      <c r="G613" t="s">
        <v>6191</v>
      </c>
      <c r="H613" t="str">
        <f>VLOOKUP('Combined table'!B613,products!$A$1:$G$49,2,FALSE)</f>
        <v>Exc</v>
      </c>
      <c r="I613" t="str">
        <f>VLOOKUP('Combined table'!B613,products!$A$1:$G$49,3,FALSE)</f>
        <v>L</v>
      </c>
      <c r="J613">
        <f>VLOOKUP('Combined table'!B613,products!$A$1:$G$49,4,FALSE)</f>
        <v>2.5</v>
      </c>
      <c r="K613">
        <f>VLOOKUP('Combined table'!B613,products!$A$1:$G$49,5,FALSE)</f>
        <v>34.154999999999994</v>
      </c>
      <c r="L613">
        <f>VLOOKUP('Combined table'!B613,products!$A$1:$G$49,6,FALSE)</f>
        <v>1.3661999999999999</v>
      </c>
      <c r="M613">
        <f>VLOOKUP('Combined table'!B613,products!$A$1:$G$49,7,FALSE)</f>
        <v>3.7570499999999996</v>
      </c>
      <c r="N613" t="str">
        <f>TEXT(A613,"mmm yyyy")</f>
        <v>Oct 2019</v>
      </c>
      <c r="O613">
        <f t="shared" si="9"/>
        <v>68.309999999999988</v>
      </c>
    </row>
    <row r="614" spans="1:15" x14ac:dyDescent="0.25">
      <c r="A614" s="3">
        <v>43896</v>
      </c>
      <c r="B614" t="s">
        <v>6152</v>
      </c>
      <c r="C614" s="2">
        <v>4</v>
      </c>
      <c r="D614" s="2" t="s">
        <v>3947</v>
      </c>
      <c r="E614" s="2" t="s">
        <v>289</v>
      </c>
      <c r="F614" s="2" t="s">
        <v>318</v>
      </c>
      <c r="G614" t="s">
        <v>6191</v>
      </c>
      <c r="H614" t="str">
        <f>VLOOKUP('Combined table'!B614,products!$A$1:$G$49,2,FALSE)</f>
        <v>Ara</v>
      </c>
      <c r="I614" t="str">
        <f>VLOOKUP('Combined table'!B614,products!$A$1:$G$49,3,FALSE)</f>
        <v>M</v>
      </c>
      <c r="J614">
        <f>VLOOKUP('Combined table'!B614,products!$A$1:$G$49,4,FALSE)</f>
        <v>0.2</v>
      </c>
      <c r="K614">
        <f>VLOOKUP('Combined table'!B614,products!$A$1:$G$49,5,FALSE)</f>
        <v>3.375</v>
      </c>
      <c r="L614">
        <f>VLOOKUP('Combined table'!B614,products!$A$1:$G$49,6,FALSE)</f>
        <v>1.6875</v>
      </c>
      <c r="M614">
        <f>VLOOKUP('Combined table'!B614,products!$A$1:$G$49,7,FALSE)</f>
        <v>0.30374999999999996</v>
      </c>
      <c r="N614" t="str">
        <f>TEXT(A614,"mmm yyyy")</f>
        <v>Mar 2020</v>
      </c>
      <c r="O614">
        <f t="shared" si="9"/>
        <v>13.5</v>
      </c>
    </row>
    <row r="615" spans="1:15" x14ac:dyDescent="0.25">
      <c r="A615" s="3">
        <v>43761</v>
      </c>
      <c r="B615" t="s">
        <v>6146</v>
      </c>
      <c r="C615" s="2">
        <v>1</v>
      </c>
      <c r="D615" s="2" t="s">
        <v>3952</v>
      </c>
      <c r="E615" s="2" t="s">
        <v>131</v>
      </c>
      <c r="F615" s="2" t="s">
        <v>19</v>
      </c>
      <c r="G615" t="s">
        <v>6191</v>
      </c>
      <c r="H615" t="str">
        <f>VLOOKUP('Combined table'!B615,products!$A$1:$G$49,2,FALSE)</f>
        <v>Rob</v>
      </c>
      <c r="I615" t="str">
        <f>VLOOKUP('Combined table'!B615,products!$A$1:$G$49,3,FALSE)</f>
        <v>M</v>
      </c>
      <c r="J615">
        <f>VLOOKUP('Combined table'!B615,products!$A$1:$G$49,4,FALSE)</f>
        <v>0.5</v>
      </c>
      <c r="K615">
        <f>VLOOKUP('Combined table'!B615,products!$A$1:$G$49,5,FALSE)</f>
        <v>5.97</v>
      </c>
      <c r="L615">
        <f>VLOOKUP('Combined table'!B615,products!$A$1:$G$49,6,FALSE)</f>
        <v>1.194</v>
      </c>
      <c r="M615">
        <f>VLOOKUP('Combined table'!B615,products!$A$1:$G$49,7,FALSE)</f>
        <v>0.35819999999999996</v>
      </c>
      <c r="N615" t="str">
        <f>TEXT(A615,"mmm yyyy")</f>
        <v>Oct 2019</v>
      </c>
      <c r="O615">
        <f t="shared" si="9"/>
        <v>5.97</v>
      </c>
    </row>
    <row r="616" spans="1:15" x14ac:dyDescent="0.25">
      <c r="A616" s="3">
        <v>43944</v>
      </c>
      <c r="B616" t="s">
        <v>6146</v>
      </c>
      <c r="C616" s="2">
        <v>5</v>
      </c>
      <c r="D616" s="2" t="s">
        <v>3957</v>
      </c>
      <c r="E616" s="2" t="s">
        <v>130</v>
      </c>
      <c r="F616" s="2" t="s">
        <v>19</v>
      </c>
      <c r="G616" t="s">
        <v>6191</v>
      </c>
      <c r="H616" t="str">
        <f>VLOOKUP('Combined table'!B616,products!$A$1:$G$49,2,FALSE)</f>
        <v>Rob</v>
      </c>
      <c r="I616" t="str">
        <f>VLOOKUP('Combined table'!B616,products!$A$1:$G$49,3,FALSE)</f>
        <v>M</v>
      </c>
      <c r="J616">
        <f>VLOOKUP('Combined table'!B616,products!$A$1:$G$49,4,FALSE)</f>
        <v>0.5</v>
      </c>
      <c r="K616">
        <f>VLOOKUP('Combined table'!B616,products!$A$1:$G$49,5,FALSE)</f>
        <v>5.97</v>
      </c>
      <c r="L616">
        <f>VLOOKUP('Combined table'!B616,products!$A$1:$G$49,6,FALSE)</f>
        <v>1.194</v>
      </c>
      <c r="M616">
        <f>VLOOKUP('Combined table'!B616,products!$A$1:$G$49,7,FALSE)</f>
        <v>0.35819999999999996</v>
      </c>
      <c r="N616" t="str">
        <f>TEXT(A616,"mmm yyyy")</f>
        <v>Apr 2020</v>
      </c>
      <c r="O616">
        <f t="shared" si="9"/>
        <v>29.849999999999998</v>
      </c>
    </row>
    <row r="617" spans="1:15" x14ac:dyDescent="0.25">
      <c r="A617" s="3">
        <v>44006</v>
      </c>
      <c r="B617" t="s">
        <v>6164</v>
      </c>
      <c r="C617" s="2">
        <v>2</v>
      </c>
      <c r="D617" s="2" t="s">
        <v>3962</v>
      </c>
      <c r="E617" s="2" t="s">
        <v>97</v>
      </c>
      <c r="F617" s="2" t="s">
        <v>19</v>
      </c>
      <c r="G617" t="s">
        <v>6190</v>
      </c>
      <c r="H617" t="str">
        <f>VLOOKUP('Combined table'!B617,products!$A$1:$G$49,2,FALSE)</f>
        <v>Lib</v>
      </c>
      <c r="I617" t="str">
        <f>VLOOKUP('Combined table'!B617,products!$A$1:$G$49,3,FALSE)</f>
        <v>L</v>
      </c>
      <c r="J617">
        <f>VLOOKUP('Combined table'!B617,products!$A$1:$G$49,4,FALSE)</f>
        <v>2.5</v>
      </c>
      <c r="K617">
        <f>VLOOKUP('Combined table'!B617,products!$A$1:$G$49,5,FALSE)</f>
        <v>36.454999999999998</v>
      </c>
      <c r="L617">
        <f>VLOOKUP('Combined table'!B617,products!$A$1:$G$49,6,FALSE)</f>
        <v>1.4581999999999999</v>
      </c>
      <c r="M617">
        <f>VLOOKUP('Combined table'!B617,products!$A$1:$G$49,7,FALSE)</f>
        <v>4.7391499999999995</v>
      </c>
      <c r="N617" t="str">
        <f>TEXT(A617,"mmm yyyy")</f>
        <v>Jun 2020</v>
      </c>
      <c r="O617">
        <f t="shared" si="9"/>
        <v>72.91</v>
      </c>
    </row>
    <row r="618" spans="1:15" x14ac:dyDescent="0.25">
      <c r="A618" s="3">
        <v>44271</v>
      </c>
      <c r="B618" t="s">
        <v>6166</v>
      </c>
      <c r="C618" s="2">
        <v>4</v>
      </c>
      <c r="D618" s="2" t="s">
        <v>3968</v>
      </c>
      <c r="E618" s="2" t="s">
        <v>54</v>
      </c>
      <c r="F618" s="2" t="s">
        <v>28</v>
      </c>
      <c r="G618" t="s">
        <v>6191</v>
      </c>
      <c r="H618" t="str">
        <f>VLOOKUP('Combined table'!B618,products!$A$1:$G$49,2,FALSE)</f>
        <v>Exc</v>
      </c>
      <c r="I618" t="str">
        <f>VLOOKUP('Combined table'!B618,products!$A$1:$G$49,3,FALSE)</f>
        <v>M</v>
      </c>
      <c r="J618">
        <f>VLOOKUP('Combined table'!B618,products!$A$1:$G$49,4,FALSE)</f>
        <v>2.5</v>
      </c>
      <c r="K618">
        <f>VLOOKUP('Combined table'!B618,products!$A$1:$G$49,5,FALSE)</f>
        <v>31.624999999999996</v>
      </c>
      <c r="L618">
        <f>VLOOKUP('Combined table'!B618,products!$A$1:$G$49,6,FALSE)</f>
        <v>1.2649999999999999</v>
      </c>
      <c r="M618">
        <f>VLOOKUP('Combined table'!B618,products!$A$1:$G$49,7,FALSE)</f>
        <v>3.4787499999999998</v>
      </c>
      <c r="N618" t="str">
        <f>TEXT(A618,"mmm yyyy")</f>
        <v>Mar 2021</v>
      </c>
      <c r="O618">
        <f t="shared" si="9"/>
        <v>126.49999999999999</v>
      </c>
    </row>
    <row r="619" spans="1:15" x14ac:dyDescent="0.25">
      <c r="A619" s="3">
        <v>43928</v>
      </c>
      <c r="B619" t="s">
        <v>6181</v>
      </c>
      <c r="C619" s="2">
        <v>1</v>
      </c>
      <c r="D619" s="2" t="s">
        <v>3974</v>
      </c>
      <c r="E619" s="2" t="s">
        <v>90</v>
      </c>
      <c r="F619" s="2" t="s">
        <v>19</v>
      </c>
      <c r="G619" t="s">
        <v>6191</v>
      </c>
      <c r="H619" t="str">
        <f>VLOOKUP('Combined table'!B619,products!$A$1:$G$49,2,FALSE)</f>
        <v>Lib</v>
      </c>
      <c r="I619" t="str">
        <f>VLOOKUP('Combined table'!B619,products!$A$1:$G$49,3,FALSE)</f>
        <v>M</v>
      </c>
      <c r="J619">
        <f>VLOOKUP('Combined table'!B619,products!$A$1:$G$49,4,FALSE)</f>
        <v>2.5</v>
      </c>
      <c r="K619">
        <f>VLOOKUP('Combined table'!B619,products!$A$1:$G$49,5,FALSE)</f>
        <v>33.464999999999996</v>
      </c>
      <c r="L619">
        <f>VLOOKUP('Combined table'!B619,products!$A$1:$G$49,6,FALSE)</f>
        <v>1.3385999999999998</v>
      </c>
      <c r="M619">
        <f>VLOOKUP('Combined table'!B619,products!$A$1:$G$49,7,FALSE)</f>
        <v>4.3504499999999995</v>
      </c>
      <c r="N619" t="str">
        <f>TEXT(A619,"mmm yyyy")</f>
        <v>Apr 2020</v>
      </c>
      <c r="O619">
        <f t="shared" si="9"/>
        <v>33.464999999999996</v>
      </c>
    </row>
    <row r="620" spans="1:15" x14ac:dyDescent="0.25">
      <c r="A620" s="3">
        <v>44469</v>
      </c>
      <c r="B620" t="s">
        <v>6183</v>
      </c>
      <c r="C620" s="2">
        <v>6</v>
      </c>
      <c r="D620" s="2" t="s">
        <v>3980</v>
      </c>
      <c r="E620" s="2" t="s">
        <v>57</v>
      </c>
      <c r="F620" s="2" t="s">
        <v>19</v>
      </c>
      <c r="G620" t="s">
        <v>6190</v>
      </c>
      <c r="H620" t="str">
        <f>VLOOKUP('Combined table'!B620,products!$A$1:$G$49,2,FALSE)</f>
        <v>Exc</v>
      </c>
      <c r="I620" t="str">
        <f>VLOOKUP('Combined table'!B620,products!$A$1:$G$49,3,FALSE)</f>
        <v>D</v>
      </c>
      <c r="J620">
        <f>VLOOKUP('Combined table'!B620,products!$A$1:$G$49,4,FALSE)</f>
        <v>1</v>
      </c>
      <c r="K620">
        <f>VLOOKUP('Combined table'!B620,products!$A$1:$G$49,5,FALSE)</f>
        <v>12.15</v>
      </c>
      <c r="L620">
        <f>VLOOKUP('Combined table'!B620,products!$A$1:$G$49,6,FALSE)</f>
        <v>1.2150000000000001</v>
      </c>
      <c r="M620">
        <f>VLOOKUP('Combined table'!B620,products!$A$1:$G$49,7,FALSE)</f>
        <v>1.3365</v>
      </c>
      <c r="N620" t="str">
        <f>TEXT(A620,"mmm yyyy")</f>
        <v>Sep 2021</v>
      </c>
      <c r="O620">
        <f t="shared" si="9"/>
        <v>72.900000000000006</v>
      </c>
    </row>
    <row r="621" spans="1:15" x14ac:dyDescent="0.25">
      <c r="A621" s="3">
        <v>44682</v>
      </c>
      <c r="B621" t="s">
        <v>6169</v>
      </c>
      <c r="C621" s="2">
        <v>2</v>
      </c>
      <c r="D621" s="2" t="s">
        <v>3986</v>
      </c>
      <c r="E621" s="2" t="s">
        <v>53</v>
      </c>
      <c r="F621" s="2" t="s">
        <v>19</v>
      </c>
      <c r="G621" t="s">
        <v>6190</v>
      </c>
      <c r="H621" t="str">
        <f>VLOOKUP('Combined table'!B621,products!$A$1:$G$49,2,FALSE)</f>
        <v>Lib</v>
      </c>
      <c r="I621" t="str">
        <f>VLOOKUP('Combined table'!B621,products!$A$1:$G$49,3,FALSE)</f>
        <v>D</v>
      </c>
      <c r="J621">
        <f>VLOOKUP('Combined table'!B621,products!$A$1:$G$49,4,FALSE)</f>
        <v>0.5</v>
      </c>
      <c r="K621">
        <f>VLOOKUP('Combined table'!B621,products!$A$1:$G$49,5,FALSE)</f>
        <v>7.77</v>
      </c>
      <c r="L621">
        <f>VLOOKUP('Combined table'!B621,products!$A$1:$G$49,6,FALSE)</f>
        <v>1.5539999999999998</v>
      </c>
      <c r="M621">
        <f>VLOOKUP('Combined table'!B621,products!$A$1:$G$49,7,FALSE)</f>
        <v>1.0101</v>
      </c>
      <c r="N621" t="str">
        <f>TEXT(A621,"mmm yyyy")</f>
        <v>May 2022</v>
      </c>
      <c r="O621">
        <f t="shared" si="9"/>
        <v>15.54</v>
      </c>
    </row>
    <row r="622" spans="1:15" x14ac:dyDescent="0.25">
      <c r="A622" s="3">
        <v>44217</v>
      </c>
      <c r="B622" t="s">
        <v>6152</v>
      </c>
      <c r="C622" s="2">
        <v>6</v>
      </c>
      <c r="D622" s="2" t="s">
        <v>3992</v>
      </c>
      <c r="E622" s="2" t="s">
        <v>2998</v>
      </c>
      <c r="F622" s="2" t="s">
        <v>318</v>
      </c>
      <c r="G622" t="s">
        <v>6191</v>
      </c>
      <c r="H622" t="str">
        <f>VLOOKUP('Combined table'!B622,products!$A$1:$G$49,2,FALSE)</f>
        <v>Ara</v>
      </c>
      <c r="I622" t="str">
        <f>VLOOKUP('Combined table'!B622,products!$A$1:$G$49,3,FALSE)</f>
        <v>M</v>
      </c>
      <c r="J622">
        <f>VLOOKUP('Combined table'!B622,products!$A$1:$G$49,4,FALSE)</f>
        <v>0.2</v>
      </c>
      <c r="K622">
        <f>VLOOKUP('Combined table'!B622,products!$A$1:$G$49,5,FALSE)</f>
        <v>3.375</v>
      </c>
      <c r="L622">
        <f>VLOOKUP('Combined table'!B622,products!$A$1:$G$49,6,FALSE)</f>
        <v>1.6875</v>
      </c>
      <c r="M622">
        <f>VLOOKUP('Combined table'!B622,products!$A$1:$G$49,7,FALSE)</f>
        <v>0.30374999999999996</v>
      </c>
      <c r="N622" t="str">
        <f>TEXT(A622,"mmm yyyy")</f>
        <v>Jan 2021</v>
      </c>
      <c r="O622">
        <f t="shared" si="9"/>
        <v>20.25</v>
      </c>
    </row>
    <row r="623" spans="1:15" x14ac:dyDescent="0.25">
      <c r="A623" s="3">
        <v>44006</v>
      </c>
      <c r="B623" t="s">
        <v>6140</v>
      </c>
      <c r="C623" s="2">
        <v>6</v>
      </c>
      <c r="D623" s="2" t="s">
        <v>3998</v>
      </c>
      <c r="E623" s="2" t="s">
        <v>189</v>
      </c>
      <c r="F623" s="2" t="s">
        <v>19</v>
      </c>
      <c r="G623" t="s">
        <v>6191</v>
      </c>
      <c r="H623" t="str">
        <f>VLOOKUP('Combined table'!B623,products!$A$1:$G$49,2,FALSE)</f>
        <v>Ara</v>
      </c>
      <c r="I623" t="str">
        <f>VLOOKUP('Combined table'!B623,products!$A$1:$G$49,3,FALSE)</f>
        <v>L</v>
      </c>
      <c r="J623">
        <f>VLOOKUP('Combined table'!B623,products!$A$1:$G$49,4,FALSE)</f>
        <v>1</v>
      </c>
      <c r="K623">
        <f>VLOOKUP('Combined table'!B623,products!$A$1:$G$49,5,FALSE)</f>
        <v>12.95</v>
      </c>
      <c r="L623">
        <f>VLOOKUP('Combined table'!B623,products!$A$1:$G$49,6,FALSE)</f>
        <v>1.2949999999999999</v>
      </c>
      <c r="M623">
        <f>VLOOKUP('Combined table'!B623,products!$A$1:$G$49,7,FALSE)</f>
        <v>1.1655</v>
      </c>
      <c r="N623" t="str">
        <f>TEXT(A623,"mmm yyyy")</f>
        <v>Jun 2020</v>
      </c>
      <c r="O623">
        <f t="shared" si="9"/>
        <v>77.699999999999989</v>
      </c>
    </row>
    <row r="624" spans="1:15" x14ac:dyDescent="0.25">
      <c r="A624" s="3">
        <v>43527</v>
      </c>
      <c r="B624" t="s">
        <v>6181</v>
      </c>
      <c r="C624" s="2">
        <v>4</v>
      </c>
      <c r="D624" s="2" t="s">
        <v>4004</v>
      </c>
      <c r="E624" s="2" t="s">
        <v>107</v>
      </c>
      <c r="F624" s="2" t="s">
        <v>19</v>
      </c>
      <c r="G624" t="s">
        <v>6191</v>
      </c>
      <c r="H624" t="str">
        <f>VLOOKUP('Combined table'!B624,products!$A$1:$G$49,2,FALSE)</f>
        <v>Lib</v>
      </c>
      <c r="I624" t="str">
        <f>VLOOKUP('Combined table'!B624,products!$A$1:$G$49,3,FALSE)</f>
        <v>M</v>
      </c>
      <c r="J624">
        <f>VLOOKUP('Combined table'!B624,products!$A$1:$G$49,4,FALSE)</f>
        <v>2.5</v>
      </c>
      <c r="K624">
        <f>VLOOKUP('Combined table'!B624,products!$A$1:$G$49,5,FALSE)</f>
        <v>33.464999999999996</v>
      </c>
      <c r="L624">
        <f>VLOOKUP('Combined table'!B624,products!$A$1:$G$49,6,FALSE)</f>
        <v>1.3385999999999998</v>
      </c>
      <c r="M624">
        <f>VLOOKUP('Combined table'!B624,products!$A$1:$G$49,7,FALSE)</f>
        <v>4.3504499999999995</v>
      </c>
      <c r="N624" t="str">
        <f>TEXT(A624,"mmm yyyy")</f>
        <v>Mar 2019</v>
      </c>
      <c r="O624">
        <f t="shared" si="9"/>
        <v>133.85999999999999</v>
      </c>
    </row>
    <row r="625" spans="1:15" x14ac:dyDescent="0.25">
      <c r="A625" s="3">
        <v>44224</v>
      </c>
      <c r="B625" t="s">
        <v>6183</v>
      </c>
      <c r="C625" s="2">
        <v>1</v>
      </c>
      <c r="D625" s="2" t="s">
        <v>4009</v>
      </c>
      <c r="E625" s="2" t="s">
        <v>100</v>
      </c>
      <c r="F625" s="2" t="s">
        <v>28</v>
      </c>
      <c r="G625" t="s">
        <v>6191</v>
      </c>
      <c r="H625" t="str">
        <f>VLOOKUP('Combined table'!B625,products!$A$1:$G$49,2,FALSE)</f>
        <v>Exc</v>
      </c>
      <c r="I625" t="str">
        <f>VLOOKUP('Combined table'!B625,products!$A$1:$G$49,3,FALSE)</f>
        <v>D</v>
      </c>
      <c r="J625">
        <f>VLOOKUP('Combined table'!B625,products!$A$1:$G$49,4,FALSE)</f>
        <v>1</v>
      </c>
      <c r="K625">
        <f>VLOOKUP('Combined table'!B625,products!$A$1:$G$49,5,FALSE)</f>
        <v>12.15</v>
      </c>
      <c r="L625">
        <f>VLOOKUP('Combined table'!B625,products!$A$1:$G$49,6,FALSE)</f>
        <v>1.2150000000000001</v>
      </c>
      <c r="M625">
        <f>VLOOKUP('Combined table'!B625,products!$A$1:$G$49,7,FALSE)</f>
        <v>1.3365</v>
      </c>
      <c r="N625" t="str">
        <f>TEXT(A625,"mmm yyyy")</f>
        <v>Jan 2021</v>
      </c>
      <c r="O625">
        <f t="shared" si="9"/>
        <v>12.15</v>
      </c>
    </row>
    <row r="626" spans="1:15" x14ac:dyDescent="0.25">
      <c r="A626" s="3">
        <v>44010</v>
      </c>
      <c r="B626" t="s">
        <v>6166</v>
      </c>
      <c r="C626" s="2">
        <v>2</v>
      </c>
      <c r="D626" s="2" t="s">
        <v>4014</v>
      </c>
      <c r="E626" s="2" t="s">
        <v>339</v>
      </c>
      <c r="F626" s="2" t="s">
        <v>318</v>
      </c>
      <c r="G626" t="s">
        <v>6190</v>
      </c>
      <c r="H626" t="str">
        <f>VLOOKUP('Combined table'!B626,products!$A$1:$G$49,2,FALSE)</f>
        <v>Exc</v>
      </c>
      <c r="I626" t="str">
        <f>VLOOKUP('Combined table'!B626,products!$A$1:$G$49,3,FALSE)</f>
        <v>M</v>
      </c>
      <c r="J626">
        <f>VLOOKUP('Combined table'!B626,products!$A$1:$G$49,4,FALSE)</f>
        <v>2.5</v>
      </c>
      <c r="K626">
        <f>VLOOKUP('Combined table'!B626,products!$A$1:$G$49,5,FALSE)</f>
        <v>31.624999999999996</v>
      </c>
      <c r="L626">
        <f>VLOOKUP('Combined table'!B626,products!$A$1:$G$49,6,FALSE)</f>
        <v>1.2649999999999999</v>
      </c>
      <c r="M626">
        <f>VLOOKUP('Combined table'!B626,products!$A$1:$G$49,7,FALSE)</f>
        <v>3.4787499999999998</v>
      </c>
      <c r="N626" t="str">
        <f>TEXT(A626,"mmm yyyy")</f>
        <v>Jun 2020</v>
      </c>
      <c r="O626">
        <f t="shared" si="9"/>
        <v>63.249999999999993</v>
      </c>
    </row>
    <row r="627" spans="1:15" x14ac:dyDescent="0.25">
      <c r="A627" s="3">
        <v>44017</v>
      </c>
      <c r="B627" t="s">
        <v>6173</v>
      </c>
      <c r="C627" s="2">
        <v>5</v>
      </c>
      <c r="D627" s="2" t="s">
        <v>4019</v>
      </c>
      <c r="E627" s="2" t="s">
        <v>150</v>
      </c>
      <c r="F627" s="2" t="s">
        <v>19</v>
      </c>
      <c r="G627" t="s">
        <v>6191</v>
      </c>
      <c r="H627" t="str">
        <f>VLOOKUP('Combined table'!B627,products!$A$1:$G$49,2,FALSE)</f>
        <v>Rob</v>
      </c>
      <c r="I627" t="str">
        <f>VLOOKUP('Combined table'!B627,products!$A$1:$G$49,3,FALSE)</f>
        <v>L</v>
      </c>
      <c r="J627">
        <f>VLOOKUP('Combined table'!B627,products!$A$1:$G$49,4,FALSE)</f>
        <v>0.5</v>
      </c>
      <c r="K627">
        <f>VLOOKUP('Combined table'!B627,products!$A$1:$G$49,5,FALSE)</f>
        <v>7.169999999999999</v>
      </c>
      <c r="L627">
        <f>VLOOKUP('Combined table'!B627,products!$A$1:$G$49,6,FALSE)</f>
        <v>1.4339999999999997</v>
      </c>
      <c r="M627">
        <f>VLOOKUP('Combined table'!B627,products!$A$1:$G$49,7,FALSE)</f>
        <v>0.43019999999999992</v>
      </c>
      <c r="N627" t="str">
        <f>TEXT(A627,"mmm yyyy")</f>
        <v>Jul 2020</v>
      </c>
      <c r="O627">
        <f t="shared" si="9"/>
        <v>35.849999999999994</v>
      </c>
    </row>
    <row r="628" spans="1:15" x14ac:dyDescent="0.25">
      <c r="A628" s="3">
        <v>43526</v>
      </c>
      <c r="B628" t="s">
        <v>6175</v>
      </c>
      <c r="C628" s="2">
        <v>3</v>
      </c>
      <c r="D628" s="2" t="s">
        <v>4025</v>
      </c>
      <c r="E628" s="2" t="s">
        <v>108</v>
      </c>
      <c r="F628" s="2" t="s">
        <v>19</v>
      </c>
      <c r="G628" t="s">
        <v>6191</v>
      </c>
      <c r="H628" t="str">
        <f>VLOOKUP('Combined table'!B628,products!$A$1:$G$49,2,FALSE)</f>
        <v>Ara</v>
      </c>
      <c r="I628" t="str">
        <f>VLOOKUP('Combined table'!B628,products!$A$1:$G$49,3,FALSE)</f>
        <v>M</v>
      </c>
      <c r="J628">
        <f>VLOOKUP('Combined table'!B628,products!$A$1:$G$49,4,FALSE)</f>
        <v>2.5</v>
      </c>
      <c r="K628">
        <f>VLOOKUP('Combined table'!B628,products!$A$1:$G$49,5,FALSE)</f>
        <v>25.874999999999996</v>
      </c>
      <c r="L628">
        <f>VLOOKUP('Combined table'!B628,products!$A$1:$G$49,6,FALSE)</f>
        <v>1.0349999999999999</v>
      </c>
      <c r="M628">
        <f>VLOOKUP('Combined table'!B628,products!$A$1:$G$49,7,FALSE)</f>
        <v>2.3287499999999994</v>
      </c>
      <c r="N628" t="str">
        <f>TEXT(A628,"mmm yyyy")</f>
        <v>Mar 2019</v>
      </c>
      <c r="O628">
        <f t="shared" si="9"/>
        <v>77.624999999999986</v>
      </c>
    </row>
    <row r="629" spans="1:15" x14ac:dyDescent="0.25">
      <c r="A629" s="3">
        <v>44682</v>
      </c>
      <c r="B629" t="s">
        <v>6166</v>
      </c>
      <c r="C629" s="2">
        <v>2</v>
      </c>
      <c r="D629" s="2" t="s">
        <v>4031</v>
      </c>
      <c r="E629" s="2" t="s">
        <v>63</v>
      </c>
      <c r="F629" s="2" t="s">
        <v>19</v>
      </c>
      <c r="G629" t="s">
        <v>6190</v>
      </c>
      <c r="H629" t="str">
        <f>VLOOKUP('Combined table'!B629,products!$A$1:$G$49,2,FALSE)</f>
        <v>Exc</v>
      </c>
      <c r="I629" t="str">
        <f>VLOOKUP('Combined table'!B629,products!$A$1:$G$49,3,FALSE)</f>
        <v>M</v>
      </c>
      <c r="J629">
        <f>VLOOKUP('Combined table'!B629,products!$A$1:$G$49,4,FALSE)</f>
        <v>2.5</v>
      </c>
      <c r="K629">
        <f>VLOOKUP('Combined table'!B629,products!$A$1:$G$49,5,FALSE)</f>
        <v>31.624999999999996</v>
      </c>
      <c r="L629">
        <f>VLOOKUP('Combined table'!B629,products!$A$1:$G$49,6,FALSE)</f>
        <v>1.2649999999999999</v>
      </c>
      <c r="M629">
        <f>VLOOKUP('Combined table'!B629,products!$A$1:$G$49,7,FALSE)</f>
        <v>3.4787499999999998</v>
      </c>
      <c r="N629" t="str">
        <f>TEXT(A629,"mmm yyyy")</f>
        <v>May 2022</v>
      </c>
      <c r="O629">
        <f t="shared" si="9"/>
        <v>63.249999999999993</v>
      </c>
    </row>
    <row r="630" spans="1:15" x14ac:dyDescent="0.25">
      <c r="A630" s="3">
        <v>44680</v>
      </c>
      <c r="B630" t="s">
        <v>6184</v>
      </c>
      <c r="C630" s="2">
        <v>6</v>
      </c>
      <c r="D630" s="2" t="s">
        <v>4037</v>
      </c>
      <c r="E630" s="2" t="s">
        <v>4041</v>
      </c>
      <c r="F630" s="2" t="s">
        <v>318</v>
      </c>
      <c r="G630" t="s">
        <v>6190</v>
      </c>
      <c r="H630" t="str">
        <f>VLOOKUP('Combined table'!B630,products!$A$1:$G$49,2,FALSE)</f>
        <v>Exc</v>
      </c>
      <c r="I630" t="str">
        <f>VLOOKUP('Combined table'!B630,products!$A$1:$G$49,3,FALSE)</f>
        <v>L</v>
      </c>
      <c r="J630">
        <f>VLOOKUP('Combined table'!B630,products!$A$1:$G$49,4,FALSE)</f>
        <v>0.2</v>
      </c>
      <c r="K630">
        <f>VLOOKUP('Combined table'!B630,products!$A$1:$G$49,5,FALSE)</f>
        <v>4.4550000000000001</v>
      </c>
      <c r="L630">
        <f>VLOOKUP('Combined table'!B630,products!$A$1:$G$49,6,FALSE)</f>
        <v>2.2275</v>
      </c>
      <c r="M630">
        <f>VLOOKUP('Combined table'!B630,products!$A$1:$G$49,7,FALSE)</f>
        <v>0.49004999999999999</v>
      </c>
      <c r="N630" t="str">
        <f>TEXT(A630,"mmm yyyy")</f>
        <v>Apr 2022</v>
      </c>
      <c r="O630">
        <f t="shared" si="9"/>
        <v>26.73</v>
      </c>
    </row>
    <row r="631" spans="1:15" x14ac:dyDescent="0.25">
      <c r="A631" s="3">
        <v>44680</v>
      </c>
      <c r="B631" t="s">
        <v>6169</v>
      </c>
      <c r="C631" s="2">
        <v>4</v>
      </c>
      <c r="D631" s="2" t="s">
        <v>4043</v>
      </c>
      <c r="E631" s="2" t="s">
        <v>271</v>
      </c>
      <c r="F631" s="2" t="s">
        <v>19</v>
      </c>
      <c r="G631" t="s">
        <v>6191</v>
      </c>
      <c r="H631" t="str">
        <f>VLOOKUP('Combined table'!B631,products!$A$1:$G$49,2,FALSE)</f>
        <v>Lib</v>
      </c>
      <c r="I631" t="str">
        <f>VLOOKUP('Combined table'!B631,products!$A$1:$G$49,3,FALSE)</f>
        <v>D</v>
      </c>
      <c r="J631">
        <f>VLOOKUP('Combined table'!B631,products!$A$1:$G$49,4,FALSE)</f>
        <v>0.5</v>
      </c>
      <c r="K631">
        <f>VLOOKUP('Combined table'!B631,products!$A$1:$G$49,5,FALSE)</f>
        <v>7.77</v>
      </c>
      <c r="L631">
        <f>VLOOKUP('Combined table'!B631,products!$A$1:$G$49,6,FALSE)</f>
        <v>1.5539999999999998</v>
      </c>
      <c r="M631">
        <f>VLOOKUP('Combined table'!B631,products!$A$1:$G$49,7,FALSE)</f>
        <v>1.0101</v>
      </c>
      <c r="N631" t="str">
        <f>TEXT(A631,"mmm yyyy")</f>
        <v>Apr 2022</v>
      </c>
      <c r="O631">
        <f t="shared" si="9"/>
        <v>31.08</v>
      </c>
    </row>
    <row r="632" spans="1:15" x14ac:dyDescent="0.25">
      <c r="A632" s="3">
        <v>44680</v>
      </c>
      <c r="B632" t="s">
        <v>6154</v>
      </c>
      <c r="C632" s="2">
        <v>1</v>
      </c>
      <c r="D632" s="2" t="s">
        <v>4047</v>
      </c>
      <c r="E632" s="2" t="s">
        <v>190</v>
      </c>
      <c r="F632" s="2" t="s">
        <v>19</v>
      </c>
      <c r="G632" t="s">
        <v>6191</v>
      </c>
      <c r="H632" t="str">
        <f>VLOOKUP('Combined table'!B632,products!$A$1:$G$49,2,FALSE)</f>
        <v>Ara</v>
      </c>
      <c r="I632" t="str">
        <f>VLOOKUP('Combined table'!B632,products!$A$1:$G$49,3,FALSE)</f>
        <v>D</v>
      </c>
      <c r="J632">
        <f>VLOOKUP('Combined table'!B632,products!$A$1:$G$49,4,FALSE)</f>
        <v>0.2</v>
      </c>
      <c r="K632">
        <f>VLOOKUP('Combined table'!B632,products!$A$1:$G$49,5,FALSE)</f>
        <v>2.9849999999999999</v>
      </c>
      <c r="L632">
        <f>VLOOKUP('Combined table'!B632,products!$A$1:$G$49,6,FALSE)</f>
        <v>1.4924999999999999</v>
      </c>
      <c r="M632">
        <f>VLOOKUP('Combined table'!B632,products!$A$1:$G$49,7,FALSE)</f>
        <v>0.26865</v>
      </c>
      <c r="N632" t="str">
        <f>TEXT(A632,"mmm yyyy")</f>
        <v>Apr 2022</v>
      </c>
      <c r="O632">
        <f t="shared" si="9"/>
        <v>2.9849999999999999</v>
      </c>
    </row>
    <row r="633" spans="1:15" x14ac:dyDescent="0.25">
      <c r="A633" s="3">
        <v>44680</v>
      </c>
      <c r="B633" t="s">
        <v>6149</v>
      </c>
      <c r="C633" s="2">
        <v>5</v>
      </c>
      <c r="D633" s="2" t="s">
        <v>4052</v>
      </c>
      <c r="E633" s="2" t="s">
        <v>488</v>
      </c>
      <c r="F633" s="2" t="s">
        <v>318</v>
      </c>
      <c r="G633" t="s">
        <v>6190</v>
      </c>
      <c r="H633" t="str">
        <f>VLOOKUP('Combined table'!B633,products!$A$1:$G$49,2,FALSE)</f>
        <v>Rob</v>
      </c>
      <c r="I633" t="str">
        <f>VLOOKUP('Combined table'!B633,products!$A$1:$G$49,3,FALSE)</f>
        <v>D</v>
      </c>
      <c r="J633">
        <f>VLOOKUP('Combined table'!B633,products!$A$1:$G$49,4,FALSE)</f>
        <v>2.5</v>
      </c>
      <c r="K633">
        <f>VLOOKUP('Combined table'!B633,products!$A$1:$G$49,5,FALSE)</f>
        <v>20.584999999999997</v>
      </c>
      <c r="L633">
        <f>VLOOKUP('Combined table'!B633,products!$A$1:$G$49,6,FALSE)</f>
        <v>0.82339999999999991</v>
      </c>
      <c r="M633">
        <f>VLOOKUP('Combined table'!B633,products!$A$1:$G$49,7,FALSE)</f>
        <v>1.2350999999999999</v>
      </c>
      <c r="N633" t="str">
        <f>TEXT(A633,"mmm yyyy")</f>
        <v>Apr 2022</v>
      </c>
      <c r="O633">
        <f t="shared" si="9"/>
        <v>102.92499999999998</v>
      </c>
    </row>
    <row r="634" spans="1:15" x14ac:dyDescent="0.25">
      <c r="A634" s="3">
        <v>44049</v>
      </c>
      <c r="B634" t="s">
        <v>6176</v>
      </c>
      <c r="C634" s="2">
        <v>4</v>
      </c>
      <c r="D634" s="2" t="s">
        <v>4058</v>
      </c>
      <c r="E634" s="2" t="s">
        <v>27</v>
      </c>
      <c r="F634" s="2" t="s">
        <v>19</v>
      </c>
      <c r="G634" t="s">
        <v>6191</v>
      </c>
      <c r="H634" t="str">
        <f>VLOOKUP('Combined table'!B634,products!$A$1:$G$49,2,FALSE)</f>
        <v>Exc</v>
      </c>
      <c r="I634" t="str">
        <f>VLOOKUP('Combined table'!B634,products!$A$1:$G$49,3,FALSE)</f>
        <v>L</v>
      </c>
      <c r="J634">
        <f>VLOOKUP('Combined table'!B634,products!$A$1:$G$49,4,FALSE)</f>
        <v>0.5</v>
      </c>
      <c r="K634">
        <f>VLOOKUP('Combined table'!B634,products!$A$1:$G$49,5,FALSE)</f>
        <v>8.91</v>
      </c>
      <c r="L634">
        <f>VLOOKUP('Combined table'!B634,products!$A$1:$G$49,6,FALSE)</f>
        <v>1.782</v>
      </c>
      <c r="M634">
        <f>VLOOKUP('Combined table'!B634,products!$A$1:$G$49,7,FALSE)</f>
        <v>0.98009999999999997</v>
      </c>
      <c r="N634" t="str">
        <f>TEXT(A634,"mmm yyyy")</f>
        <v>Aug 2020</v>
      </c>
      <c r="O634">
        <f t="shared" si="9"/>
        <v>35.64</v>
      </c>
    </row>
    <row r="635" spans="1:15" x14ac:dyDescent="0.25">
      <c r="A635" s="3">
        <v>43820</v>
      </c>
      <c r="B635" t="s">
        <v>6179</v>
      </c>
      <c r="C635" s="2">
        <v>4</v>
      </c>
      <c r="D635" s="2" t="s">
        <v>4064</v>
      </c>
      <c r="E635" s="2" t="s">
        <v>202</v>
      </c>
      <c r="F635" s="2" t="s">
        <v>19</v>
      </c>
      <c r="G635" t="s">
        <v>6191</v>
      </c>
      <c r="H635" t="str">
        <f>VLOOKUP('Combined table'!B635,products!$A$1:$G$49,2,FALSE)</f>
        <v>Rob</v>
      </c>
      <c r="I635" t="str">
        <f>VLOOKUP('Combined table'!B635,products!$A$1:$G$49,3,FALSE)</f>
        <v>L</v>
      </c>
      <c r="J635">
        <f>VLOOKUP('Combined table'!B635,products!$A$1:$G$49,4,FALSE)</f>
        <v>1</v>
      </c>
      <c r="K635">
        <f>VLOOKUP('Combined table'!B635,products!$A$1:$G$49,5,FALSE)</f>
        <v>11.95</v>
      </c>
      <c r="L635">
        <f>VLOOKUP('Combined table'!B635,products!$A$1:$G$49,6,FALSE)</f>
        <v>1.1949999999999998</v>
      </c>
      <c r="M635">
        <f>VLOOKUP('Combined table'!B635,products!$A$1:$G$49,7,FALSE)</f>
        <v>0.71699999999999997</v>
      </c>
      <c r="N635" t="str">
        <f>TEXT(A635,"mmm yyyy")</f>
        <v>Dec 2019</v>
      </c>
      <c r="O635">
        <f t="shared" si="9"/>
        <v>47.8</v>
      </c>
    </row>
    <row r="636" spans="1:15" x14ac:dyDescent="0.25">
      <c r="A636" s="3">
        <v>43940</v>
      </c>
      <c r="B636" t="s">
        <v>6162</v>
      </c>
      <c r="C636" s="2">
        <v>3</v>
      </c>
      <c r="D636" s="2" t="s">
        <v>4070</v>
      </c>
      <c r="E636" s="2" t="s">
        <v>190</v>
      </c>
      <c r="F636" s="2" t="s">
        <v>19</v>
      </c>
      <c r="G636" t="s">
        <v>6191</v>
      </c>
      <c r="H636" t="str">
        <f>VLOOKUP('Combined table'!B636,products!$A$1:$G$49,2,FALSE)</f>
        <v>Lib</v>
      </c>
      <c r="I636" t="str">
        <f>VLOOKUP('Combined table'!B636,products!$A$1:$G$49,3,FALSE)</f>
        <v>M</v>
      </c>
      <c r="J636">
        <f>VLOOKUP('Combined table'!B636,products!$A$1:$G$49,4,FALSE)</f>
        <v>1</v>
      </c>
      <c r="K636">
        <f>VLOOKUP('Combined table'!B636,products!$A$1:$G$49,5,FALSE)</f>
        <v>14.55</v>
      </c>
      <c r="L636">
        <f>VLOOKUP('Combined table'!B636,products!$A$1:$G$49,6,FALSE)</f>
        <v>1.4550000000000001</v>
      </c>
      <c r="M636">
        <f>VLOOKUP('Combined table'!B636,products!$A$1:$G$49,7,FALSE)</f>
        <v>1.8915000000000002</v>
      </c>
      <c r="N636" t="str">
        <f>TEXT(A636,"mmm yyyy")</f>
        <v>Apr 2020</v>
      </c>
      <c r="O636">
        <f t="shared" si="9"/>
        <v>43.650000000000006</v>
      </c>
    </row>
    <row r="637" spans="1:15" x14ac:dyDescent="0.25">
      <c r="A637" s="3">
        <v>44578</v>
      </c>
      <c r="B637" t="s">
        <v>6176</v>
      </c>
      <c r="C637" s="2">
        <v>4</v>
      </c>
      <c r="D637" s="2" t="s">
        <v>4076</v>
      </c>
      <c r="E637" s="2" t="s">
        <v>37</v>
      </c>
      <c r="F637" s="2" t="s">
        <v>19</v>
      </c>
      <c r="G637" t="s">
        <v>6190</v>
      </c>
      <c r="H637" t="str">
        <f>VLOOKUP('Combined table'!B637,products!$A$1:$G$49,2,FALSE)</f>
        <v>Exc</v>
      </c>
      <c r="I637" t="str">
        <f>VLOOKUP('Combined table'!B637,products!$A$1:$G$49,3,FALSE)</f>
        <v>L</v>
      </c>
      <c r="J637">
        <f>VLOOKUP('Combined table'!B637,products!$A$1:$G$49,4,FALSE)</f>
        <v>0.5</v>
      </c>
      <c r="K637">
        <f>VLOOKUP('Combined table'!B637,products!$A$1:$G$49,5,FALSE)</f>
        <v>8.91</v>
      </c>
      <c r="L637">
        <f>VLOOKUP('Combined table'!B637,products!$A$1:$G$49,6,FALSE)</f>
        <v>1.782</v>
      </c>
      <c r="M637">
        <f>VLOOKUP('Combined table'!B637,products!$A$1:$G$49,7,FALSE)</f>
        <v>0.98009999999999997</v>
      </c>
      <c r="N637" t="str">
        <f>TEXT(A637,"mmm yyyy")</f>
        <v>Jan 2022</v>
      </c>
      <c r="O637">
        <f t="shared" si="9"/>
        <v>35.64</v>
      </c>
    </row>
    <row r="638" spans="1:15" x14ac:dyDescent="0.25">
      <c r="A638" s="3">
        <v>43487</v>
      </c>
      <c r="B638" t="s">
        <v>6170</v>
      </c>
      <c r="C638" s="2">
        <v>6</v>
      </c>
      <c r="D638" s="2" t="s">
        <v>4082</v>
      </c>
      <c r="E638" s="2" t="s">
        <v>88</v>
      </c>
      <c r="F638" s="2" t="s">
        <v>19</v>
      </c>
      <c r="G638" t="s">
        <v>6190</v>
      </c>
      <c r="H638" t="str">
        <f>VLOOKUP('Combined table'!B638,products!$A$1:$G$49,2,FALSE)</f>
        <v>Lib</v>
      </c>
      <c r="I638" t="str">
        <f>VLOOKUP('Combined table'!B638,products!$A$1:$G$49,3,FALSE)</f>
        <v>L</v>
      </c>
      <c r="J638">
        <f>VLOOKUP('Combined table'!B638,products!$A$1:$G$49,4,FALSE)</f>
        <v>1</v>
      </c>
      <c r="K638">
        <f>VLOOKUP('Combined table'!B638,products!$A$1:$G$49,5,FALSE)</f>
        <v>15.85</v>
      </c>
      <c r="L638">
        <f>VLOOKUP('Combined table'!B638,products!$A$1:$G$49,6,FALSE)</f>
        <v>1.585</v>
      </c>
      <c r="M638">
        <f>VLOOKUP('Combined table'!B638,products!$A$1:$G$49,7,FALSE)</f>
        <v>2.0605000000000002</v>
      </c>
      <c r="N638" t="str">
        <f>TEXT(A638,"mmm yyyy")</f>
        <v>Jan 2019</v>
      </c>
      <c r="O638">
        <f t="shared" si="9"/>
        <v>95.1</v>
      </c>
    </row>
    <row r="639" spans="1:15" x14ac:dyDescent="0.25">
      <c r="A639" s="3">
        <v>43889</v>
      </c>
      <c r="B639" t="s">
        <v>6166</v>
      </c>
      <c r="C639" s="2">
        <v>1</v>
      </c>
      <c r="D639" s="2" t="s">
        <v>4088</v>
      </c>
      <c r="E639" s="2" t="s">
        <v>4092</v>
      </c>
      <c r="F639" s="2" t="s">
        <v>318</v>
      </c>
      <c r="G639" t="s">
        <v>6190</v>
      </c>
      <c r="H639" t="str">
        <f>VLOOKUP('Combined table'!B639,products!$A$1:$G$49,2,FALSE)</f>
        <v>Exc</v>
      </c>
      <c r="I639" t="str">
        <f>VLOOKUP('Combined table'!B639,products!$A$1:$G$49,3,FALSE)</f>
        <v>M</v>
      </c>
      <c r="J639">
        <f>VLOOKUP('Combined table'!B639,products!$A$1:$G$49,4,FALSE)</f>
        <v>2.5</v>
      </c>
      <c r="K639">
        <f>VLOOKUP('Combined table'!B639,products!$A$1:$G$49,5,FALSE)</f>
        <v>31.624999999999996</v>
      </c>
      <c r="L639">
        <f>VLOOKUP('Combined table'!B639,products!$A$1:$G$49,6,FALSE)</f>
        <v>1.2649999999999999</v>
      </c>
      <c r="M639">
        <f>VLOOKUP('Combined table'!B639,products!$A$1:$G$49,7,FALSE)</f>
        <v>3.4787499999999998</v>
      </c>
      <c r="N639" t="str">
        <f>TEXT(A639,"mmm yyyy")</f>
        <v>Feb 2020</v>
      </c>
      <c r="O639">
        <f t="shared" si="9"/>
        <v>31.624999999999996</v>
      </c>
    </row>
    <row r="640" spans="1:15" x14ac:dyDescent="0.25">
      <c r="A640" s="3">
        <v>43684</v>
      </c>
      <c r="B640" t="s">
        <v>6175</v>
      </c>
      <c r="C640" s="2">
        <v>3</v>
      </c>
      <c r="D640" s="2" t="s">
        <v>4095</v>
      </c>
      <c r="E640" s="2" t="s">
        <v>3664</v>
      </c>
      <c r="F640" s="2" t="s">
        <v>318</v>
      </c>
      <c r="G640" t="s">
        <v>6190</v>
      </c>
      <c r="H640" t="str">
        <f>VLOOKUP('Combined table'!B640,products!$A$1:$G$49,2,FALSE)</f>
        <v>Ara</v>
      </c>
      <c r="I640" t="str">
        <f>VLOOKUP('Combined table'!B640,products!$A$1:$G$49,3,FALSE)</f>
        <v>M</v>
      </c>
      <c r="J640">
        <f>VLOOKUP('Combined table'!B640,products!$A$1:$G$49,4,FALSE)</f>
        <v>2.5</v>
      </c>
      <c r="K640">
        <f>VLOOKUP('Combined table'!B640,products!$A$1:$G$49,5,FALSE)</f>
        <v>25.874999999999996</v>
      </c>
      <c r="L640">
        <f>VLOOKUP('Combined table'!B640,products!$A$1:$G$49,6,FALSE)</f>
        <v>1.0349999999999999</v>
      </c>
      <c r="M640">
        <f>VLOOKUP('Combined table'!B640,products!$A$1:$G$49,7,FALSE)</f>
        <v>2.3287499999999994</v>
      </c>
      <c r="N640" t="str">
        <f>TEXT(A640,"mmm yyyy")</f>
        <v>Aug 2019</v>
      </c>
      <c r="O640">
        <f t="shared" si="9"/>
        <v>77.624999999999986</v>
      </c>
    </row>
    <row r="641" spans="1:15" x14ac:dyDescent="0.25">
      <c r="A641" s="3">
        <v>44331</v>
      </c>
      <c r="B641" t="s">
        <v>6150</v>
      </c>
      <c r="C641" s="2">
        <v>1</v>
      </c>
      <c r="D641" s="2" t="s">
        <v>4100</v>
      </c>
      <c r="E641" s="2" t="s">
        <v>179</v>
      </c>
      <c r="F641" s="2" t="s">
        <v>19</v>
      </c>
      <c r="G641" t="s">
        <v>6190</v>
      </c>
      <c r="H641" t="str">
        <f>VLOOKUP('Combined table'!B641,products!$A$1:$G$49,2,FALSE)</f>
        <v>Lib</v>
      </c>
      <c r="I641" t="str">
        <f>VLOOKUP('Combined table'!B641,products!$A$1:$G$49,3,FALSE)</f>
        <v>D</v>
      </c>
      <c r="J641">
        <f>VLOOKUP('Combined table'!B641,products!$A$1:$G$49,4,FALSE)</f>
        <v>0.2</v>
      </c>
      <c r="K641">
        <f>VLOOKUP('Combined table'!B641,products!$A$1:$G$49,5,FALSE)</f>
        <v>3.8849999999999998</v>
      </c>
      <c r="L641">
        <f>VLOOKUP('Combined table'!B641,products!$A$1:$G$49,6,FALSE)</f>
        <v>1.9424999999999999</v>
      </c>
      <c r="M641">
        <f>VLOOKUP('Combined table'!B641,products!$A$1:$G$49,7,FALSE)</f>
        <v>0.50505</v>
      </c>
      <c r="N641" t="str">
        <f>TEXT(A641,"mmm yyyy")</f>
        <v>May 2021</v>
      </c>
      <c r="O641">
        <f t="shared" si="9"/>
        <v>3.8849999999999998</v>
      </c>
    </row>
    <row r="642" spans="1:15" x14ac:dyDescent="0.25">
      <c r="A642" s="3">
        <v>44547</v>
      </c>
      <c r="B642" t="s">
        <v>6142</v>
      </c>
      <c r="C642" s="2">
        <v>5</v>
      </c>
      <c r="D642" s="2" t="s">
        <v>4106</v>
      </c>
      <c r="E642" s="2" t="s">
        <v>280</v>
      </c>
      <c r="F642" s="2" t="s">
        <v>28</v>
      </c>
      <c r="G642" t="s">
        <v>6191</v>
      </c>
      <c r="H642" t="str">
        <f>VLOOKUP('Combined table'!B642,products!$A$1:$G$49,2,FALSE)</f>
        <v>Rob</v>
      </c>
      <c r="I642" t="str">
        <f>VLOOKUP('Combined table'!B642,products!$A$1:$G$49,3,FALSE)</f>
        <v>L</v>
      </c>
      <c r="J642">
        <f>VLOOKUP('Combined table'!B642,products!$A$1:$G$49,4,FALSE)</f>
        <v>2.5</v>
      </c>
      <c r="K642">
        <f>VLOOKUP('Combined table'!B642,products!$A$1:$G$49,5,FALSE)</f>
        <v>27.484999999999996</v>
      </c>
      <c r="L642">
        <f>VLOOKUP('Combined table'!B642,products!$A$1:$G$49,6,FALSE)</f>
        <v>1.0993999999999999</v>
      </c>
      <c r="M642">
        <f>VLOOKUP('Combined table'!B642,products!$A$1:$G$49,7,FALSE)</f>
        <v>1.6490999999999998</v>
      </c>
      <c r="N642" t="str">
        <f>TEXT(A642,"mmm yyyy")</f>
        <v>Dec 2021</v>
      </c>
      <c r="O642">
        <f t="shared" si="9"/>
        <v>137.42499999999998</v>
      </c>
    </row>
    <row r="643" spans="1:15" x14ac:dyDescent="0.25">
      <c r="A643" s="3">
        <v>44448</v>
      </c>
      <c r="B643" t="s">
        <v>6179</v>
      </c>
      <c r="C643" s="2">
        <v>3</v>
      </c>
      <c r="D643" s="2" t="s">
        <v>4111</v>
      </c>
      <c r="E643" s="2" t="s">
        <v>108</v>
      </c>
      <c r="F643" s="2" t="s">
        <v>19</v>
      </c>
      <c r="G643" t="s">
        <v>6190</v>
      </c>
      <c r="H643" t="str">
        <f>VLOOKUP('Combined table'!B643,products!$A$1:$G$49,2,FALSE)</f>
        <v>Rob</v>
      </c>
      <c r="I643" t="str">
        <f>VLOOKUP('Combined table'!B643,products!$A$1:$G$49,3,FALSE)</f>
        <v>L</v>
      </c>
      <c r="J643">
        <f>VLOOKUP('Combined table'!B643,products!$A$1:$G$49,4,FALSE)</f>
        <v>1</v>
      </c>
      <c r="K643">
        <f>VLOOKUP('Combined table'!B643,products!$A$1:$G$49,5,FALSE)</f>
        <v>11.95</v>
      </c>
      <c r="L643">
        <f>VLOOKUP('Combined table'!B643,products!$A$1:$G$49,6,FALSE)</f>
        <v>1.1949999999999998</v>
      </c>
      <c r="M643">
        <f>VLOOKUP('Combined table'!B643,products!$A$1:$G$49,7,FALSE)</f>
        <v>0.71699999999999997</v>
      </c>
      <c r="N643" t="str">
        <f>TEXT(A643,"mmm yyyy")</f>
        <v>Sep 2021</v>
      </c>
      <c r="O643">
        <f t="shared" ref="O643:O706" si="10">C643*K643</f>
        <v>35.849999999999994</v>
      </c>
    </row>
    <row r="644" spans="1:15" x14ac:dyDescent="0.25">
      <c r="A644" s="3">
        <v>43880</v>
      </c>
      <c r="B644" t="s">
        <v>6156</v>
      </c>
      <c r="C644" s="2">
        <v>2</v>
      </c>
      <c r="D644" s="2" t="s">
        <v>4117</v>
      </c>
      <c r="E644" s="2" t="s">
        <v>4121</v>
      </c>
      <c r="F644" s="2" t="s">
        <v>28</v>
      </c>
      <c r="G644" t="s">
        <v>6190</v>
      </c>
      <c r="H644" t="str">
        <f>VLOOKUP('Combined table'!B644,products!$A$1:$G$49,2,FALSE)</f>
        <v>Exc</v>
      </c>
      <c r="I644" t="str">
        <f>VLOOKUP('Combined table'!B644,products!$A$1:$G$49,3,FALSE)</f>
        <v>M</v>
      </c>
      <c r="J644">
        <f>VLOOKUP('Combined table'!B644,products!$A$1:$G$49,4,FALSE)</f>
        <v>0.2</v>
      </c>
      <c r="K644">
        <f>VLOOKUP('Combined table'!B644,products!$A$1:$G$49,5,FALSE)</f>
        <v>4.125</v>
      </c>
      <c r="L644">
        <f>VLOOKUP('Combined table'!B644,products!$A$1:$G$49,6,FALSE)</f>
        <v>2.0625</v>
      </c>
      <c r="M644">
        <f>VLOOKUP('Combined table'!B644,products!$A$1:$G$49,7,FALSE)</f>
        <v>0.45374999999999999</v>
      </c>
      <c r="N644" t="str">
        <f>TEXT(A644,"mmm yyyy")</f>
        <v>Feb 2020</v>
      </c>
      <c r="O644">
        <f t="shared" si="10"/>
        <v>8.25</v>
      </c>
    </row>
    <row r="645" spans="1:15" x14ac:dyDescent="0.25">
      <c r="A645" s="3">
        <v>44011</v>
      </c>
      <c r="B645" t="s">
        <v>6148</v>
      </c>
      <c r="C645" s="2">
        <v>3</v>
      </c>
      <c r="D645" s="2" t="s">
        <v>4125</v>
      </c>
      <c r="E645" s="2" t="s">
        <v>52</v>
      </c>
      <c r="F645" s="2" t="s">
        <v>19</v>
      </c>
      <c r="G645" t="s">
        <v>6190</v>
      </c>
      <c r="H645" t="str">
        <f>VLOOKUP('Combined table'!B645,products!$A$1:$G$49,2,FALSE)</f>
        <v>Exc</v>
      </c>
      <c r="I645" t="str">
        <f>VLOOKUP('Combined table'!B645,products!$A$1:$G$49,3,FALSE)</f>
        <v>L</v>
      </c>
      <c r="J645">
        <f>VLOOKUP('Combined table'!B645,products!$A$1:$G$49,4,FALSE)</f>
        <v>2.5</v>
      </c>
      <c r="K645">
        <f>VLOOKUP('Combined table'!B645,products!$A$1:$G$49,5,FALSE)</f>
        <v>34.154999999999994</v>
      </c>
      <c r="L645">
        <f>VLOOKUP('Combined table'!B645,products!$A$1:$G$49,6,FALSE)</f>
        <v>1.3661999999999999</v>
      </c>
      <c r="M645">
        <f>VLOOKUP('Combined table'!B645,products!$A$1:$G$49,7,FALSE)</f>
        <v>3.7570499999999996</v>
      </c>
      <c r="N645" t="str">
        <f>TEXT(A645,"mmm yyyy")</f>
        <v>Jun 2020</v>
      </c>
      <c r="O645">
        <f t="shared" si="10"/>
        <v>102.46499999999997</v>
      </c>
    </row>
    <row r="646" spans="1:15" x14ac:dyDescent="0.25">
      <c r="A646" s="3">
        <v>44694</v>
      </c>
      <c r="B646" t="s">
        <v>6149</v>
      </c>
      <c r="C646" s="2">
        <v>2</v>
      </c>
      <c r="D646" s="2" t="s">
        <v>4130</v>
      </c>
      <c r="E646" s="2" t="s">
        <v>92</v>
      </c>
      <c r="F646" s="2" t="s">
        <v>19</v>
      </c>
      <c r="G646" t="s">
        <v>6191</v>
      </c>
      <c r="H646" t="str">
        <f>VLOOKUP('Combined table'!B646,products!$A$1:$G$49,2,FALSE)</f>
        <v>Rob</v>
      </c>
      <c r="I646" t="str">
        <f>VLOOKUP('Combined table'!B646,products!$A$1:$G$49,3,FALSE)</f>
        <v>D</v>
      </c>
      <c r="J646">
        <f>VLOOKUP('Combined table'!B646,products!$A$1:$G$49,4,FALSE)</f>
        <v>2.5</v>
      </c>
      <c r="K646">
        <f>VLOOKUP('Combined table'!B646,products!$A$1:$G$49,5,FALSE)</f>
        <v>20.584999999999997</v>
      </c>
      <c r="L646">
        <f>VLOOKUP('Combined table'!B646,products!$A$1:$G$49,6,FALSE)</f>
        <v>0.82339999999999991</v>
      </c>
      <c r="M646">
        <f>VLOOKUP('Combined table'!B646,products!$A$1:$G$49,7,FALSE)</f>
        <v>1.2350999999999999</v>
      </c>
      <c r="N646" t="str">
        <f>TEXT(A646,"mmm yyyy")</f>
        <v>May 2022</v>
      </c>
      <c r="O646">
        <f t="shared" si="10"/>
        <v>41.169999999999995</v>
      </c>
    </row>
    <row r="647" spans="1:15" x14ac:dyDescent="0.25">
      <c r="A647" s="3">
        <v>44106</v>
      </c>
      <c r="B647" t="s">
        <v>6168</v>
      </c>
      <c r="C647" s="2">
        <v>3</v>
      </c>
      <c r="D647" s="2" t="s">
        <v>4135</v>
      </c>
      <c r="E647" s="2" t="s">
        <v>467</v>
      </c>
      <c r="F647" s="2" t="s">
        <v>19</v>
      </c>
      <c r="G647" t="s">
        <v>6190</v>
      </c>
      <c r="H647" t="str">
        <f>VLOOKUP('Combined table'!B647,products!$A$1:$G$49,2,FALSE)</f>
        <v>Ara</v>
      </c>
      <c r="I647" t="str">
        <f>VLOOKUP('Combined table'!B647,products!$A$1:$G$49,3,FALSE)</f>
        <v>D</v>
      </c>
      <c r="J647">
        <f>VLOOKUP('Combined table'!B647,products!$A$1:$G$49,4,FALSE)</f>
        <v>2.5</v>
      </c>
      <c r="K647">
        <f>VLOOKUP('Combined table'!B647,products!$A$1:$G$49,5,FALSE)</f>
        <v>22.884999999999998</v>
      </c>
      <c r="L647">
        <f>VLOOKUP('Combined table'!B647,products!$A$1:$G$49,6,FALSE)</f>
        <v>0.91539999999999988</v>
      </c>
      <c r="M647">
        <f>VLOOKUP('Combined table'!B647,products!$A$1:$G$49,7,FALSE)</f>
        <v>2.0596499999999995</v>
      </c>
      <c r="N647" t="str">
        <f>TEXT(A647,"mmm yyyy")</f>
        <v>Oct 2020</v>
      </c>
      <c r="O647">
        <f t="shared" si="10"/>
        <v>68.655000000000001</v>
      </c>
    </row>
    <row r="648" spans="1:15" x14ac:dyDescent="0.25">
      <c r="A648" s="3">
        <v>44532</v>
      </c>
      <c r="B648" t="s">
        <v>6147</v>
      </c>
      <c r="C648" s="2">
        <v>1</v>
      </c>
      <c r="D648" s="2" t="s">
        <v>4141</v>
      </c>
      <c r="E648" s="2" t="s">
        <v>198</v>
      </c>
      <c r="F648" s="2" t="s">
        <v>19</v>
      </c>
      <c r="G648" t="s">
        <v>6190</v>
      </c>
      <c r="H648" t="str">
        <f>VLOOKUP('Combined table'!B648,products!$A$1:$G$49,2,FALSE)</f>
        <v>Ara</v>
      </c>
      <c r="I648" t="str">
        <f>VLOOKUP('Combined table'!B648,products!$A$1:$G$49,3,FALSE)</f>
        <v>D</v>
      </c>
      <c r="J648">
        <f>VLOOKUP('Combined table'!B648,products!$A$1:$G$49,4,FALSE)</f>
        <v>1</v>
      </c>
      <c r="K648">
        <f>VLOOKUP('Combined table'!B648,products!$A$1:$G$49,5,FALSE)</f>
        <v>9.9499999999999993</v>
      </c>
      <c r="L648">
        <f>VLOOKUP('Combined table'!B648,products!$A$1:$G$49,6,FALSE)</f>
        <v>0.99499999999999988</v>
      </c>
      <c r="M648">
        <f>VLOOKUP('Combined table'!B648,products!$A$1:$G$49,7,FALSE)</f>
        <v>0.89549999999999985</v>
      </c>
      <c r="N648" t="str">
        <f>TEXT(A648,"mmm yyyy")</f>
        <v>Dec 2021</v>
      </c>
      <c r="O648">
        <f t="shared" si="10"/>
        <v>9.9499999999999993</v>
      </c>
    </row>
    <row r="649" spans="1:15" x14ac:dyDescent="0.25">
      <c r="A649" s="3">
        <v>44502</v>
      </c>
      <c r="B649" t="s">
        <v>6161</v>
      </c>
      <c r="C649" s="2">
        <v>3</v>
      </c>
      <c r="D649" s="2" t="s">
        <v>4147</v>
      </c>
      <c r="E649" s="2" t="s">
        <v>279</v>
      </c>
      <c r="F649" s="2" t="s">
        <v>28</v>
      </c>
      <c r="G649" t="s">
        <v>6190</v>
      </c>
      <c r="H649" t="str">
        <f>VLOOKUP('Combined table'!B649,products!$A$1:$G$49,2,FALSE)</f>
        <v>Lib</v>
      </c>
      <c r="I649" t="str">
        <f>VLOOKUP('Combined table'!B649,products!$A$1:$G$49,3,FALSE)</f>
        <v>L</v>
      </c>
      <c r="J649">
        <f>VLOOKUP('Combined table'!B649,products!$A$1:$G$49,4,FALSE)</f>
        <v>0.5</v>
      </c>
      <c r="K649">
        <f>VLOOKUP('Combined table'!B649,products!$A$1:$G$49,5,FALSE)</f>
        <v>9.51</v>
      </c>
      <c r="L649">
        <f>VLOOKUP('Combined table'!B649,products!$A$1:$G$49,6,FALSE)</f>
        <v>1.9019999999999999</v>
      </c>
      <c r="M649">
        <f>VLOOKUP('Combined table'!B649,products!$A$1:$G$49,7,FALSE)</f>
        <v>1.2363</v>
      </c>
      <c r="N649" t="str">
        <f>TEXT(A649,"mmm yyyy")</f>
        <v>Nov 2021</v>
      </c>
      <c r="O649">
        <f t="shared" si="10"/>
        <v>28.53</v>
      </c>
    </row>
    <row r="650" spans="1:15" x14ac:dyDescent="0.25">
      <c r="A650" s="3">
        <v>43884</v>
      </c>
      <c r="B650" t="s">
        <v>6163</v>
      </c>
      <c r="C650" s="2">
        <v>6</v>
      </c>
      <c r="D650" s="2" t="s">
        <v>4153</v>
      </c>
      <c r="E650" s="2" t="s">
        <v>39</v>
      </c>
      <c r="F650" s="2" t="s">
        <v>19</v>
      </c>
      <c r="G650" t="s">
        <v>6191</v>
      </c>
      <c r="H650" t="str">
        <f>VLOOKUP('Combined table'!B650,products!$A$1:$G$49,2,FALSE)</f>
        <v>Rob</v>
      </c>
      <c r="I650" t="str">
        <f>VLOOKUP('Combined table'!B650,products!$A$1:$G$49,3,FALSE)</f>
        <v>D</v>
      </c>
      <c r="J650">
        <f>VLOOKUP('Combined table'!B650,products!$A$1:$G$49,4,FALSE)</f>
        <v>0.2</v>
      </c>
      <c r="K650">
        <f>VLOOKUP('Combined table'!B650,products!$A$1:$G$49,5,FALSE)</f>
        <v>2.6849999999999996</v>
      </c>
      <c r="L650">
        <f>VLOOKUP('Combined table'!B650,products!$A$1:$G$49,6,FALSE)</f>
        <v>1.3424999999999998</v>
      </c>
      <c r="M650">
        <f>VLOOKUP('Combined table'!B650,products!$A$1:$G$49,7,FALSE)</f>
        <v>0.16109999999999997</v>
      </c>
      <c r="N650" t="str">
        <f>TEXT(A650,"mmm yyyy")</f>
        <v>Feb 2020</v>
      </c>
      <c r="O650">
        <f t="shared" si="10"/>
        <v>16.11</v>
      </c>
    </row>
    <row r="651" spans="1:15" x14ac:dyDescent="0.25">
      <c r="A651" s="3">
        <v>44015</v>
      </c>
      <c r="B651" t="s">
        <v>6170</v>
      </c>
      <c r="C651" s="2">
        <v>6</v>
      </c>
      <c r="D651" s="2" t="s">
        <v>4159</v>
      </c>
      <c r="E651" s="2" t="s">
        <v>354</v>
      </c>
      <c r="F651" s="2" t="s">
        <v>28</v>
      </c>
      <c r="G651" t="s">
        <v>6191</v>
      </c>
      <c r="H651" t="str">
        <f>VLOOKUP('Combined table'!B651,products!$A$1:$G$49,2,FALSE)</f>
        <v>Lib</v>
      </c>
      <c r="I651" t="str">
        <f>VLOOKUP('Combined table'!B651,products!$A$1:$G$49,3,FALSE)</f>
        <v>L</v>
      </c>
      <c r="J651">
        <f>VLOOKUP('Combined table'!B651,products!$A$1:$G$49,4,FALSE)</f>
        <v>1</v>
      </c>
      <c r="K651">
        <f>VLOOKUP('Combined table'!B651,products!$A$1:$G$49,5,FALSE)</f>
        <v>15.85</v>
      </c>
      <c r="L651">
        <f>VLOOKUP('Combined table'!B651,products!$A$1:$G$49,6,FALSE)</f>
        <v>1.585</v>
      </c>
      <c r="M651">
        <f>VLOOKUP('Combined table'!B651,products!$A$1:$G$49,7,FALSE)</f>
        <v>2.0605000000000002</v>
      </c>
      <c r="N651" t="str">
        <f>TEXT(A651,"mmm yyyy")</f>
        <v>Jul 2020</v>
      </c>
      <c r="O651">
        <f t="shared" si="10"/>
        <v>95.1</v>
      </c>
    </row>
    <row r="652" spans="1:15" x14ac:dyDescent="0.25">
      <c r="A652" s="3">
        <v>43507</v>
      </c>
      <c r="B652" t="s">
        <v>6172</v>
      </c>
      <c r="C652" s="2">
        <v>1</v>
      </c>
      <c r="D652" s="2" t="s">
        <v>4165</v>
      </c>
      <c r="E652" s="2" t="s">
        <v>153</v>
      </c>
      <c r="F652" s="2" t="s">
        <v>19</v>
      </c>
      <c r="G652" t="s">
        <v>6190</v>
      </c>
      <c r="H652" t="str">
        <f>VLOOKUP('Combined table'!B652,products!$A$1:$G$49,2,FALSE)</f>
        <v>Rob</v>
      </c>
      <c r="I652" t="str">
        <f>VLOOKUP('Combined table'!B652,products!$A$1:$G$49,3,FALSE)</f>
        <v>D</v>
      </c>
      <c r="J652">
        <f>VLOOKUP('Combined table'!B652,products!$A$1:$G$49,4,FALSE)</f>
        <v>0.5</v>
      </c>
      <c r="K652">
        <f>VLOOKUP('Combined table'!B652,products!$A$1:$G$49,5,FALSE)</f>
        <v>5.3699999999999992</v>
      </c>
      <c r="L652">
        <f>VLOOKUP('Combined table'!B652,products!$A$1:$G$49,6,FALSE)</f>
        <v>1.0739999999999998</v>
      </c>
      <c r="M652">
        <f>VLOOKUP('Combined table'!B652,products!$A$1:$G$49,7,FALSE)</f>
        <v>0.32219999999999993</v>
      </c>
      <c r="N652" t="str">
        <f>TEXT(A652,"mmm yyyy")</f>
        <v>Feb 2019</v>
      </c>
      <c r="O652">
        <f t="shared" si="10"/>
        <v>5.3699999999999992</v>
      </c>
    </row>
    <row r="653" spans="1:15" x14ac:dyDescent="0.25">
      <c r="A653" s="3">
        <v>44084</v>
      </c>
      <c r="B653" t="s">
        <v>6179</v>
      </c>
      <c r="C653" s="2">
        <v>4</v>
      </c>
      <c r="D653" s="2" t="s">
        <v>4171</v>
      </c>
      <c r="E653" s="2" t="s">
        <v>47</v>
      </c>
      <c r="F653" s="2" t="s">
        <v>19</v>
      </c>
      <c r="G653" t="s">
        <v>6191</v>
      </c>
      <c r="H653" t="str">
        <f>VLOOKUP('Combined table'!B653,products!$A$1:$G$49,2,FALSE)</f>
        <v>Rob</v>
      </c>
      <c r="I653" t="str">
        <f>VLOOKUP('Combined table'!B653,products!$A$1:$G$49,3,FALSE)</f>
        <v>L</v>
      </c>
      <c r="J653">
        <f>VLOOKUP('Combined table'!B653,products!$A$1:$G$49,4,FALSE)</f>
        <v>1</v>
      </c>
      <c r="K653">
        <f>VLOOKUP('Combined table'!B653,products!$A$1:$G$49,5,FALSE)</f>
        <v>11.95</v>
      </c>
      <c r="L653">
        <f>VLOOKUP('Combined table'!B653,products!$A$1:$G$49,6,FALSE)</f>
        <v>1.1949999999999998</v>
      </c>
      <c r="M653">
        <f>VLOOKUP('Combined table'!B653,products!$A$1:$G$49,7,FALSE)</f>
        <v>0.71699999999999997</v>
      </c>
      <c r="N653" t="str">
        <f>TEXT(A653,"mmm yyyy")</f>
        <v>Sep 2020</v>
      </c>
      <c r="O653">
        <f t="shared" si="10"/>
        <v>47.8</v>
      </c>
    </row>
    <row r="654" spans="1:15" x14ac:dyDescent="0.25">
      <c r="A654" s="3">
        <v>43892</v>
      </c>
      <c r="B654" t="s">
        <v>6170</v>
      </c>
      <c r="C654" s="2">
        <v>4</v>
      </c>
      <c r="D654" s="2" t="s">
        <v>4176</v>
      </c>
      <c r="E654" s="2" t="s">
        <v>461</v>
      </c>
      <c r="F654" s="2" t="s">
        <v>318</v>
      </c>
      <c r="G654" t="s">
        <v>6191</v>
      </c>
      <c r="H654" t="str">
        <f>VLOOKUP('Combined table'!B654,products!$A$1:$G$49,2,FALSE)</f>
        <v>Lib</v>
      </c>
      <c r="I654" t="str">
        <f>VLOOKUP('Combined table'!B654,products!$A$1:$G$49,3,FALSE)</f>
        <v>L</v>
      </c>
      <c r="J654">
        <f>VLOOKUP('Combined table'!B654,products!$A$1:$G$49,4,FALSE)</f>
        <v>1</v>
      </c>
      <c r="K654">
        <f>VLOOKUP('Combined table'!B654,products!$A$1:$G$49,5,FALSE)</f>
        <v>15.85</v>
      </c>
      <c r="L654">
        <f>VLOOKUP('Combined table'!B654,products!$A$1:$G$49,6,FALSE)</f>
        <v>1.585</v>
      </c>
      <c r="M654">
        <f>VLOOKUP('Combined table'!B654,products!$A$1:$G$49,7,FALSE)</f>
        <v>2.0605000000000002</v>
      </c>
      <c r="N654" t="str">
        <f>TEXT(A654,"mmm yyyy")</f>
        <v>Mar 2020</v>
      </c>
      <c r="O654">
        <f t="shared" si="10"/>
        <v>63.4</v>
      </c>
    </row>
    <row r="655" spans="1:15" x14ac:dyDescent="0.25">
      <c r="A655" s="3">
        <v>44375</v>
      </c>
      <c r="B655" t="s">
        <v>6175</v>
      </c>
      <c r="C655" s="2">
        <v>4</v>
      </c>
      <c r="D655" s="2" t="s">
        <v>4181</v>
      </c>
      <c r="E655" s="2" t="s">
        <v>260</v>
      </c>
      <c r="F655" s="2" t="s">
        <v>19</v>
      </c>
      <c r="G655" t="s">
        <v>6191</v>
      </c>
      <c r="H655" t="str">
        <f>VLOOKUP('Combined table'!B655,products!$A$1:$G$49,2,FALSE)</f>
        <v>Ara</v>
      </c>
      <c r="I655" t="str">
        <f>VLOOKUP('Combined table'!B655,products!$A$1:$G$49,3,FALSE)</f>
        <v>M</v>
      </c>
      <c r="J655">
        <f>VLOOKUP('Combined table'!B655,products!$A$1:$G$49,4,FALSE)</f>
        <v>2.5</v>
      </c>
      <c r="K655">
        <f>VLOOKUP('Combined table'!B655,products!$A$1:$G$49,5,FALSE)</f>
        <v>25.874999999999996</v>
      </c>
      <c r="L655">
        <f>VLOOKUP('Combined table'!B655,products!$A$1:$G$49,6,FALSE)</f>
        <v>1.0349999999999999</v>
      </c>
      <c r="M655">
        <f>VLOOKUP('Combined table'!B655,products!$A$1:$G$49,7,FALSE)</f>
        <v>2.3287499999999994</v>
      </c>
      <c r="N655" t="str">
        <f>TEXT(A655,"mmm yyyy")</f>
        <v>Jun 2021</v>
      </c>
      <c r="O655">
        <f t="shared" si="10"/>
        <v>103.49999999999999</v>
      </c>
    </row>
    <row r="656" spans="1:15" x14ac:dyDescent="0.25">
      <c r="A656" s="3">
        <v>43476</v>
      </c>
      <c r="B656" t="s">
        <v>6168</v>
      </c>
      <c r="C656" s="2">
        <v>3</v>
      </c>
      <c r="D656" s="2" t="s">
        <v>4187</v>
      </c>
      <c r="E656" s="2" t="s">
        <v>47</v>
      </c>
      <c r="F656" s="2" t="s">
        <v>19</v>
      </c>
      <c r="G656" t="s">
        <v>6191</v>
      </c>
      <c r="H656" t="str">
        <f>VLOOKUP('Combined table'!B656,products!$A$1:$G$49,2,FALSE)</f>
        <v>Ara</v>
      </c>
      <c r="I656" t="str">
        <f>VLOOKUP('Combined table'!B656,products!$A$1:$G$49,3,FALSE)</f>
        <v>D</v>
      </c>
      <c r="J656">
        <f>VLOOKUP('Combined table'!B656,products!$A$1:$G$49,4,FALSE)</f>
        <v>2.5</v>
      </c>
      <c r="K656">
        <f>VLOOKUP('Combined table'!B656,products!$A$1:$G$49,5,FALSE)</f>
        <v>22.884999999999998</v>
      </c>
      <c r="L656">
        <f>VLOOKUP('Combined table'!B656,products!$A$1:$G$49,6,FALSE)</f>
        <v>0.91539999999999988</v>
      </c>
      <c r="M656">
        <f>VLOOKUP('Combined table'!B656,products!$A$1:$G$49,7,FALSE)</f>
        <v>2.0596499999999995</v>
      </c>
      <c r="N656" t="str">
        <f>TEXT(A656,"mmm yyyy")</f>
        <v>Jan 2019</v>
      </c>
      <c r="O656">
        <f t="shared" si="10"/>
        <v>68.655000000000001</v>
      </c>
    </row>
    <row r="657" spans="1:15" x14ac:dyDescent="0.25">
      <c r="A657" s="3">
        <v>43728</v>
      </c>
      <c r="B657" t="s">
        <v>6151</v>
      </c>
      <c r="C657" s="2">
        <v>2</v>
      </c>
      <c r="D657" s="2" t="s">
        <v>4193</v>
      </c>
      <c r="E657" s="2" t="s">
        <v>186</v>
      </c>
      <c r="F657" s="2" t="s">
        <v>19</v>
      </c>
      <c r="G657" t="s">
        <v>6190</v>
      </c>
      <c r="H657" t="str">
        <f>VLOOKUP('Combined table'!B657,products!$A$1:$G$49,2,FALSE)</f>
        <v>Rob</v>
      </c>
      <c r="I657" t="str">
        <f>VLOOKUP('Combined table'!B657,products!$A$1:$G$49,3,FALSE)</f>
        <v>M</v>
      </c>
      <c r="J657">
        <f>VLOOKUP('Combined table'!B657,products!$A$1:$G$49,4,FALSE)</f>
        <v>2.5</v>
      </c>
      <c r="K657">
        <f>VLOOKUP('Combined table'!B657,products!$A$1:$G$49,5,FALSE)</f>
        <v>22.884999999999998</v>
      </c>
      <c r="L657">
        <f>VLOOKUP('Combined table'!B657,products!$A$1:$G$49,6,FALSE)</f>
        <v>0.91539999999999988</v>
      </c>
      <c r="M657">
        <f>VLOOKUP('Combined table'!B657,products!$A$1:$G$49,7,FALSE)</f>
        <v>1.3730999999999998</v>
      </c>
      <c r="N657" t="str">
        <f>TEXT(A657,"mmm yyyy")</f>
        <v>Sep 2019</v>
      </c>
      <c r="O657">
        <f t="shared" si="10"/>
        <v>45.769999999999996</v>
      </c>
    </row>
    <row r="658" spans="1:15" x14ac:dyDescent="0.25">
      <c r="A658" s="3">
        <v>44485</v>
      </c>
      <c r="B658" t="s">
        <v>6143</v>
      </c>
      <c r="C658" s="2">
        <v>4</v>
      </c>
      <c r="D658" s="2" t="s">
        <v>4198</v>
      </c>
      <c r="E658" s="2" t="s">
        <v>133</v>
      </c>
      <c r="F658" s="2" t="s">
        <v>19</v>
      </c>
      <c r="G658" t="s">
        <v>6191</v>
      </c>
      <c r="H658" t="str">
        <f>VLOOKUP('Combined table'!B658,products!$A$1:$G$49,2,FALSE)</f>
        <v>Lib</v>
      </c>
      <c r="I658" t="str">
        <f>VLOOKUP('Combined table'!B658,products!$A$1:$G$49,3,FALSE)</f>
        <v>D</v>
      </c>
      <c r="J658">
        <f>VLOOKUP('Combined table'!B658,products!$A$1:$G$49,4,FALSE)</f>
        <v>1</v>
      </c>
      <c r="K658">
        <f>VLOOKUP('Combined table'!B658,products!$A$1:$G$49,5,FALSE)</f>
        <v>12.95</v>
      </c>
      <c r="L658">
        <f>VLOOKUP('Combined table'!B658,products!$A$1:$G$49,6,FALSE)</f>
        <v>1.2949999999999999</v>
      </c>
      <c r="M658">
        <f>VLOOKUP('Combined table'!B658,products!$A$1:$G$49,7,FALSE)</f>
        <v>1.6835</v>
      </c>
      <c r="N658" t="str">
        <f>TEXT(A658,"mmm yyyy")</f>
        <v>Oct 2021</v>
      </c>
      <c r="O658">
        <f t="shared" si="10"/>
        <v>51.8</v>
      </c>
    </row>
    <row r="659" spans="1:15" x14ac:dyDescent="0.25">
      <c r="A659" s="3">
        <v>43831</v>
      </c>
      <c r="B659" t="s">
        <v>6157</v>
      </c>
      <c r="C659" s="2">
        <v>2</v>
      </c>
      <c r="D659" s="2" t="s">
        <v>4203</v>
      </c>
      <c r="E659" s="2" t="s">
        <v>256</v>
      </c>
      <c r="F659" s="2" t="s">
        <v>19</v>
      </c>
      <c r="G659" t="s">
        <v>6190</v>
      </c>
      <c r="H659" t="str">
        <f>VLOOKUP('Combined table'!B659,products!$A$1:$G$49,2,FALSE)</f>
        <v>Ara</v>
      </c>
      <c r="I659" t="str">
        <f>VLOOKUP('Combined table'!B659,products!$A$1:$G$49,3,FALSE)</f>
        <v>M</v>
      </c>
      <c r="J659">
        <f>VLOOKUP('Combined table'!B659,products!$A$1:$G$49,4,FALSE)</f>
        <v>0.5</v>
      </c>
      <c r="K659">
        <f>VLOOKUP('Combined table'!B659,products!$A$1:$G$49,5,FALSE)</f>
        <v>6.75</v>
      </c>
      <c r="L659">
        <f>VLOOKUP('Combined table'!B659,products!$A$1:$G$49,6,FALSE)</f>
        <v>1.35</v>
      </c>
      <c r="M659">
        <f>VLOOKUP('Combined table'!B659,products!$A$1:$G$49,7,FALSE)</f>
        <v>0.60749999999999993</v>
      </c>
      <c r="N659" t="str">
        <f>TEXT(A659,"mmm yyyy")</f>
        <v>Jan 2020</v>
      </c>
      <c r="O659">
        <f t="shared" si="10"/>
        <v>13.5</v>
      </c>
    </row>
    <row r="660" spans="1:15" x14ac:dyDescent="0.25">
      <c r="A660" s="3">
        <v>44630</v>
      </c>
      <c r="B660" t="s">
        <v>6139</v>
      </c>
      <c r="C660" s="2">
        <v>3</v>
      </c>
      <c r="D660" s="2" t="s">
        <v>4209</v>
      </c>
      <c r="E660" s="2" t="s">
        <v>375</v>
      </c>
      <c r="F660" s="2" t="s">
        <v>318</v>
      </c>
      <c r="G660" t="s">
        <v>6190</v>
      </c>
      <c r="H660" t="str">
        <f>VLOOKUP('Combined table'!B660,products!$A$1:$G$49,2,FALSE)</f>
        <v>Exc</v>
      </c>
      <c r="I660" t="str">
        <f>VLOOKUP('Combined table'!B660,products!$A$1:$G$49,3,FALSE)</f>
        <v>M</v>
      </c>
      <c r="J660">
        <f>VLOOKUP('Combined table'!B660,products!$A$1:$G$49,4,FALSE)</f>
        <v>0.5</v>
      </c>
      <c r="K660">
        <f>VLOOKUP('Combined table'!B660,products!$A$1:$G$49,5,FALSE)</f>
        <v>8.25</v>
      </c>
      <c r="L660">
        <f>VLOOKUP('Combined table'!B660,products!$A$1:$G$49,6,FALSE)</f>
        <v>1.65</v>
      </c>
      <c r="M660">
        <f>VLOOKUP('Combined table'!B660,products!$A$1:$G$49,7,FALSE)</f>
        <v>0.90749999999999997</v>
      </c>
      <c r="N660" t="str">
        <f>TEXT(A660,"mmm yyyy")</f>
        <v>Mar 2022</v>
      </c>
      <c r="O660">
        <f t="shared" si="10"/>
        <v>24.75</v>
      </c>
    </row>
    <row r="661" spans="1:15" x14ac:dyDescent="0.25">
      <c r="A661" s="3">
        <v>44693</v>
      </c>
      <c r="B661" t="s">
        <v>6168</v>
      </c>
      <c r="C661" s="2">
        <v>2</v>
      </c>
      <c r="D661" s="2" t="s">
        <v>4213</v>
      </c>
      <c r="E661" s="2" t="s">
        <v>397</v>
      </c>
      <c r="F661" s="2" t="s">
        <v>318</v>
      </c>
      <c r="G661" t="s">
        <v>6190</v>
      </c>
      <c r="H661" t="str">
        <f>VLOOKUP('Combined table'!B661,products!$A$1:$G$49,2,FALSE)</f>
        <v>Ara</v>
      </c>
      <c r="I661" t="str">
        <f>VLOOKUP('Combined table'!B661,products!$A$1:$G$49,3,FALSE)</f>
        <v>D</v>
      </c>
      <c r="J661">
        <f>VLOOKUP('Combined table'!B661,products!$A$1:$G$49,4,FALSE)</f>
        <v>2.5</v>
      </c>
      <c r="K661">
        <f>VLOOKUP('Combined table'!B661,products!$A$1:$G$49,5,FALSE)</f>
        <v>22.884999999999998</v>
      </c>
      <c r="L661">
        <f>VLOOKUP('Combined table'!B661,products!$A$1:$G$49,6,FALSE)</f>
        <v>0.91539999999999988</v>
      </c>
      <c r="M661">
        <f>VLOOKUP('Combined table'!B661,products!$A$1:$G$49,7,FALSE)</f>
        <v>2.0596499999999995</v>
      </c>
      <c r="N661" t="str">
        <f>TEXT(A661,"mmm yyyy")</f>
        <v>May 2022</v>
      </c>
      <c r="O661">
        <f t="shared" si="10"/>
        <v>45.769999999999996</v>
      </c>
    </row>
    <row r="662" spans="1:15" x14ac:dyDescent="0.25">
      <c r="A662" s="3">
        <v>44084</v>
      </c>
      <c r="B662" t="s">
        <v>6176</v>
      </c>
      <c r="C662" s="2">
        <v>6</v>
      </c>
      <c r="D662" s="2" t="s">
        <v>4219</v>
      </c>
      <c r="E662" s="2" t="s">
        <v>174</v>
      </c>
      <c r="F662" s="2" t="s">
        <v>19</v>
      </c>
      <c r="G662" t="s">
        <v>6191</v>
      </c>
      <c r="H662" t="str">
        <f>VLOOKUP('Combined table'!B662,products!$A$1:$G$49,2,FALSE)</f>
        <v>Exc</v>
      </c>
      <c r="I662" t="str">
        <f>VLOOKUP('Combined table'!B662,products!$A$1:$G$49,3,FALSE)</f>
        <v>L</v>
      </c>
      <c r="J662">
        <f>VLOOKUP('Combined table'!B662,products!$A$1:$G$49,4,FALSE)</f>
        <v>0.5</v>
      </c>
      <c r="K662">
        <f>VLOOKUP('Combined table'!B662,products!$A$1:$G$49,5,FALSE)</f>
        <v>8.91</v>
      </c>
      <c r="L662">
        <f>VLOOKUP('Combined table'!B662,products!$A$1:$G$49,6,FALSE)</f>
        <v>1.782</v>
      </c>
      <c r="M662">
        <f>VLOOKUP('Combined table'!B662,products!$A$1:$G$49,7,FALSE)</f>
        <v>0.98009999999999997</v>
      </c>
      <c r="N662" t="str">
        <f>TEXT(A662,"mmm yyyy")</f>
        <v>Sep 2020</v>
      </c>
      <c r="O662">
        <f t="shared" si="10"/>
        <v>53.46</v>
      </c>
    </row>
    <row r="663" spans="1:15" x14ac:dyDescent="0.25">
      <c r="A663" s="3">
        <v>44485</v>
      </c>
      <c r="B663" t="s">
        <v>6152</v>
      </c>
      <c r="C663" s="2">
        <v>6</v>
      </c>
      <c r="D663" s="2" t="s">
        <v>4225</v>
      </c>
      <c r="E663" s="2" t="s">
        <v>63</v>
      </c>
      <c r="F663" s="2" t="s">
        <v>19</v>
      </c>
      <c r="G663" t="s">
        <v>6190</v>
      </c>
      <c r="H663" t="str">
        <f>VLOOKUP('Combined table'!B663,products!$A$1:$G$49,2,FALSE)</f>
        <v>Ara</v>
      </c>
      <c r="I663" t="str">
        <f>VLOOKUP('Combined table'!B663,products!$A$1:$G$49,3,FALSE)</f>
        <v>M</v>
      </c>
      <c r="J663">
        <f>VLOOKUP('Combined table'!B663,products!$A$1:$G$49,4,FALSE)</f>
        <v>0.2</v>
      </c>
      <c r="K663">
        <f>VLOOKUP('Combined table'!B663,products!$A$1:$G$49,5,FALSE)</f>
        <v>3.375</v>
      </c>
      <c r="L663">
        <f>VLOOKUP('Combined table'!B663,products!$A$1:$G$49,6,FALSE)</f>
        <v>1.6875</v>
      </c>
      <c r="M663">
        <f>VLOOKUP('Combined table'!B663,products!$A$1:$G$49,7,FALSE)</f>
        <v>0.30374999999999996</v>
      </c>
      <c r="N663" t="str">
        <f>TEXT(A663,"mmm yyyy")</f>
        <v>Oct 2021</v>
      </c>
      <c r="O663">
        <f t="shared" si="10"/>
        <v>20.25</v>
      </c>
    </row>
    <row r="664" spans="1:15" x14ac:dyDescent="0.25">
      <c r="A664" s="3">
        <v>44364</v>
      </c>
      <c r="B664" t="s">
        <v>6165</v>
      </c>
      <c r="C664" s="2">
        <v>5</v>
      </c>
      <c r="D664" s="2" t="s">
        <v>4231</v>
      </c>
      <c r="E664" s="2" t="s">
        <v>61</v>
      </c>
      <c r="F664" s="2" t="s">
        <v>19</v>
      </c>
      <c r="G664" t="s">
        <v>6191</v>
      </c>
      <c r="H664" t="str">
        <f>VLOOKUP('Combined table'!B664,products!$A$1:$G$49,2,FALSE)</f>
        <v>Lib</v>
      </c>
      <c r="I664" t="str">
        <f>VLOOKUP('Combined table'!B664,products!$A$1:$G$49,3,FALSE)</f>
        <v>D</v>
      </c>
      <c r="J664">
        <f>VLOOKUP('Combined table'!B664,products!$A$1:$G$49,4,FALSE)</f>
        <v>2.5</v>
      </c>
      <c r="K664">
        <f>VLOOKUP('Combined table'!B664,products!$A$1:$G$49,5,FALSE)</f>
        <v>29.784999999999997</v>
      </c>
      <c r="L664">
        <f>VLOOKUP('Combined table'!B664,products!$A$1:$G$49,6,FALSE)</f>
        <v>1.1913999999999998</v>
      </c>
      <c r="M664">
        <f>VLOOKUP('Combined table'!B664,products!$A$1:$G$49,7,FALSE)</f>
        <v>3.8720499999999998</v>
      </c>
      <c r="N664" t="str">
        <f>TEXT(A664,"mmm yyyy")</f>
        <v>Jun 2021</v>
      </c>
      <c r="O664">
        <f t="shared" si="10"/>
        <v>148.92499999999998</v>
      </c>
    </row>
    <row r="665" spans="1:15" x14ac:dyDescent="0.25">
      <c r="A665" s="3">
        <v>43554</v>
      </c>
      <c r="B665" t="s">
        <v>6155</v>
      </c>
      <c r="C665" s="2">
        <v>6</v>
      </c>
      <c r="D665" s="2" t="s">
        <v>4236</v>
      </c>
      <c r="E665" s="2" t="s">
        <v>48</v>
      </c>
      <c r="F665" s="2" t="s">
        <v>19</v>
      </c>
      <c r="G665" t="s">
        <v>6191</v>
      </c>
      <c r="H665" t="str">
        <f>VLOOKUP('Combined table'!B665,products!$A$1:$G$49,2,FALSE)</f>
        <v>Ara</v>
      </c>
      <c r="I665" t="str">
        <f>VLOOKUP('Combined table'!B665,products!$A$1:$G$49,3,FALSE)</f>
        <v>M</v>
      </c>
      <c r="J665">
        <f>VLOOKUP('Combined table'!B665,products!$A$1:$G$49,4,FALSE)</f>
        <v>1</v>
      </c>
      <c r="K665">
        <f>VLOOKUP('Combined table'!B665,products!$A$1:$G$49,5,FALSE)</f>
        <v>11.25</v>
      </c>
      <c r="L665">
        <f>VLOOKUP('Combined table'!B665,products!$A$1:$G$49,6,FALSE)</f>
        <v>1.125</v>
      </c>
      <c r="M665">
        <f>VLOOKUP('Combined table'!B665,products!$A$1:$G$49,7,FALSE)</f>
        <v>1.0125</v>
      </c>
      <c r="N665" t="str">
        <f>TEXT(A665,"mmm yyyy")</f>
        <v>Mar 2019</v>
      </c>
      <c r="O665">
        <f t="shared" si="10"/>
        <v>67.5</v>
      </c>
    </row>
    <row r="666" spans="1:15" x14ac:dyDescent="0.25">
      <c r="A666" s="3">
        <v>44549</v>
      </c>
      <c r="B666" t="s">
        <v>6183</v>
      </c>
      <c r="C666" s="2">
        <v>6</v>
      </c>
      <c r="D666" s="2" t="s">
        <v>4241</v>
      </c>
      <c r="E666" s="2" t="s">
        <v>179</v>
      </c>
      <c r="F666" s="2" t="s">
        <v>19</v>
      </c>
      <c r="G666" t="s">
        <v>6191</v>
      </c>
      <c r="H666" t="str">
        <f>VLOOKUP('Combined table'!B666,products!$A$1:$G$49,2,FALSE)</f>
        <v>Exc</v>
      </c>
      <c r="I666" t="str">
        <f>VLOOKUP('Combined table'!B666,products!$A$1:$G$49,3,FALSE)</f>
        <v>D</v>
      </c>
      <c r="J666">
        <f>VLOOKUP('Combined table'!B666,products!$A$1:$G$49,4,FALSE)</f>
        <v>1</v>
      </c>
      <c r="K666">
        <f>VLOOKUP('Combined table'!B666,products!$A$1:$G$49,5,FALSE)</f>
        <v>12.15</v>
      </c>
      <c r="L666">
        <f>VLOOKUP('Combined table'!B666,products!$A$1:$G$49,6,FALSE)</f>
        <v>1.2150000000000001</v>
      </c>
      <c r="M666">
        <f>VLOOKUP('Combined table'!B666,products!$A$1:$G$49,7,FALSE)</f>
        <v>1.3365</v>
      </c>
      <c r="N666" t="str">
        <f>TEXT(A666,"mmm yyyy")</f>
        <v>Dec 2021</v>
      </c>
      <c r="O666">
        <f t="shared" si="10"/>
        <v>72.900000000000006</v>
      </c>
    </row>
    <row r="667" spans="1:15" x14ac:dyDescent="0.25">
      <c r="A667" s="3">
        <v>44549</v>
      </c>
      <c r="B667" t="s">
        <v>6150</v>
      </c>
      <c r="C667" s="2">
        <v>2</v>
      </c>
      <c r="D667" s="2" t="s">
        <v>4246</v>
      </c>
      <c r="E667" s="2" t="s">
        <v>93</v>
      </c>
      <c r="F667" s="2" t="s">
        <v>19</v>
      </c>
      <c r="G667" t="s">
        <v>6190</v>
      </c>
      <c r="H667" t="str">
        <f>VLOOKUP('Combined table'!B667,products!$A$1:$G$49,2,FALSE)</f>
        <v>Lib</v>
      </c>
      <c r="I667" t="str">
        <f>VLOOKUP('Combined table'!B667,products!$A$1:$G$49,3,FALSE)</f>
        <v>D</v>
      </c>
      <c r="J667">
        <f>VLOOKUP('Combined table'!B667,products!$A$1:$G$49,4,FALSE)</f>
        <v>0.2</v>
      </c>
      <c r="K667">
        <f>VLOOKUP('Combined table'!B667,products!$A$1:$G$49,5,FALSE)</f>
        <v>3.8849999999999998</v>
      </c>
      <c r="L667">
        <f>VLOOKUP('Combined table'!B667,products!$A$1:$G$49,6,FALSE)</f>
        <v>1.9424999999999999</v>
      </c>
      <c r="M667">
        <f>VLOOKUP('Combined table'!B667,products!$A$1:$G$49,7,FALSE)</f>
        <v>0.50505</v>
      </c>
      <c r="N667" t="str">
        <f>TEXT(A667,"mmm yyyy")</f>
        <v>Dec 2021</v>
      </c>
      <c r="O667">
        <f t="shared" si="10"/>
        <v>7.77</v>
      </c>
    </row>
    <row r="668" spans="1:15" x14ac:dyDescent="0.25">
      <c r="A668" s="3">
        <v>43987</v>
      </c>
      <c r="B668" t="s">
        <v>6168</v>
      </c>
      <c r="C668" s="2">
        <v>4</v>
      </c>
      <c r="D668" s="2" t="s">
        <v>4252</v>
      </c>
      <c r="E668" s="2" t="s">
        <v>297</v>
      </c>
      <c r="F668" s="2" t="s">
        <v>19</v>
      </c>
      <c r="G668" t="s">
        <v>6191</v>
      </c>
      <c r="H668" t="str">
        <f>VLOOKUP('Combined table'!B668,products!$A$1:$G$49,2,FALSE)</f>
        <v>Ara</v>
      </c>
      <c r="I668" t="str">
        <f>VLOOKUP('Combined table'!B668,products!$A$1:$G$49,3,FALSE)</f>
        <v>D</v>
      </c>
      <c r="J668">
        <f>VLOOKUP('Combined table'!B668,products!$A$1:$G$49,4,FALSE)</f>
        <v>2.5</v>
      </c>
      <c r="K668">
        <f>VLOOKUP('Combined table'!B668,products!$A$1:$G$49,5,FALSE)</f>
        <v>22.884999999999998</v>
      </c>
      <c r="L668">
        <f>VLOOKUP('Combined table'!B668,products!$A$1:$G$49,6,FALSE)</f>
        <v>0.91539999999999988</v>
      </c>
      <c r="M668">
        <f>VLOOKUP('Combined table'!B668,products!$A$1:$G$49,7,FALSE)</f>
        <v>2.0596499999999995</v>
      </c>
      <c r="N668" t="str">
        <f>TEXT(A668,"mmm yyyy")</f>
        <v>Jun 2020</v>
      </c>
      <c r="O668">
        <f t="shared" si="10"/>
        <v>91.539999999999992</v>
      </c>
    </row>
    <row r="669" spans="1:15" x14ac:dyDescent="0.25">
      <c r="A669" s="3">
        <v>44451</v>
      </c>
      <c r="B669" t="s">
        <v>6147</v>
      </c>
      <c r="C669" s="2">
        <v>6</v>
      </c>
      <c r="D669" s="2" t="s">
        <v>4258</v>
      </c>
      <c r="E669" s="2" t="s">
        <v>401</v>
      </c>
      <c r="F669" s="2" t="s">
        <v>318</v>
      </c>
      <c r="G669" t="s">
        <v>6191</v>
      </c>
      <c r="H669" t="str">
        <f>VLOOKUP('Combined table'!B669,products!$A$1:$G$49,2,FALSE)</f>
        <v>Ara</v>
      </c>
      <c r="I669" t="str">
        <f>VLOOKUP('Combined table'!B669,products!$A$1:$G$49,3,FALSE)</f>
        <v>D</v>
      </c>
      <c r="J669">
        <f>VLOOKUP('Combined table'!B669,products!$A$1:$G$49,4,FALSE)</f>
        <v>1</v>
      </c>
      <c r="K669">
        <f>VLOOKUP('Combined table'!B669,products!$A$1:$G$49,5,FALSE)</f>
        <v>9.9499999999999993</v>
      </c>
      <c r="L669">
        <f>VLOOKUP('Combined table'!B669,products!$A$1:$G$49,6,FALSE)</f>
        <v>0.99499999999999988</v>
      </c>
      <c r="M669">
        <f>VLOOKUP('Combined table'!B669,products!$A$1:$G$49,7,FALSE)</f>
        <v>0.89549999999999985</v>
      </c>
      <c r="N669" t="str">
        <f>TEXT(A669,"mmm yyyy")</f>
        <v>Sep 2021</v>
      </c>
      <c r="O669">
        <f t="shared" si="10"/>
        <v>59.699999999999996</v>
      </c>
    </row>
    <row r="670" spans="1:15" x14ac:dyDescent="0.25">
      <c r="A670" s="3">
        <v>44636</v>
      </c>
      <c r="B670" t="s">
        <v>6142</v>
      </c>
      <c r="C670" s="2">
        <v>5</v>
      </c>
      <c r="D670" s="2" t="s">
        <v>4264</v>
      </c>
      <c r="E670" s="2" t="s">
        <v>31</v>
      </c>
      <c r="F670" s="2" t="s">
        <v>19</v>
      </c>
      <c r="G670" t="s">
        <v>6190</v>
      </c>
      <c r="H670" t="str">
        <f>VLOOKUP('Combined table'!B670,products!$A$1:$G$49,2,FALSE)</f>
        <v>Rob</v>
      </c>
      <c r="I670" t="str">
        <f>VLOOKUP('Combined table'!B670,products!$A$1:$G$49,3,FALSE)</f>
        <v>L</v>
      </c>
      <c r="J670">
        <f>VLOOKUP('Combined table'!B670,products!$A$1:$G$49,4,FALSE)</f>
        <v>2.5</v>
      </c>
      <c r="K670">
        <f>VLOOKUP('Combined table'!B670,products!$A$1:$G$49,5,FALSE)</f>
        <v>27.484999999999996</v>
      </c>
      <c r="L670">
        <f>VLOOKUP('Combined table'!B670,products!$A$1:$G$49,6,FALSE)</f>
        <v>1.0993999999999999</v>
      </c>
      <c r="M670">
        <f>VLOOKUP('Combined table'!B670,products!$A$1:$G$49,7,FALSE)</f>
        <v>1.6490999999999998</v>
      </c>
      <c r="N670" t="str">
        <f>TEXT(A670,"mmm yyyy")</f>
        <v>Mar 2022</v>
      </c>
      <c r="O670">
        <f t="shared" si="10"/>
        <v>137.42499999999998</v>
      </c>
    </row>
    <row r="671" spans="1:15" x14ac:dyDescent="0.25">
      <c r="A671" s="3">
        <v>44551</v>
      </c>
      <c r="B671" t="s">
        <v>6181</v>
      </c>
      <c r="C671" s="2">
        <v>2</v>
      </c>
      <c r="D671" s="2" t="s">
        <v>4270</v>
      </c>
      <c r="E671" s="2" t="s">
        <v>275</v>
      </c>
      <c r="F671" s="2" t="s">
        <v>19</v>
      </c>
      <c r="G671" t="s">
        <v>6191</v>
      </c>
      <c r="H671" t="str">
        <f>VLOOKUP('Combined table'!B671,products!$A$1:$G$49,2,FALSE)</f>
        <v>Lib</v>
      </c>
      <c r="I671" t="str">
        <f>VLOOKUP('Combined table'!B671,products!$A$1:$G$49,3,FALSE)</f>
        <v>M</v>
      </c>
      <c r="J671">
        <f>VLOOKUP('Combined table'!B671,products!$A$1:$G$49,4,FALSE)</f>
        <v>2.5</v>
      </c>
      <c r="K671">
        <f>VLOOKUP('Combined table'!B671,products!$A$1:$G$49,5,FALSE)</f>
        <v>33.464999999999996</v>
      </c>
      <c r="L671">
        <f>VLOOKUP('Combined table'!B671,products!$A$1:$G$49,6,FALSE)</f>
        <v>1.3385999999999998</v>
      </c>
      <c r="M671">
        <f>VLOOKUP('Combined table'!B671,products!$A$1:$G$49,7,FALSE)</f>
        <v>4.3504499999999995</v>
      </c>
      <c r="N671" t="str">
        <f>TEXT(A671,"mmm yyyy")</f>
        <v>Dec 2021</v>
      </c>
      <c r="O671">
        <f t="shared" si="10"/>
        <v>66.929999999999993</v>
      </c>
    </row>
    <row r="672" spans="1:15" x14ac:dyDescent="0.25">
      <c r="A672" s="3">
        <v>43606</v>
      </c>
      <c r="B672" t="s">
        <v>6159</v>
      </c>
      <c r="C672" s="2">
        <v>3</v>
      </c>
      <c r="D672" s="2" t="s">
        <v>4276</v>
      </c>
      <c r="E672" s="2" t="s">
        <v>79</v>
      </c>
      <c r="F672" s="2" t="s">
        <v>19</v>
      </c>
      <c r="G672" t="s">
        <v>6190</v>
      </c>
      <c r="H672" t="str">
        <f>VLOOKUP('Combined table'!B672,products!$A$1:$G$49,2,FALSE)</f>
        <v>Lib</v>
      </c>
      <c r="I672" t="str">
        <f>VLOOKUP('Combined table'!B672,products!$A$1:$G$49,3,FALSE)</f>
        <v>M</v>
      </c>
      <c r="J672">
        <f>VLOOKUP('Combined table'!B672,products!$A$1:$G$49,4,FALSE)</f>
        <v>0.2</v>
      </c>
      <c r="K672">
        <f>VLOOKUP('Combined table'!B672,products!$A$1:$G$49,5,FALSE)</f>
        <v>4.3650000000000002</v>
      </c>
      <c r="L672">
        <f>VLOOKUP('Combined table'!B672,products!$A$1:$G$49,6,FALSE)</f>
        <v>2.1825000000000001</v>
      </c>
      <c r="M672">
        <f>VLOOKUP('Combined table'!B672,products!$A$1:$G$49,7,FALSE)</f>
        <v>0.56745000000000001</v>
      </c>
      <c r="N672" t="str">
        <f>TEXT(A672,"mmm yyyy")</f>
        <v>May 2019</v>
      </c>
      <c r="O672">
        <f t="shared" si="10"/>
        <v>13.095000000000001</v>
      </c>
    </row>
    <row r="673" spans="1:15" x14ac:dyDescent="0.25">
      <c r="A673" s="3">
        <v>44495</v>
      </c>
      <c r="B673" t="s">
        <v>6179</v>
      </c>
      <c r="C673" s="2">
        <v>5</v>
      </c>
      <c r="D673" s="2" t="s">
        <v>4282</v>
      </c>
      <c r="E673" s="2" t="s">
        <v>259</v>
      </c>
      <c r="F673" s="2" t="s">
        <v>19</v>
      </c>
      <c r="G673" t="s">
        <v>6191</v>
      </c>
      <c r="H673" t="str">
        <f>VLOOKUP('Combined table'!B673,products!$A$1:$G$49,2,FALSE)</f>
        <v>Rob</v>
      </c>
      <c r="I673" t="str">
        <f>VLOOKUP('Combined table'!B673,products!$A$1:$G$49,3,FALSE)</f>
        <v>L</v>
      </c>
      <c r="J673">
        <f>VLOOKUP('Combined table'!B673,products!$A$1:$G$49,4,FALSE)</f>
        <v>1</v>
      </c>
      <c r="K673">
        <f>VLOOKUP('Combined table'!B673,products!$A$1:$G$49,5,FALSE)</f>
        <v>11.95</v>
      </c>
      <c r="L673">
        <f>VLOOKUP('Combined table'!B673,products!$A$1:$G$49,6,FALSE)</f>
        <v>1.1949999999999998</v>
      </c>
      <c r="M673">
        <f>VLOOKUP('Combined table'!B673,products!$A$1:$G$49,7,FALSE)</f>
        <v>0.71699999999999997</v>
      </c>
      <c r="N673" t="str">
        <f>TEXT(A673,"mmm yyyy")</f>
        <v>Oct 2021</v>
      </c>
      <c r="O673">
        <f t="shared" si="10"/>
        <v>59.75</v>
      </c>
    </row>
    <row r="674" spans="1:15" x14ac:dyDescent="0.25">
      <c r="A674" s="3">
        <v>43916</v>
      </c>
      <c r="B674" t="s">
        <v>6160</v>
      </c>
      <c r="C674" s="2">
        <v>5</v>
      </c>
      <c r="D674" s="2" t="s">
        <v>4288</v>
      </c>
      <c r="E674" s="2" t="s">
        <v>63</v>
      </c>
      <c r="F674" s="2" t="s">
        <v>19</v>
      </c>
      <c r="G674" t="s">
        <v>6190</v>
      </c>
      <c r="H674" t="str">
        <f>VLOOKUP('Combined table'!B674,products!$A$1:$G$49,2,FALSE)</f>
        <v>Lib</v>
      </c>
      <c r="I674" t="str">
        <f>VLOOKUP('Combined table'!B674,products!$A$1:$G$49,3,FALSE)</f>
        <v>M</v>
      </c>
      <c r="J674">
        <f>VLOOKUP('Combined table'!B674,products!$A$1:$G$49,4,FALSE)</f>
        <v>0.5</v>
      </c>
      <c r="K674">
        <f>VLOOKUP('Combined table'!B674,products!$A$1:$G$49,5,FALSE)</f>
        <v>8.73</v>
      </c>
      <c r="L674">
        <f>VLOOKUP('Combined table'!B674,products!$A$1:$G$49,6,FALSE)</f>
        <v>1.746</v>
      </c>
      <c r="M674">
        <f>VLOOKUP('Combined table'!B674,products!$A$1:$G$49,7,FALSE)</f>
        <v>1.1349</v>
      </c>
      <c r="N674" t="str">
        <f>TEXT(A674,"mmm yyyy")</f>
        <v>Mar 2020</v>
      </c>
      <c r="O674">
        <f t="shared" si="10"/>
        <v>43.650000000000006</v>
      </c>
    </row>
    <row r="675" spans="1:15" x14ac:dyDescent="0.25">
      <c r="A675" s="3">
        <v>44118</v>
      </c>
      <c r="B675" t="s">
        <v>6141</v>
      </c>
      <c r="C675" s="2">
        <v>6</v>
      </c>
      <c r="D675" s="2" t="s">
        <v>4293</v>
      </c>
      <c r="E675" s="2" t="s">
        <v>116</v>
      </c>
      <c r="F675" s="2" t="s">
        <v>19</v>
      </c>
      <c r="G675" t="s">
        <v>6190</v>
      </c>
      <c r="H675" t="str">
        <f>VLOOKUP('Combined table'!B675,products!$A$1:$G$49,2,FALSE)</f>
        <v>Exc</v>
      </c>
      <c r="I675" t="str">
        <f>VLOOKUP('Combined table'!B675,products!$A$1:$G$49,3,FALSE)</f>
        <v>M</v>
      </c>
      <c r="J675">
        <f>VLOOKUP('Combined table'!B675,products!$A$1:$G$49,4,FALSE)</f>
        <v>1</v>
      </c>
      <c r="K675">
        <f>VLOOKUP('Combined table'!B675,products!$A$1:$G$49,5,FALSE)</f>
        <v>13.75</v>
      </c>
      <c r="L675">
        <f>VLOOKUP('Combined table'!B675,products!$A$1:$G$49,6,FALSE)</f>
        <v>1.375</v>
      </c>
      <c r="M675">
        <f>VLOOKUP('Combined table'!B675,products!$A$1:$G$49,7,FALSE)</f>
        <v>1.5125</v>
      </c>
      <c r="N675" t="str">
        <f>TEXT(A675,"mmm yyyy")</f>
        <v>Oct 2020</v>
      </c>
      <c r="O675">
        <f t="shared" si="10"/>
        <v>82.5</v>
      </c>
    </row>
    <row r="676" spans="1:15" x14ac:dyDescent="0.25">
      <c r="A676" s="3">
        <v>44543</v>
      </c>
      <c r="B676" t="s">
        <v>6182</v>
      </c>
      <c r="C676" s="2">
        <v>6</v>
      </c>
      <c r="D676" s="2" t="s">
        <v>4299</v>
      </c>
      <c r="E676" s="2" t="s">
        <v>396</v>
      </c>
      <c r="F676" s="2" t="s">
        <v>19</v>
      </c>
      <c r="G676" t="s">
        <v>6190</v>
      </c>
      <c r="H676" t="str">
        <f>VLOOKUP('Combined table'!B676,products!$A$1:$G$49,2,FALSE)</f>
        <v>Ara</v>
      </c>
      <c r="I676" t="str">
        <f>VLOOKUP('Combined table'!B676,products!$A$1:$G$49,3,FALSE)</f>
        <v>L</v>
      </c>
      <c r="J676">
        <f>VLOOKUP('Combined table'!B676,products!$A$1:$G$49,4,FALSE)</f>
        <v>2.5</v>
      </c>
      <c r="K676">
        <f>VLOOKUP('Combined table'!B676,products!$A$1:$G$49,5,FALSE)</f>
        <v>29.784999999999997</v>
      </c>
      <c r="L676">
        <f>VLOOKUP('Combined table'!B676,products!$A$1:$G$49,6,FALSE)</f>
        <v>1.1913999999999998</v>
      </c>
      <c r="M676">
        <f>VLOOKUP('Combined table'!B676,products!$A$1:$G$49,7,FALSE)</f>
        <v>2.6806499999999995</v>
      </c>
      <c r="N676" t="str">
        <f>TEXT(A676,"mmm yyyy")</f>
        <v>Dec 2021</v>
      </c>
      <c r="O676">
        <f t="shared" si="10"/>
        <v>178.70999999999998</v>
      </c>
    </row>
    <row r="677" spans="1:15" x14ac:dyDescent="0.25">
      <c r="A677" s="3">
        <v>44263</v>
      </c>
      <c r="B677" t="s">
        <v>6165</v>
      </c>
      <c r="C677" s="2">
        <v>4</v>
      </c>
      <c r="D677" s="2" t="s">
        <v>4305</v>
      </c>
      <c r="E677" s="2" t="s">
        <v>313</v>
      </c>
      <c r="F677" s="2" t="s">
        <v>19</v>
      </c>
      <c r="G677" t="s">
        <v>6190</v>
      </c>
      <c r="H677" t="str">
        <f>VLOOKUP('Combined table'!B677,products!$A$1:$G$49,2,FALSE)</f>
        <v>Lib</v>
      </c>
      <c r="I677" t="str">
        <f>VLOOKUP('Combined table'!B677,products!$A$1:$G$49,3,FALSE)</f>
        <v>D</v>
      </c>
      <c r="J677">
        <f>VLOOKUP('Combined table'!B677,products!$A$1:$G$49,4,FALSE)</f>
        <v>2.5</v>
      </c>
      <c r="K677">
        <f>VLOOKUP('Combined table'!B677,products!$A$1:$G$49,5,FALSE)</f>
        <v>29.784999999999997</v>
      </c>
      <c r="L677">
        <f>VLOOKUP('Combined table'!B677,products!$A$1:$G$49,6,FALSE)</f>
        <v>1.1913999999999998</v>
      </c>
      <c r="M677">
        <f>VLOOKUP('Combined table'!B677,products!$A$1:$G$49,7,FALSE)</f>
        <v>3.8720499999999998</v>
      </c>
      <c r="N677" t="str">
        <f>TEXT(A677,"mmm yyyy")</f>
        <v>Mar 2021</v>
      </c>
      <c r="O677">
        <f t="shared" si="10"/>
        <v>119.13999999999999</v>
      </c>
    </row>
    <row r="678" spans="1:15" x14ac:dyDescent="0.25">
      <c r="A678" s="3">
        <v>44217</v>
      </c>
      <c r="B678" t="s">
        <v>6161</v>
      </c>
      <c r="C678" s="2">
        <v>5</v>
      </c>
      <c r="D678" s="2" t="s">
        <v>4310</v>
      </c>
      <c r="E678" s="2" t="s">
        <v>214</v>
      </c>
      <c r="F678" s="2" t="s">
        <v>19</v>
      </c>
      <c r="G678" t="s">
        <v>6191</v>
      </c>
      <c r="H678" t="str">
        <f>VLOOKUP('Combined table'!B678,products!$A$1:$G$49,2,FALSE)</f>
        <v>Lib</v>
      </c>
      <c r="I678" t="str">
        <f>VLOOKUP('Combined table'!B678,products!$A$1:$G$49,3,FALSE)</f>
        <v>L</v>
      </c>
      <c r="J678">
        <f>VLOOKUP('Combined table'!B678,products!$A$1:$G$49,4,FALSE)</f>
        <v>0.5</v>
      </c>
      <c r="K678">
        <f>VLOOKUP('Combined table'!B678,products!$A$1:$G$49,5,FALSE)</f>
        <v>9.51</v>
      </c>
      <c r="L678">
        <f>VLOOKUP('Combined table'!B678,products!$A$1:$G$49,6,FALSE)</f>
        <v>1.9019999999999999</v>
      </c>
      <c r="M678">
        <f>VLOOKUP('Combined table'!B678,products!$A$1:$G$49,7,FALSE)</f>
        <v>1.2363</v>
      </c>
      <c r="N678" t="str">
        <f>TEXT(A678,"mmm yyyy")</f>
        <v>Jan 2021</v>
      </c>
      <c r="O678">
        <f t="shared" si="10"/>
        <v>47.55</v>
      </c>
    </row>
    <row r="679" spans="1:15" x14ac:dyDescent="0.25">
      <c r="A679" s="3">
        <v>44206</v>
      </c>
      <c r="B679" t="s">
        <v>6160</v>
      </c>
      <c r="C679" s="2">
        <v>5</v>
      </c>
      <c r="D679" s="2" t="s">
        <v>4315</v>
      </c>
      <c r="E679" s="2" t="s">
        <v>469</v>
      </c>
      <c r="F679" s="2" t="s">
        <v>318</v>
      </c>
      <c r="G679" t="s">
        <v>6191</v>
      </c>
      <c r="H679" t="str">
        <f>VLOOKUP('Combined table'!B679,products!$A$1:$G$49,2,FALSE)</f>
        <v>Lib</v>
      </c>
      <c r="I679" t="str">
        <f>VLOOKUP('Combined table'!B679,products!$A$1:$G$49,3,FALSE)</f>
        <v>M</v>
      </c>
      <c r="J679">
        <f>VLOOKUP('Combined table'!B679,products!$A$1:$G$49,4,FALSE)</f>
        <v>0.5</v>
      </c>
      <c r="K679">
        <f>VLOOKUP('Combined table'!B679,products!$A$1:$G$49,5,FALSE)</f>
        <v>8.73</v>
      </c>
      <c r="L679">
        <f>VLOOKUP('Combined table'!B679,products!$A$1:$G$49,6,FALSE)</f>
        <v>1.746</v>
      </c>
      <c r="M679">
        <f>VLOOKUP('Combined table'!B679,products!$A$1:$G$49,7,FALSE)</f>
        <v>1.1349</v>
      </c>
      <c r="N679" t="str">
        <f>TEXT(A679,"mmm yyyy")</f>
        <v>Jan 2021</v>
      </c>
      <c r="O679">
        <f t="shared" si="10"/>
        <v>43.650000000000006</v>
      </c>
    </row>
    <row r="680" spans="1:15" x14ac:dyDescent="0.25">
      <c r="A680" s="3">
        <v>44281</v>
      </c>
      <c r="B680" t="s">
        <v>6182</v>
      </c>
      <c r="C680" s="2">
        <v>6</v>
      </c>
      <c r="D680" s="2" t="s">
        <v>4321</v>
      </c>
      <c r="E680" s="2" t="s">
        <v>191</v>
      </c>
      <c r="F680" s="2" t="s">
        <v>19</v>
      </c>
      <c r="G680" t="s">
        <v>6190</v>
      </c>
      <c r="H680" t="str">
        <f>VLOOKUP('Combined table'!B680,products!$A$1:$G$49,2,FALSE)</f>
        <v>Ara</v>
      </c>
      <c r="I680" t="str">
        <f>VLOOKUP('Combined table'!B680,products!$A$1:$G$49,3,FALSE)</f>
        <v>L</v>
      </c>
      <c r="J680">
        <f>VLOOKUP('Combined table'!B680,products!$A$1:$G$49,4,FALSE)</f>
        <v>2.5</v>
      </c>
      <c r="K680">
        <f>VLOOKUP('Combined table'!B680,products!$A$1:$G$49,5,FALSE)</f>
        <v>29.784999999999997</v>
      </c>
      <c r="L680">
        <f>VLOOKUP('Combined table'!B680,products!$A$1:$G$49,6,FALSE)</f>
        <v>1.1913999999999998</v>
      </c>
      <c r="M680">
        <f>VLOOKUP('Combined table'!B680,products!$A$1:$G$49,7,FALSE)</f>
        <v>2.6806499999999995</v>
      </c>
      <c r="N680" t="str">
        <f>TEXT(A680,"mmm yyyy")</f>
        <v>Mar 2021</v>
      </c>
      <c r="O680">
        <f t="shared" si="10"/>
        <v>178.70999999999998</v>
      </c>
    </row>
    <row r="681" spans="1:15" x14ac:dyDescent="0.25">
      <c r="A681" s="3">
        <v>44645</v>
      </c>
      <c r="B681" t="s">
        <v>6142</v>
      </c>
      <c r="C681" s="2">
        <v>1</v>
      </c>
      <c r="D681" s="2" t="s">
        <v>4327</v>
      </c>
      <c r="E681" s="2" t="s">
        <v>279</v>
      </c>
      <c r="F681" s="2" t="s">
        <v>28</v>
      </c>
      <c r="G681" t="s">
        <v>6191</v>
      </c>
      <c r="H681" t="str">
        <f>VLOOKUP('Combined table'!B681,products!$A$1:$G$49,2,FALSE)</f>
        <v>Rob</v>
      </c>
      <c r="I681" t="str">
        <f>VLOOKUP('Combined table'!B681,products!$A$1:$G$49,3,FALSE)</f>
        <v>L</v>
      </c>
      <c r="J681">
        <f>VLOOKUP('Combined table'!B681,products!$A$1:$G$49,4,FALSE)</f>
        <v>2.5</v>
      </c>
      <c r="K681">
        <f>VLOOKUP('Combined table'!B681,products!$A$1:$G$49,5,FALSE)</f>
        <v>27.484999999999996</v>
      </c>
      <c r="L681">
        <f>VLOOKUP('Combined table'!B681,products!$A$1:$G$49,6,FALSE)</f>
        <v>1.0993999999999999</v>
      </c>
      <c r="M681">
        <f>VLOOKUP('Combined table'!B681,products!$A$1:$G$49,7,FALSE)</f>
        <v>1.6490999999999998</v>
      </c>
      <c r="N681" t="str">
        <f>TEXT(A681,"mmm yyyy")</f>
        <v>Mar 2022</v>
      </c>
      <c r="O681">
        <f t="shared" si="10"/>
        <v>27.484999999999996</v>
      </c>
    </row>
    <row r="682" spans="1:15" x14ac:dyDescent="0.25">
      <c r="A682" s="3">
        <v>44399</v>
      </c>
      <c r="B682" t="s">
        <v>6155</v>
      </c>
      <c r="C682" s="2">
        <v>5</v>
      </c>
      <c r="D682" s="2" t="s">
        <v>4333</v>
      </c>
      <c r="E682" s="2" t="s">
        <v>170</v>
      </c>
      <c r="F682" s="2" t="s">
        <v>19</v>
      </c>
      <c r="G682" t="s">
        <v>6191</v>
      </c>
      <c r="H682" t="str">
        <f>VLOOKUP('Combined table'!B682,products!$A$1:$G$49,2,FALSE)</f>
        <v>Ara</v>
      </c>
      <c r="I682" t="str">
        <f>VLOOKUP('Combined table'!B682,products!$A$1:$G$49,3,FALSE)</f>
        <v>M</v>
      </c>
      <c r="J682">
        <f>VLOOKUP('Combined table'!B682,products!$A$1:$G$49,4,FALSE)</f>
        <v>1</v>
      </c>
      <c r="K682">
        <f>VLOOKUP('Combined table'!B682,products!$A$1:$G$49,5,FALSE)</f>
        <v>11.25</v>
      </c>
      <c r="L682">
        <f>VLOOKUP('Combined table'!B682,products!$A$1:$G$49,6,FALSE)</f>
        <v>1.125</v>
      </c>
      <c r="M682">
        <f>VLOOKUP('Combined table'!B682,products!$A$1:$G$49,7,FALSE)</f>
        <v>1.0125</v>
      </c>
      <c r="N682" t="str">
        <f>TEXT(A682,"mmm yyyy")</f>
        <v>Jul 2021</v>
      </c>
      <c r="O682">
        <f t="shared" si="10"/>
        <v>56.25</v>
      </c>
    </row>
    <row r="683" spans="1:15" x14ac:dyDescent="0.25">
      <c r="A683" s="3">
        <v>44080</v>
      </c>
      <c r="B683" t="s">
        <v>6145</v>
      </c>
      <c r="C683" s="2">
        <v>2</v>
      </c>
      <c r="D683" s="2" t="s">
        <v>4338</v>
      </c>
      <c r="E683" s="2" t="s">
        <v>248</v>
      </c>
      <c r="F683" s="2" t="s">
        <v>28</v>
      </c>
      <c r="G683" t="s">
        <v>6190</v>
      </c>
      <c r="H683" t="str">
        <f>VLOOKUP('Combined table'!B683,products!$A$1:$G$49,2,FALSE)</f>
        <v>Lib</v>
      </c>
      <c r="I683" t="str">
        <f>VLOOKUP('Combined table'!B683,products!$A$1:$G$49,3,FALSE)</f>
        <v>L</v>
      </c>
      <c r="J683">
        <f>VLOOKUP('Combined table'!B683,products!$A$1:$G$49,4,FALSE)</f>
        <v>0.2</v>
      </c>
      <c r="K683">
        <f>VLOOKUP('Combined table'!B683,products!$A$1:$G$49,5,FALSE)</f>
        <v>4.7549999999999999</v>
      </c>
      <c r="L683">
        <f>VLOOKUP('Combined table'!B683,products!$A$1:$G$49,6,FALSE)</f>
        <v>2.3774999999999999</v>
      </c>
      <c r="M683">
        <f>VLOOKUP('Combined table'!B683,products!$A$1:$G$49,7,FALSE)</f>
        <v>0.61814999999999998</v>
      </c>
      <c r="N683" t="str">
        <f>TEXT(A683,"mmm yyyy")</f>
        <v>Sep 2020</v>
      </c>
      <c r="O683">
        <f t="shared" si="10"/>
        <v>9.51</v>
      </c>
    </row>
    <row r="684" spans="1:15" x14ac:dyDescent="0.25">
      <c r="A684" s="3">
        <v>43827</v>
      </c>
      <c r="B684" t="s">
        <v>6156</v>
      </c>
      <c r="C684" s="2">
        <v>2</v>
      </c>
      <c r="D684" s="2" t="s">
        <v>4344</v>
      </c>
      <c r="E684" s="2" t="s">
        <v>22</v>
      </c>
      <c r="F684" s="2" t="s">
        <v>19</v>
      </c>
      <c r="G684" t="s">
        <v>6190</v>
      </c>
      <c r="H684" t="str">
        <f>VLOOKUP('Combined table'!B684,products!$A$1:$G$49,2,FALSE)</f>
        <v>Exc</v>
      </c>
      <c r="I684" t="str">
        <f>VLOOKUP('Combined table'!B684,products!$A$1:$G$49,3,FALSE)</f>
        <v>M</v>
      </c>
      <c r="J684">
        <f>VLOOKUP('Combined table'!B684,products!$A$1:$G$49,4,FALSE)</f>
        <v>0.2</v>
      </c>
      <c r="K684">
        <f>VLOOKUP('Combined table'!B684,products!$A$1:$G$49,5,FALSE)</f>
        <v>4.125</v>
      </c>
      <c r="L684">
        <f>VLOOKUP('Combined table'!B684,products!$A$1:$G$49,6,FALSE)</f>
        <v>2.0625</v>
      </c>
      <c r="M684">
        <f>VLOOKUP('Combined table'!B684,products!$A$1:$G$49,7,FALSE)</f>
        <v>0.45374999999999999</v>
      </c>
      <c r="N684" t="str">
        <f>TEXT(A684,"mmm yyyy")</f>
        <v>Dec 2019</v>
      </c>
      <c r="O684">
        <f t="shared" si="10"/>
        <v>8.25</v>
      </c>
    </row>
    <row r="685" spans="1:15" x14ac:dyDescent="0.25">
      <c r="A685" s="3">
        <v>43941</v>
      </c>
      <c r="B685" t="s">
        <v>6169</v>
      </c>
      <c r="C685" s="2">
        <v>6</v>
      </c>
      <c r="D685" s="2" t="s">
        <v>4350</v>
      </c>
      <c r="E685" s="2" t="s">
        <v>63</v>
      </c>
      <c r="F685" s="2" t="s">
        <v>19</v>
      </c>
      <c r="G685" t="s">
        <v>6191</v>
      </c>
      <c r="H685" t="str">
        <f>VLOOKUP('Combined table'!B685,products!$A$1:$G$49,2,FALSE)</f>
        <v>Lib</v>
      </c>
      <c r="I685" t="str">
        <f>VLOOKUP('Combined table'!B685,products!$A$1:$G$49,3,FALSE)</f>
        <v>D</v>
      </c>
      <c r="J685">
        <f>VLOOKUP('Combined table'!B685,products!$A$1:$G$49,4,FALSE)</f>
        <v>0.5</v>
      </c>
      <c r="K685">
        <f>VLOOKUP('Combined table'!B685,products!$A$1:$G$49,5,FALSE)</f>
        <v>7.77</v>
      </c>
      <c r="L685">
        <f>VLOOKUP('Combined table'!B685,products!$A$1:$G$49,6,FALSE)</f>
        <v>1.5539999999999998</v>
      </c>
      <c r="M685">
        <f>VLOOKUP('Combined table'!B685,products!$A$1:$G$49,7,FALSE)</f>
        <v>1.0101</v>
      </c>
      <c r="N685" t="str">
        <f>TEXT(A685,"mmm yyyy")</f>
        <v>Apr 2020</v>
      </c>
      <c r="O685">
        <f t="shared" si="10"/>
        <v>46.62</v>
      </c>
    </row>
    <row r="686" spans="1:15" x14ac:dyDescent="0.25">
      <c r="A686" s="3">
        <v>43517</v>
      </c>
      <c r="B686" t="s">
        <v>6179</v>
      </c>
      <c r="C686" s="2">
        <v>6</v>
      </c>
      <c r="D686" s="2" t="s">
        <v>4356</v>
      </c>
      <c r="E686" s="2" t="s">
        <v>189</v>
      </c>
      <c r="F686" s="2" t="s">
        <v>19</v>
      </c>
      <c r="G686" t="s">
        <v>6191</v>
      </c>
      <c r="H686" t="str">
        <f>VLOOKUP('Combined table'!B686,products!$A$1:$G$49,2,FALSE)</f>
        <v>Rob</v>
      </c>
      <c r="I686" t="str">
        <f>VLOOKUP('Combined table'!B686,products!$A$1:$G$49,3,FALSE)</f>
        <v>L</v>
      </c>
      <c r="J686">
        <f>VLOOKUP('Combined table'!B686,products!$A$1:$G$49,4,FALSE)</f>
        <v>1</v>
      </c>
      <c r="K686">
        <f>VLOOKUP('Combined table'!B686,products!$A$1:$G$49,5,FALSE)</f>
        <v>11.95</v>
      </c>
      <c r="L686">
        <f>VLOOKUP('Combined table'!B686,products!$A$1:$G$49,6,FALSE)</f>
        <v>1.1949999999999998</v>
      </c>
      <c r="M686">
        <f>VLOOKUP('Combined table'!B686,products!$A$1:$G$49,7,FALSE)</f>
        <v>0.71699999999999997</v>
      </c>
      <c r="N686" t="str">
        <f>TEXT(A686,"mmm yyyy")</f>
        <v>Feb 2019</v>
      </c>
      <c r="O686">
        <f t="shared" si="10"/>
        <v>71.699999999999989</v>
      </c>
    </row>
    <row r="687" spans="1:15" x14ac:dyDescent="0.25">
      <c r="A687" s="3">
        <v>44637</v>
      </c>
      <c r="B687" t="s">
        <v>6164</v>
      </c>
      <c r="C687" s="2">
        <v>2</v>
      </c>
      <c r="D687" s="2" t="s">
        <v>4361</v>
      </c>
      <c r="E687" s="2" t="s">
        <v>87</v>
      </c>
      <c r="F687" s="2" t="s">
        <v>19</v>
      </c>
      <c r="G687" t="s">
        <v>6190</v>
      </c>
      <c r="H687" t="str">
        <f>VLOOKUP('Combined table'!B687,products!$A$1:$G$49,2,FALSE)</f>
        <v>Lib</v>
      </c>
      <c r="I687" t="str">
        <f>VLOOKUP('Combined table'!B687,products!$A$1:$G$49,3,FALSE)</f>
        <v>L</v>
      </c>
      <c r="J687">
        <f>VLOOKUP('Combined table'!B687,products!$A$1:$G$49,4,FALSE)</f>
        <v>2.5</v>
      </c>
      <c r="K687">
        <f>VLOOKUP('Combined table'!B687,products!$A$1:$G$49,5,FALSE)</f>
        <v>36.454999999999998</v>
      </c>
      <c r="L687">
        <f>VLOOKUP('Combined table'!B687,products!$A$1:$G$49,6,FALSE)</f>
        <v>1.4581999999999999</v>
      </c>
      <c r="M687">
        <f>VLOOKUP('Combined table'!B687,products!$A$1:$G$49,7,FALSE)</f>
        <v>4.7391499999999995</v>
      </c>
      <c r="N687" t="str">
        <f>TEXT(A687,"mmm yyyy")</f>
        <v>Mar 2022</v>
      </c>
      <c r="O687">
        <f t="shared" si="10"/>
        <v>72.91</v>
      </c>
    </row>
    <row r="688" spans="1:15" x14ac:dyDescent="0.25">
      <c r="A688" s="3">
        <v>44330</v>
      </c>
      <c r="B688" t="s">
        <v>6163</v>
      </c>
      <c r="C688" s="2">
        <v>3</v>
      </c>
      <c r="D688" s="2" t="s">
        <v>4367</v>
      </c>
      <c r="E688" s="2" t="s">
        <v>178</v>
      </c>
      <c r="F688" s="2" t="s">
        <v>19</v>
      </c>
      <c r="G688" t="s">
        <v>6190</v>
      </c>
      <c r="H688" t="str">
        <f>VLOOKUP('Combined table'!B688,products!$A$1:$G$49,2,FALSE)</f>
        <v>Rob</v>
      </c>
      <c r="I688" t="str">
        <f>VLOOKUP('Combined table'!B688,products!$A$1:$G$49,3,FALSE)</f>
        <v>D</v>
      </c>
      <c r="J688">
        <f>VLOOKUP('Combined table'!B688,products!$A$1:$G$49,4,FALSE)</f>
        <v>0.2</v>
      </c>
      <c r="K688">
        <f>VLOOKUP('Combined table'!B688,products!$A$1:$G$49,5,FALSE)</f>
        <v>2.6849999999999996</v>
      </c>
      <c r="L688">
        <f>VLOOKUP('Combined table'!B688,products!$A$1:$G$49,6,FALSE)</f>
        <v>1.3424999999999998</v>
      </c>
      <c r="M688">
        <f>VLOOKUP('Combined table'!B688,products!$A$1:$G$49,7,FALSE)</f>
        <v>0.16109999999999997</v>
      </c>
      <c r="N688" t="str">
        <f>TEXT(A688,"mmm yyyy")</f>
        <v>May 2021</v>
      </c>
      <c r="O688">
        <f t="shared" si="10"/>
        <v>8.0549999999999997</v>
      </c>
    </row>
    <row r="689" spans="1:15" x14ac:dyDescent="0.25">
      <c r="A689" s="3">
        <v>43471</v>
      </c>
      <c r="B689" t="s">
        <v>6139</v>
      </c>
      <c r="C689" s="2">
        <v>2</v>
      </c>
      <c r="D689" s="2" t="s">
        <v>4373</v>
      </c>
      <c r="E689" s="2" t="s">
        <v>98</v>
      </c>
      <c r="F689" s="2" t="s">
        <v>19</v>
      </c>
      <c r="G689" t="s">
        <v>6191</v>
      </c>
      <c r="H689" t="str">
        <f>VLOOKUP('Combined table'!B689,products!$A$1:$G$49,2,FALSE)</f>
        <v>Exc</v>
      </c>
      <c r="I689" t="str">
        <f>VLOOKUP('Combined table'!B689,products!$A$1:$G$49,3,FALSE)</f>
        <v>M</v>
      </c>
      <c r="J689">
        <f>VLOOKUP('Combined table'!B689,products!$A$1:$G$49,4,FALSE)</f>
        <v>0.5</v>
      </c>
      <c r="K689">
        <f>VLOOKUP('Combined table'!B689,products!$A$1:$G$49,5,FALSE)</f>
        <v>8.25</v>
      </c>
      <c r="L689">
        <f>VLOOKUP('Combined table'!B689,products!$A$1:$G$49,6,FALSE)</f>
        <v>1.65</v>
      </c>
      <c r="M689">
        <f>VLOOKUP('Combined table'!B689,products!$A$1:$G$49,7,FALSE)</f>
        <v>0.90749999999999997</v>
      </c>
      <c r="N689" t="str">
        <f>TEXT(A689,"mmm yyyy")</f>
        <v>Jan 2019</v>
      </c>
      <c r="O689">
        <f t="shared" si="10"/>
        <v>16.5</v>
      </c>
    </row>
    <row r="690" spans="1:15" x14ac:dyDescent="0.25">
      <c r="A690" s="3">
        <v>43579</v>
      </c>
      <c r="B690" t="s">
        <v>6140</v>
      </c>
      <c r="C690" s="2">
        <v>5</v>
      </c>
      <c r="D690" s="2" t="s">
        <v>4379</v>
      </c>
      <c r="E690" s="2" t="s">
        <v>333</v>
      </c>
      <c r="F690" s="2" t="s">
        <v>318</v>
      </c>
      <c r="G690" t="s">
        <v>6191</v>
      </c>
      <c r="H690" t="str">
        <f>VLOOKUP('Combined table'!B690,products!$A$1:$G$49,2,FALSE)</f>
        <v>Ara</v>
      </c>
      <c r="I690" t="str">
        <f>VLOOKUP('Combined table'!B690,products!$A$1:$G$49,3,FALSE)</f>
        <v>L</v>
      </c>
      <c r="J690">
        <f>VLOOKUP('Combined table'!B690,products!$A$1:$G$49,4,FALSE)</f>
        <v>1</v>
      </c>
      <c r="K690">
        <f>VLOOKUP('Combined table'!B690,products!$A$1:$G$49,5,FALSE)</f>
        <v>12.95</v>
      </c>
      <c r="L690">
        <f>VLOOKUP('Combined table'!B690,products!$A$1:$G$49,6,FALSE)</f>
        <v>1.2949999999999999</v>
      </c>
      <c r="M690">
        <f>VLOOKUP('Combined table'!B690,products!$A$1:$G$49,7,FALSE)</f>
        <v>1.1655</v>
      </c>
      <c r="N690" t="str">
        <f>TEXT(A690,"mmm yyyy")</f>
        <v>Apr 2019</v>
      </c>
      <c r="O690">
        <f t="shared" si="10"/>
        <v>64.75</v>
      </c>
    </row>
    <row r="691" spans="1:15" x14ac:dyDescent="0.25">
      <c r="A691" s="3">
        <v>44346</v>
      </c>
      <c r="B691" t="s">
        <v>6157</v>
      </c>
      <c r="C691" s="2">
        <v>5</v>
      </c>
      <c r="D691" s="2" t="s">
        <v>4385</v>
      </c>
      <c r="E691" s="2" t="s">
        <v>78</v>
      </c>
      <c r="F691" s="2" t="s">
        <v>19</v>
      </c>
      <c r="G691" t="s">
        <v>6191</v>
      </c>
      <c r="H691" t="str">
        <f>VLOOKUP('Combined table'!B691,products!$A$1:$G$49,2,FALSE)</f>
        <v>Ara</v>
      </c>
      <c r="I691" t="str">
        <f>VLOOKUP('Combined table'!B691,products!$A$1:$G$49,3,FALSE)</f>
        <v>M</v>
      </c>
      <c r="J691">
        <f>VLOOKUP('Combined table'!B691,products!$A$1:$G$49,4,FALSE)</f>
        <v>0.5</v>
      </c>
      <c r="K691">
        <f>VLOOKUP('Combined table'!B691,products!$A$1:$G$49,5,FALSE)</f>
        <v>6.75</v>
      </c>
      <c r="L691">
        <f>VLOOKUP('Combined table'!B691,products!$A$1:$G$49,6,FALSE)</f>
        <v>1.35</v>
      </c>
      <c r="M691">
        <f>VLOOKUP('Combined table'!B691,products!$A$1:$G$49,7,FALSE)</f>
        <v>0.60749999999999993</v>
      </c>
      <c r="N691" t="str">
        <f>TEXT(A691,"mmm yyyy")</f>
        <v>May 2021</v>
      </c>
      <c r="O691">
        <f t="shared" si="10"/>
        <v>33.75</v>
      </c>
    </row>
    <row r="692" spans="1:15" x14ac:dyDescent="0.25">
      <c r="A692" s="3">
        <v>44754</v>
      </c>
      <c r="B692" t="s">
        <v>6165</v>
      </c>
      <c r="C692" s="2">
        <v>6</v>
      </c>
      <c r="D692" s="2" t="s">
        <v>4391</v>
      </c>
      <c r="E692" s="2" t="s">
        <v>260</v>
      </c>
      <c r="F692" s="2" t="s">
        <v>19</v>
      </c>
      <c r="G692" t="s">
        <v>6191</v>
      </c>
      <c r="H692" t="str">
        <f>VLOOKUP('Combined table'!B692,products!$A$1:$G$49,2,FALSE)</f>
        <v>Lib</v>
      </c>
      <c r="I692" t="str">
        <f>VLOOKUP('Combined table'!B692,products!$A$1:$G$49,3,FALSE)</f>
        <v>D</v>
      </c>
      <c r="J692">
        <f>VLOOKUP('Combined table'!B692,products!$A$1:$G$49,4,FALSE)</f>
        <v>2.5</v>
      </c>
      <c r="K692">
        <f>VLOOKUP('Combined table'!B692,products!$A$1:$G$49,5,FALSE)</f>
        <v>29.784999999999997</v>
      </c>
      <c r="L692">
        <f>VLOOKUP('Combined table'!B692,products!$A$1:$G$49,6,FALSE)</f>
        <v>1.1913999999999998</v>
      </c>
      <c r="M692">
        <f>VLOOKUP('Combined table'!B692,products!$A$1:$G$49,7,FALSE)</f>
        <v>3.8720499999999998</v>
      </c>
      <c r="N692" t="str">
        <f>TEXT(A692,"mmm yyyy")</f>
        <v>Jul 2022</v>
      </c>
      <c r="O692">
        <f t="shared" si="10"/>
        <v>178.70999999999998</v>
      </c>
    </row>
    <row r="693" spans="1:15" x14ac:dyDescent="0.25">
      <c r="A693" s="3">
        <v>44227</v>
      </c>
      <c r="B693" t="s">
        <v>6155</v>
      </c>
      <c r="C693" s="2">
        <v>2</v>
      </c>
      <c r="D693" s="2" t="s">
        <v>4395</v>
      </c>
      <c r="E693" s="2" t="s">
        <v>117</v>
      </c>
      <c r="F693" s="2" t="s">
        <v>19</v>
      </c>
      <c r="G693" t="s">
        <v>6190</v>
      </c>
      <c r="H693" t="str">
        <f>VLOOKUP('Combined table'!B693,products!$A$1:$G$49,2,FALSE)</f>
        <v>Ara</v>
      </c>
      <c r="I693" t="str">
        <f>VLOOKUP('Combined table'!B693,products!$A$1:$G$49,3,FALSE)</f>
        <v>M</v>
      </c>
      <c r="J693">
        <f>VLOOKUP('Combined table'!B693,products!$A$1:$G$49,4,FALSE)</f>
        <v>1</v>
      </c>
      <c r="K693">
        <f>VLOOKUP('Combined table'!B693,products!$A$1:$G$49,5,FALSE)</f>
        <v>11.25</v>
      </c>
      <c r="L693">
        <f>VLOOKUP('Combined table'!B693,products!$A$1:$G$49,6,FALSE)</f>
        <v>1.125</v>
      </c>
      <c r="M693">
        <f>VLOOKUP('Combined table'!B693,products!$A$1:$G$49,7,FALSE)</f>
        <v>1.0125</v>
      </c>
      <c r="N693" t="str">
        <f>TEXT(A693,"mmm yyyy")</f>
        <v>Jan 2021</v>
      </c>
      <c r="O693">
        <f t="shared" si="10"/>
        <v>22.5</v>
      </c>
    </row>
    <row r="694" spans="1:15" x14ac:dyDescent="0.25">
      <c r="A694" s="3">
        <v>43720</v>
      </c>
      <c r="B694" t="s">
        <v>6143</v>
      </c>
      <c r="C694" s="2">
        <v>1</v>
      </c>
      <c r="D694" s="2" t="s">
        <v>4401</v>
      </c>
      <c r="E694" s="2" t="s">
        <v>51</v>
      </c>
      <c r="F694" s="2" t="s">
        <v>19</v>
      </c>
      <c r="G694" t="s">
        <v>6191</v>
      </c>
      <c r="H694" t="str">
        <f>VLOOKUP('Combined table'!B694,products!$A$1:$G$49,2,FALSE)</f>
        <v>Lib</v>
      </c>
      <c r="I694" t="str">
        <f>VLOOKUP('Combined table'!B694,products!$A$1:$G$49,3,FALSE)</f>
        <v>D</v>
      </c>
      <c r="J694">
        <f>VLOOKUP('Combined table'!B694,products!$A$1:$G$49,4,FALSE)</f>
        <v>1</v>
      </c>
      <c r="K694">
        <f>VLOOKUP('Combined table'!B694,products!$A$1:$G$49,5,FALSE)</f>
        <v>12.95</v>
      </c>
      <c r="L694">
        <f>VLOOKUP('Combined table'!B694,products!$A$1:$G$49,6,FALSE)</f>
        <v>1.2949999999999999</v>
      </c>
      <c r="M694">
        <f>VLOOKUP('Combined table'!B694,products!$A$1:$G$49,7,FALSE)</f>
        <v>1.6835</v>
      </c>
      <c r="N694" t="str">
        <f>TEXT(A694,"mmm yyyy")</f>
        <v>Sep 2019</v>
      </c>
      <c r="O694">
        <f t="shared" si="10"/>
        <v>12.95</v>
      </c>
    </row>
    <row r="695" spans="1:15" x14ac:dyDescent="0.25">
      <c r="A695" s="3">
        <v>44012</v>
      </c>
      <c r="B695" t="s">
        <v>6175</v>
      </c>
      <c r="C695" s="2">
        <v>2</v>
      </c>
      <c r="D695" s="2" t="s">
        <v>4407</v>
      </c>
      <c r="E695" s="2" t="s">
        <v>104</v>
      </c>
      <c r="F695" s="2" t="s">
        <v>19</v>
      </c>
      <c r="G695" t="s">
        <v>6190</v>
      </c>
      <c r="H695" t="str">
        <f>VLOOKUP('Combined table'!B695,products!$A$1:$G$49,2,FALSE)</f>
        <v>Ara</v>
      </c>
      <c r="I695" t="str">
        <f>VLOOKUP('Combined table'!B695,products!$A$1:$G$49,3,FALSE)</f>
        <v>M</v>
      </c>
      <c r="J695">
        <f>VLOOKUP('Combined table'!B695,products!$A$1:$G$49,4,FALSE)</f>
        <v>2.5</v>
      </c>
      <c r="K695">
        <f>VLOOKUP('Combined table'!B695,products!$A$1:$G$49,5,FALSE)</f>
        <v>25.874999999999996</v>
      </c>
      <c r="L695">
        <f>VLOOKUP('Combined table'!B695,products!$A$1:$G$49,6,FALSE)</f>
        <v>1.0349999999999999</v>
      </c>
      <c r="M695">
        <f>VLOOKUP('Combined table'!B695,products!$A$1:$G$49,7,FALSE)</f>
        <v>2.3287499999999994</v>
      </c>
      <c r="N695" t="str">
        <f>TEXT(A695,"mmm yyyy")</f>
        <v>Jun 2020</v>
      </c>
      <c r="O695">
        <f t="shared" si="10"/>
        <v>51.749999999999993</v>
      </c>
    </row>
    <row r="696" spans="1:15" x14ac:dyDescent="0.25">
      <c r="A696" s="3">
        <v>43915</v>
      </c>
      <c r="B696" t="s">
        <v>6144</v>
      </c>
      <c r="C696" s="2">
        <v>5</v>
      </c>
      <c r="D696" s="2" t="s">
        <v>4413</v>
      </c>
      <c r="E696" s="2" t="s">
        <v>243</v>
      </c>
      <c r="F696" s="2" t="s">
        <v>19</v>
      </c>
      <c r="G696" t="s">
        <v>6191</v>
      </c>
      <c r="H696" t="str">
        <f>VLOOKUP('Combined table'!B696,products!$A$1:$G$49,2,FALSE)</f>
        <v>Exc</v>
      </c>
      <c r="I696" t="str">
        <f>VLOOKUP('Combined table'!B696,products!$A$1:$G$49,3,FALSE)</f>
        <v>D</v>
      </c>
      <c r="J696">
        <f>VLOOKUP('Combined table'!B696,products!$A$1:$G$49,4,FALSE)</f>
        <v>0.5</v>
      </c>
      <c r="K696">
        <f>VLOOKUP('Combined table'!B696,products!$A$1:$G$49,5,FALSE)</f>
        <v>7.29</v>
      </c>
      <c r="L696">
        <f>VLOOKUP('Combined table'!B696,products!$A$1:$G$49,6,FALSE)</f>
        <v>1.458</v>
      </c>
      <c r="M696">
        <f>VLOOKUP('Combined table'!B696,products!$A$1:$G$49,7,FALSE)</f>
        <v>0.80190000000000006</v>
      </c>
      <c r="N696" t="str">
        <f>TEXT(A696,"mmm yyyy")</f>
        <v>Mar 2020</v>
      </c>
      <c r="O696">
        <f t="shared" si="10"/>
        <v>36.450000000000003</v>
      </c>
    </row>
    <row r="697" spans="1:15" x14ac:dyDescent="0.25">
      <c r="A697" s="3">
        <v>44300</v>
      </c>
      <c r="B697" t="s">
        <v>6164</v>
      </c>
      <c r="C697" s="2">
        <v>5</v>
      </c>
      <c r="D697" s="2" t="s">
        <v>4419</v>
      </c>
      <c r="E697" s="2" t="s">
        <v>20</v>
      </c>
      <c r="F697" s="2" t="s">
        <v>19</v>
      </c>
      <c r="G697" t="s">
        <v>6190</v>
      </c>
      <c r="H697" t="str">
        <f>VLOOKUP('Combined table'!B697,products!$A$1:$G$49,2,FALSE)</f>
        <v>Lib</v>
      </c>
      <c r="I697" t="str">
        <f>VLOOKUP('Combined table'!B697,products!$A$1:$G$49,3,FALSE)</f>
        <v>L</v>
      </c>
      <c r="J697">
        <f>VLOOKUP('Combined table'!B697,products!$A$1:$G$49,4,FALSE)</f>
        <v>2.5</v>
      </c>
      <c r="K697">
        <f>VLOOKUP('Combined table'!B697,products!$A$1:$G$49,5,FALSE)</f>
        <v>36.454999999999998</v>
      </c>
      <c r="L697">
        <f>VLOOKUP('Combined table'!B697,products!$A$1:$G$49,6,FALSE)</f>
        <v>1.4581999999999999</v>
      </c>
      <c r="M697">
        <f>VLOOKUP('Combined table'!B697,products!$A$1:$G$49,7,FALSE)</f>
        <v>4.7391499999999995</v>
      </c>
      <c r="N697" t="str">
        <f>TEXT(A697,"mmm yyyy")</f>
        <v>Apr 2021</v>
      </c>
      <c r="O697">
        <f t="shared" si="10"/>
        <v>182.27499999999998</v>
      </c>
    </row>
    <row r="698" spans="1:15" x14ac:dyDescent="0.25">
      <c r="A698" s="3">
        <v>43693</v>
      </c>
      <c r="B698" t="s">
        <v>6169</v>
      </c>
      <c r="C698" s="2">
        <v>4</v>
      </c>
      <c r="D698" s="2" t="s">
        <v>4425</v>
      </c>
      <c r="E698" s="2" t="s">
        <v>22</v>
      </c>
      <c r="F698" s="2" t="s">
        <v>19</v>
      </c>
      <c r="G698" t="s">
        <v>6191</v>
      </c>
      <c r="H698" t="str">
        <f>VLOOKUP('Combined table'!B698,products!$A$1:$G$49,2,FALSE)</f>
        <v>Lib</v>
      </c>
      <c r="I698" t="str">
        <f>VLOOKUP('Combined table'!B698,products!$A$1:$G$49,3,FALSE)</f>
        <v>D</v>
      </c>
      <c r="J698">
        <f>VLOOKUP('Combined table'!B698,products!$A$1:$G$49,4,FALSE)</f>
        <v>0.5</v>
      </c>
      <c r="K698">
        <f>VLOOKUP('Combined table'!B698,products!$A$1:$G$49,5,FALSE)</f>
        <v>7.77</v>
      </c>
      <c r="L698">
        <f>VLOOKUP('Combined table'!B698,products!$A$1:$G$49,6,FALSE)</f>
        <v>1.5539999999999998</v>
      </c>
      <c r="M698">
        <f>VLOOKUP('Combined table'!B698,products!$A$1:$G$49,7,FALSE)</f>
        <v>1.0101</v>
      </c>
      <c r="N698" t="str">
        <f>TEXT(A698,"mmm yyyy")</f>
        <v>Aug 2019</v>
      </c>
      <c r="O698">
        <f t="shared" si="10"/>
        <v>31.08</v>
      </c>
    </row>
    <row r="699" spans="1:15" x14ac:dyDescent="0.25">
      <c r="A699" s="3">
        <v>44547</v>
      </c>
      <c r="B699" t="s">
        <v>6157</v>
      </c>
      <c r="C699" s="2">
        <v>3</v>
      </c>
      <c r="D699" s="2" t="s">
        <v>4431</v>
      </c>
      <c r="E699" s="2" t="s">
        <v>391</v>
      </c>
      <c r="F699" s="2" t="s">
        <v>318</v>
      </c>
      <c r="G699" t="s">
        <v>6191</v>
      </c>
      <c r="H699" t="str">
        <f>VLOOKUP('Combined table'!B699,products!$A$1:$G$49,2,FALSE)</f>
        <v>Ara</v>
      </c>
      <c r="I699" t="str">
        <f>VLOOKUP('Combined table'!B699,products!$A$1:$G$49,3,FALSE)</f>
        <v>M</v>
      </c>
      <c r="J699">
        <f>VLOOKUP('Combined table'!B699,products!$A$1:$G$49,4,FALSE)</f>
        <v>0.5</v>
      </c>
      <c r="K699">
        <f>VLOOKUP('Combined table'!B699,products!$A$1:$G$49,5,FALSE)</f>
        <v>6.75</v>
      </c>
      <c r="L699">
        <f>VLOOKUP('Combined table'!B699,products!$A$1:$G$49,6,FALSE)</f>
        <v>1.35</v>
      </c>
      <c r="M699">
        <f>VLOOKUP('Combined table'!B699,products!$A$1:$G$49,7,FALSE)</f>
        <v>0.60749999999999993</v>
      </c>
      <c r="N699" t="str">
        <f>TEXT(A699,"mmm yyyy")</f>
        <v>Dec 2021</v>
      </c>
      <c r="O699">
        <f t="shared" si="10"/>
        <v>20.25</v>
      </c>
    </row>
    <row r="700" spans="1:15" x14ac:dyDescent="0.25">
      <c r="A700" s="3">
        <v>43830</v>
      </c>
      <c r="B700" t="s">
        <v>6143</v>
      </c>
      <c r="C700" s="2">
        <v>2</v>
      </c>
      <c r="D700" s="2" t="s">
        <v>4435</v>
      </c>
      <c r="E700" s="2" t="s">
        <v>289</v>
      </c>
      <c r="F700" s="2" t="s">
        <v>318</v>
      </c>
      <c r="G700" t="s">
        <v>6191</v>
      </c>
      <c r="H700" t="str">
        <f>VLOOKUP('Combined table'!B700,products!$A$1:$G$49,2,FALSE)</f>
        <v>Lib</v>
      </c>
      <c r="I700" t="str">
        <f>VLOOKUP('Combined table'!B700,products!$A$1:$G$49,3,FALSE)</f>
        <v>D</v>
      </c>
      <c r="J700">
        <f>VLOOKUP('Combined table'!B700,products!$A$1:$G$49,4,FALSE)</f>
        <v>1</v>
      </c>
      <c r="K700">
        <f>VLOOKUP('Combined table'!B700,products!$A$1:$G$49,5,FALSE)</f>
        <v>12.95</v>
      </c>
      <c r="L700">
        <f>VLOOKUP('Combined table'!B700,products!$A$1:$G$49,6,FALSE)</f>
        <v>1.2949999999999999</v>
      </c>
      <c r="M700">
        <f>VLOOKUP('Combined table'!B700,products!$A$1:$G$49,7,FALSE)</f>
        <v>1.6835</v>
      </c>
      <c r="N700" t="str">
        <f>TEXT(A700,"mmm yyyy")</f>
        <v>Dec 2019</v>
      </c>
      <c r="O700">
        <f t="shared" si="10"/>
        <v>25.9</v>
      </c>
    </row>
    <row r="701" spans="1:15" x14ac:dyDescent="0.25">
      <c r="A701" s="3">
        <v>44298</v>
      </c>
      <c r="B701" t="s">
        <v>6158</v>
      </c>
      <c r="C701" s="2">
        <v>4</v>
      </c>
      <c r="D701" s="2" t="s">
        <v>4441</v>
      </c>
      <c r="E701" s="2" t="s">
        <v>92</v>
      </c>
      <c r="F701" s="2" t="s">
        <v>19</v>
      </c>
      <c r="G701" t="s">
        <v>6190</v>
      </c>
      <c r="H701" t="str">
        <f>VLOOKUP('Combined table'!B701,products!$A$1:$G$49,2,FALSE)</f>
        <v>Ara</v>
      </c>
      <c r="I701" t="str">
        <f>VLOOKUP('Combined table'!B701,products!$A$1:$G$49,3,FALSE)</f>
        <v>D</v>
      </c>
      <c r="J701">
        <f>VLOOKUP('Combined table'!B701,products!$A$1:$G$49,4,FALSE)</f>
        <v>0.5</v>
      </c>
      <c r="K701">
        <f>VLOOKUP('Combined table'!B701,products!$A$1:$G$49,5,FALSE)</f>
        <v>5.97</v>
      </c>
      <c r="L701">
        <f>VLOOKUP('Combined table'!B701,products!$A$1:$G$49,6,FALSE)</f>
        <v>1.194</v>
      </c>
      <c r="M701">
        <f>VLOOKUP('Combined table'!B701,products!$A$1:$G$49,7,FALSE)</f>
        <v>0.5373</v>
      </c>
      <c r="N701" t="str">
        <f>TEXT(A701,"mmm yyyy")</f>
        <v>Apr 2021</v>
      </c>
      <c r="O701">
        <f t="shared" si="10"/>
        <v>23.88</v>
      </c>
    </row>
    <row r="702" spans="1:15" x14ac:dyDescent="0.25">
      <c r="A702" s="3">
        <v>43736</v>
      </c>
      <c r="B702" t="s">
        <v>6161</v>
      </c>
      <c r="C702" s="2">
        <v>2</v>
      </c>
      <c r="D702" s="2" t="s">
        <v>4447</v>
      </c>
      <c r="E702" s="2" t="s">
        <v>150</v>
      </c>
      <c r="F702" s="2" t="s">
        <v>19</v>
      </c>
      <c r="G702" t="s">
        <v>6191</v>
      </c>
      <c r="H702" t="str">
        <f>VLOOKUP('Combined table'!B702,products!$A$1:$G$49,2,FALSE)</f>
        <v>Lib</v>
      </c>
      <c r="I702" t="str">
        <f>VLOOKUP('Combined table'!B702,products!$A$1:$G$49,3,FALSE)</f>
        <v>L</v>
      </c>
      <c r="J702">
        <f>VLOOKUP('Combined table'!B702,products!$A$1:$G$49,4,FALSE)</f>
        <v>0.5</v>
      </c>
      <c r="K702">
        <f>VLOOKUP('Combined table'!B702,products!$A$1:$G$49,5,FALSE)</f>
        <v>9.51</v>
      </c>
      <c r="L702">
        <f>VLOOKUP('Combined table'!B702,products!$A$1:$G$49,6,FALSE)</f>
        <v>1.9019999999999999</v>
      </c>
      <c r="M702">
        <f>VLOOKUP('Combined table'!B702,products!$A$1:$G$49,7,FALSE)</f>
        <v>1.2363</v>
      </c>
      <c r="N702" t="str">
        <f>TEXT(A702,"mmm yyyy")</f>
        <v>Sep 2019</v>
      </c>
      <c r="O702">
        <f t="shared" si="10"/>
        <v>19.02</v>
      </c>
    </row>
    <row r="703" spans="1:15" x14ac:dyDescent="0.25">
      <c r="A703" s="3">
        <v>44727</v>
      </c>
      <c r="B703" t="s">
        <v>6158</v>
      </c>
      <c r="C703" s="2">
        <v>5</v>
      </c>
      <c r="D703" s="2" t="s">
        <v>4452</v>
      </c>
      <c r="E703" s="2" t="s">
        <v>390</v>
      </c>
      <c r="F703" s="2" t="s">
        <v>318</v>
      </c>
      <c r="G703" t="s">
        <v>6190</v>
      </c>
      <c r="H703" t="str">
        <f>VLOOKUP('Combined table'!B703,products!$A$1:$G$49,2,FALSE)</f>
        <v>Ara</v>
      </c>
      <c r="I703" t="str">
        <f>VLOOKUP('Combined table'!B703,products!$A$1:$G$49,3,FALSE)</f>
        <v>D</v>
      </c>
      <c r="J703">
        <f>VLOOKUP('Combined table'!B703,products!$A$1:$G$49,4,FALSE)</f>
        <v>0.5</v>
      </c>
      <c r="K703">
        <f>VLOOKUP('Combined table'!B703,products!$A$1:$G$49,5,FALSE)</f>
        <v>5.97</v>
      </c>
      <c r="L703">
        <f>VLOOKUP('Combined table'!B703,products!$A$1:$G$49,6,FALSE)</f>
        <v>1.194</v>
      </c>
      <c r="M703">
        <f>VLOOKUP('Combined table'!B703,products!$A$1:$G$49,7,FALSE)</f>
        <v>0.5373</v>
      </c>
      <c r="N703" t="str">
        <f>TEXT(A703,"mmm yyyy")</f>
        <v>Jun 2022</v>
      </c>
      <c r="O703">
        <f t="shared" si="10"/>
        <v>29.849999999999998</v>
      </c>
    </row>
    <row r="704" spans="1:15" x14ac:dyDescent="0.25">
      <c r="A704" s="3">
        <v>43661</v>
      </c>
      <c r="B704" t="s">
        <v>6180</v>
      </c>
      <c r="C704" s="2">
        <v>1</v>
      </c>
      <c r="D704" s="2" t="s">
        <v>4458</v>
      </c>
      <c r="E704" s="2" t="s">
        <v>211</v>
      </c>
      <c r="F704" s="2" t="s">
        <v>19</v>
      </c>
      <c r="G704" t="s">
        <v>6190</v>
      </c>
      <c r="H704" t="str">
        <f>VLOOKUP('Combined table'!B704,products!$A$1:$G$49,2,FALSE)</f>
        <v>Ara</v>
      </c>
      <c r="I704" t="str">
        <f>VLOOKUP('Combined table'!B704,products!$A$1:$G$49,3,FALSE)</f>
        <v>L</v>
      </c>
      <c r="J704">
        <f>VLOOKUP('Combined table'!B704,products!$A$1:$G$49,4,FALSE)</f>
        <v>0.5</v>
      </c>
      <c r="K704">
        <f>VLOOKUP('Combined table'!B704,products!$A$1:$G$49,5,FALSE)</f>
        <v>7.77</v>
      </c>
      <c r="L704">
        <f>VLOOKUP('Combined table'!B704,products!$A$1:$G$49,6,FALSE)</f>
        <v>1.5539999999999998</v>
      </c>
      <c r="M704">
        <f>VLOOKUP('Combined table'!B704,products!$A$1:$G$49,7,FALSE)</f>
        <v>0.69929999999999992</v>
      </c>
      <c r="N704" t="str">
        <f>TEXT(A704,"mmm yyyy")</f>
        <v>Jul 2019</v>
      </c>
      <c r="O704">
        <f t="shared" si="10"/>
        <v>7.77</v>
      </c>
    </row>
    <row r="705" spans="1:15" x14ac:dyDescent="0.25">
      <c r="A705" s="3">
        <v>43506</v>
      </c>
      <c r="B705" t="s">
        <v>6165</v>
      </c>
      <c r="C705" s="2">
        <v>4</v>
      </c>
      <c r="D705" s="2" t="s">
        <v>4463</v>
      </c>
      <c r="E705" s="2" t="s">
        <v>1282</v>
      </c>
      <c r="F705" s="2" t="s">
        <v>318</v>
      </c>
      <c r="G705" t="s">
        <v>6190</v>
      </c>
      <c r="H705" t="str">
        <f>VLOOKUP('Combined table'!B705,products!$A$1:$G$49,2,FALSE)</f>
        <v>Lib</v>
      </c>
      <c r="I705" t="str">
        <f>VLOOKUP('Combined table'!B705,products!$A$1:$G$49,3,FALSE)</f>
        <v>D</v>
      </c>
      <c r="J705">
        <f>VLOOKUP('Combined table'!B705,products!$A$1:$G$49,4,FALSE)</f>
        <v>2.5</v>
      </c>
      <c r="K705">
        <f>VLOOKUP('Combined table'!B705,products!$A$1:$G$49,5,FALSE)</f>
        <v>29.784999999999997</v>
      </c>
      <c r="L705">
        <f>VLOOKUP('Combined table'!B705,products!$A$1:$G$49,6,FALSE)</f>
        <v>1.1913999999999998</v>
      </c>
      <c r="M705">
        <f>VLOOKUP('Combined table'!B705,products!$A$1:$G$49,7,FALSE)</f>
        <v>3.8720499999999998</v>
      </c>
      <c r="N705" t="str">
        <f>TEXT(A705,"mmm yyyy")</f>
        <v>Feb 2019</v>
      </c>
      <c r="O705">
        <f t="shared" si="10"/>
        <v>119.13999999999999</v>
      </c>
    </row>
    <row r="706" spans="1:15" x14ac:dyDescent="0.25">
      <c r="A706" s="3">
        <v>44716</v>
      </c>
      <c r="B706" t="s">
        <v>6153</v>
      </c>
      <c r="C706" s="2">
        <v>6</v>
      </c>
      <c r="D706" s="2" t="s">
        <v>4468</v>
      </c>
      <c r="E706" s="2" t="s">
        <v>57</v>
      </c>
      <c r="F706" s="2" t="s">
        <v>19</v>
      </c>
      <c r="G706" t="s">
        <v>6190</v>
      </c>
      <c r="H706" t="str">
        <f>VLOOKUP('Combined table'!B706,products!$A$1:$G$49,2,FALSE)</f>
        <v>Exc</v>
      </c>
      <c r="I706" t="str">
        <f>VLOOKUP('Combined table'!B706,products!$A$1:$G$49,3,FALSE)</f>
        <v>D</v>
      </c>
      <c r="J706">
        <f>VLOOKUP('Combined table'!B706,products!$A$1:$G$49,4,FALSE)</f>
        <v>0.2</v>
      </c>
      <c r="K706">
        <f>VLOOKUP('Combined table'!B706,products!$A$1:$G$49,5,FALSE)</f>
        <v>3.645</v>
      </c>
      <c r="L706">
        <f>VLOOKUP('Combined table'!B706,products!$A$1:$G$49,6,FALSE)</f>
        <v>1.8225</v>
      </c>
      <c r="M706">
        <f>VLOOKUP('Combined table'!B706,products!$A$1:$G$49,7,FALSE)</f>
        <v>0.40095000000000003</v>
      </c>
      <c r="N706" t="str">
        <f>TEXT(A706,"mmm yyyy")</f>
        <v>Jun 2022</v>
      </c>
      <c r="O706">
        <f t="shared" si="10"/>
        <v>21.87</v>
      </c>
    </row>
    <row r="707" spans="1:15" x14ac:dyDescent="0.25">
      <c r="A707" s="3">
        <v>44114</v>
      </c>
      <c r="B707" t="s">
        <v>6176</v>
      </c>
      <c r="C707" s="2">
        <v>2</v>
      </c>
      <c r="D707" s="2" t="s">
        <v>4473</v>
      </c>
      <c r="E707" s="2" t="s">
        <v>295</v>
      </c>
      <c r="F707" s="2" t="s">
        <v>19</v>
      </c>
      <c r="G707" t="s">
        <v>6191</v>
      </c>
      <c r="H707" t="str">
        <f>VLOOKUP('Combined table'!B707,products!$A$1:$G$49,2,FALSE)</f>
        <v>Exc</v>
      </c>
      <c r="I707" t="str">
        <f>VLOOKUP('Combined table'!B707,products!$A$1:$G$49,3,FALSE)</f>
        <v>L</v>
      </c>
      <c r="J707">
        <f>VLOOKUP('Combined table'!B707,products!$A$1:$G$49,4,FALSE)</f>
        <v>0.5</v>
      </c>
      <c r="K707">
        <f>VLOOKUP('Combined table'!B707,products!$A$1:$G$49,5,FALSE)</f>
        <v>8.91</v>
      </c>
      <c r="L707">
        <f>VLOOKUP('Combined table'!B707,products!$A$1:$G$49,6,FALSE)</f>
        <v>1.782</v>
      </c>
      <c r="M707">
        <f>VLOOKUP('Combined table'!B707,products!$A$1:$G$49,7,FALSE)</f>
        <v>0.98009999999999997</v>
      </c>
      <c r="N707" t="str">
        <f>TEXT(A707,"mmm yyyy")</f>
        <v>Oct 2020</v>
      </c>
      <c r="O707">
        <f t="shared" ref="O707:O770" si="11">C707*K707</f>
        <v>17.82</v>
      </c>
    </row>
    <row r="708" spans="1:15" x14ac:dyDescent="0.25">
      <c r="A708" s="3">
        <v>44353</v>
      </c>
      <c r="B708" t="s">
        <v>6156</v>
      </c>
      <c r="C708" s="2">
        <v>3</v>
      </c>
      <c r="D708" s="2" t="s">
        <v>4479</v>
      </c>
      <c r="E708" s="2" t="s">
        <v>208</v>
      </c>
      <c r="F708" s="2" t="s">
        <v>19</v>
      </c>
      <c r="G708" t="s">
        <v>6191</v>
      </c>
      <c r="H708" t="str">
        <f>VLOOKUP('Combined table'!B708,products!$A$1:$G$49,2,FALSE)</f>
        <v>Exc</v>
      </c>
      <c r="I708" t="str">
        <f>VLOOKUP('Combined table'!B708,products!$A$1:$G$49,3,FALSE)</f>
        <v>M</v>
      </c>
      <c r="J708">
        <f>VLOOKUP('Combined table'!B708,products!$A$1:$G$49,4,FALSE)</f>
        <v>0.2</v>
      </c>
      <c r="K708">
        <f>VLOOKUP('Combined table'!B708,products!$A$1:$G$49,5,FALSE)</f>
        <v>4.125</v>
      </c>
      <c r="L708">
        <f>VLOOKUP('Combined table'!B708,products!$A$1:$G$49,6,FALSE)</f>
        <v>2.0625</v>
      </c>
      <c r="M708">
        <f>VLOOKUP('Combined table'!B708,products!$A$1:$G$49,7,FALSE)</f>
        <v>0.45374999999999999</v>
      </c>
      <c r="N708" t="str">
        <f>TEXT(A708,"mmm yyyy")</f>
        <v>Jun 2021</v>
      </c>
      <c r="O708">
        <f t="shared" si="11"/>
        <v>12.375</v>
      </c>
    </row>
    <row r="709" spans="1:15" x14ac:dyDescent="0.25">
      <c r="A709" s="3">
        <v>43540</v>
      </c>
      <c r="B709" t="s">
        <v>6143</v>
      </c>
      <c r="C709" s="2">
        <v>2</v>
      </c>
      <c r="D709" s="2" t="s">
        <v>4485</v>
      </c>
      <c r="E709" s="2" t="s">
        <v>382</v>
      </c>
      <c r="F709" s="2" t="s">
        <v>318</v>
      </c>
      <c r="G709" t="s">
        <v>6191</v>
      </c>
      <c r="H709" t="str">
        <f>VLOOKUP('Combined table'!B709,products!$A$1:$G$49,2,FALSE)</f>
        <v>Lib</v>
      </c>
      <c r="I709" t="str">
        <f>VLOOKUP('Combined table'!B709,products!$A$1:$G$49,3,FALSE)</f>
        <v>D</v>
      </c>
      <c r="J709">
        <f>VLOOKUP('Combined table'!B709,products!$A$1:$G$49,4,FALSE)</f>
        <v>1</v>
      </c>
      <c r="K709">
        <f>VLOOKUP('Combined table'!B709,products!$A$1:$G$49,5,FALSE)</f>
        <v>12.95</v>
      </c>
      <c r="L709">
        <f>VLOOKUP('Combined table'!B709,products!$A$1:$G$49,6,FALSE)</f>
        <v>1.2949999999999999</v>
      </c>
      <c r="M709">
        <f>VLOOKUP('Combined table'!B709,products!$A$1:$G$49,7,FALSE)</f>
        <v>1.6835</v>
      </c>
      <c r="N709" t="str">
        <f>TEXT(A709,"mmm yyyy")</f>
        <v>Mar 2019</v>
      </c>
      <c r="O709">
        <f t="shared" si="11"/>
        <v>25.9</v>
      </c>
    </row>
    <row r="710" spans="1:15" x14ac:dyDescent="0.25">
      <c r="A710" s="3">
        <v>43804</v>
      </c>
      <c r="B710" t="s">
        <v>6157</v>
      </c>
      <c r="C710" s="2">
        <v>2</v>
      </c>
      <c r="D710" s="2" t="s">
        <v>4490</v>
      </c>
      <c r="E710" s="2" t="s">
        <v>104</v>
      </c>
      <c r="F710" s="2" t="s">
        <v>19</v>
      </c>
      <c r="G710" t="s">
        <v>6190</v>
      </c>
      <c r="H710" t="str">
        <f>VLOOKUP('Combined table'!B710,products!$A$1:$G$49,2,FALSE)</f>
        <v>Ara</v>
      </c>
      <c r="I710" t="str">
        <f>VLOOKUP('Combined table'!B710,products!$A$1:$G$49,3,FALSE)</f>
        <v>M</v>
      </c>
      <c r="J710">
        <f>VLOOKUP('Combined table'!B710,products!$A$1:$G$49,4,FALSE)</f>
        <v>0.5</v>
      </c>
      <c r="K710">
        <f>VLOOKUP('Combined table'!B710,products!$A$1:$G$49,5,FALSE)</f>
        <v>6.75</v>
      </c>
      <c r="L710">
        <f>VLOOKUP('Combined table'!B710,products!$A$1:$G$49,6,FALSE)</f>
        <v>1.35</v>
      </c>
      <c r="M710">
        <f>VLOOKUP('Combined table'!B710,products!$A$1:$G$49,7,FALSE)</f>
        <v>0.60749999999999993</v>
      </c>
      <c r="N710" t="str">
        <f>TEXT(A710,"mmm yyyy")</f>
        <v>Dec 2019</v>
      </c>
      <c r="O710">
        <f t="shared" si="11"/>
        <v>13.5</v>
      </c>
    </row>
    <row r="711" spans="1:15" x14ac:dyDescent="0.25">
      <c r="A711" s="3">
        <v>43485</v>
      </c>
      <c r="B711" t="s">
        <v>6176</v>
      </c>
      <c r="C711" s="2">
        <v>2</v>
      </c>
      <c r="D711" s="2" t="s">
        <v>4496</v>
      </c>
      <c r="E711" s="2" t="s">
        <v>66</v>
      </c>
      <c r="F711" s="2" t="s">
        <v>19</v>
      </c>
      <c r="G711" t="s">
        <v>6190</v>
      </c>
      <c r="H711" t="str">
        <f>VLOOKUP('Combined table'!B711,products!$A$1:$G$49,2,FALSE)</f>
        <v>Exc</v>
      </c>
      <c r="I711" t="str">
        <f>VLOOKUP('Combined table'!B711,products!$A$1:$G$49,3,FALSE)</f>
        <v>L</v>
      </c>
      <c r="J711">
        <f>VLOOKUP('Combined table'!B711,products!$A$1:$G$49,4,FALSE)</f>
        <v>0.5</v>
      </c>
      <c r="K711">
        <f>VLOOKUP('Combined table'!B711,products!$A$1:$G$49,5,FALSE)</f>
        <v>8.91</v>
      </c>
      <c r="L711">
        <f>VLOOKUP('Combined table'!B711,products!$A$1:$G$49,6,FALSE)</f>
        <v>1.782</v>
      </c>
      <c r="M711">
        <f>VLOOKUP('Combined table'!B711,products!$A$1:$G$49,7,FALSE)</f>
        <v>0.98009999999999997</v>
      </c>
      <c r="N711" t="str">
        <f>TEXT(A711,"mmm yyyy")</f>
        <v>Jan 2019</v>
      </c>
      <c r="O711">
        <f t="shared" si="11"/>
        <v>17.82</v>
      </c>
    </row>
    <row r="712" spans="1:15" x14ac:dyDescent="0.25">
      <c r="A712" s="3">
        <v>44655</v>
      </c>
      <c r="B712" t="s">
        <v>6139</v>
      </c>
      <c r="C712" s="2">
        <v>3</v>
      </c>
      <c r="D712" s="2" t="s">
        <v>4501</v>
      </c>
      <c r="E712" s="2" t="s">
        <v>200</v>
      </c>
      <c r="F712" s="2" t="s">
        <v>19</v>
      </c>
      <c r="G712" t="s">
        <v>6191</v>
      </c>
      <c r="H712" t="str">
        <f>VLOOKUP('Combined table'!B712,products!$A$1:$G$49,2,FALSE)</f>
        <v>Exc</v>
      </c>
      <c r="I712" t="str">
        <f>VLOOKUP('Combined table'!B712,products!$A$1:$G$49,3,FALSE)</f>
        <v>M</v>
      </c>
      <c r="J712">
        <f>VLOOKUP('Combined table'!B712,products!$A$1:$G$49,4,FALSE)</f>
        <v>0.5</v>
      </c>
      <c r="K712">
        <f>VLOOKUP('Combined table'!B712,products!$A$1:$G$49,5,FALSE)</f>
        <v>8.25</v>
      </c>
      <c r="L712">
        <f>VLOOKUP('Combined table'!B712,products!$A$1:$G$49,6,FALSE)</f>
        <v>1.65</v>
      </c>
      <c r="M712">
        <f>VLOOKUP('Combined table'!B712,products!$A$1:$G$49,7,FALSE)</f>
        <v>0.90749999999999997</v>
      </c>
      <c r="N712" t="str">
        <f>TEXT(A712,"mmm yyyy")</f>
        <v>Apr 2022</v>
      </c>
      <c r="O712">
        <f t="shared" si="11"/>
        <v>24.75</v>
      </c>
    </row>
    <row r="713" spans="1:15" x14ac:dyDescent="0.25">
      <c r="A713" s="3">
        <v>44600</v>
      </c>
      <c r="B713" t="s">
        <v>6174</v>
      </c>
      <c r="C713" s="2">
        <v>6</v>
      </c>
      <c r="D713" s="2" t="s">
        <v>4507</v>
      </c>
      <c r="E713" s="2" t="s">
        <v>4511</v>
      </c>
      <c r="F713" s="2" t="s">
        <v>19</v>
      </c>
      <c r="G713" t="s">
        <v>6191</v>
      </c>
      <c r="H713" t="str">
        <f>VLOOKUP('Combined table'!B713,products!$A$1:$G$49,2,FALSE)</f>
        <v>Rob</v>
      </c>
      <c r="I713" t="str">
        <f>VLOOKUP('Combined table'!B713,products!$A$1:$G$49,3,FALSE)</f>
        <v>M</v>
      </c>
      <c r="J713">
        <f>VLOOKUP('Combined table'!B713,products!$A$1:$G$49,4,FALSE)</f>
        <v>0.2</v>
      </c>
      <c r="K713">
        <f>VLOOKUP('Combined table'!B713,products!$A$1:$G$49,5,FALSE)</f>
        <v>2.9849999999999999</v>
      </c>
      <c r="L713">
        <f>VLOOKUP('Combined table'!B713,products!$A$1:$G$49,6,FALSE)</f>
        <v>1.4924999999999999</v>
      </c>
      <c r="M713">
        <f>VLOOKUP('Combined table'!B713,products!$A$1:$G$49,7,FALSE)</f>
        <v>0.17909999999999998</v>
      </c>
      <c r="N713" t="str">
        <f>TEXT(A713,"mmm yyyy")</f>
        <v>Feb 2022</v>
      </c>
      <c r="O713">
        <f t="shared" si="11"/>
        <v>17.91</v>
      </c>
    </row>
    <row r="714" spans="1:15" x14ac:dyDescent="0.25">
      <c r="A714" s="3">
        <v>43646</v>
      </c>
      <c r="B714" t="s">
        <v>6139</v>
      </c>
      <c r="C714" s="2">
        <v>2</v>
      </c>
      <c r="D714" s="2" t="s">
        <v>4514</v>
      </c>
      <c r="E714" s="2" t="s">
        <v>286</v>
      </c>
      <c r="F714" s="2" t="s">
        <v>28</v>
      </c>
      <c r="G714" t="s">
        <v>6191</v>
      </c>
      <c r="H714" t="str">
        <f>VLOOKUP('Combined table'!B714,products!$A$1:$G$49,2,FALSE)</f>
        <v>Exc</v>
      </c>
      <c r="I714" t="str">
        <f>VLOOKUP('Combined table'!B714,products!$A$1:$G$49,3,FALSE)</f>
        <v>M</v>
      </c>
      <c r="J714">
        <f>VLOOKUP('Combined table'!B714,products!$A$1:$G$49,4,FALSE)</f>
        <v>0.5</v>
      </c>
      <c r="K714">
        <f>VLOOKUP('Combined table'!B714,products!$A$1:$G$49,5,FALSE)</f>
        <v>8.25</v>
      </c>
      <c r="L714">
        <f>VLOOKUP('Combined table'!B714,products!$A$1:$G$49,6,FALSE)</f>
        <v>1.65</v>
      </c>
      <c r="M714">
        <f>VLOOKUP('Combined table'!B714,products!$A$1:$G$49,7,FALSE)</f>
        <v>0.90749999999999997</v>
      </c>
      <c r="N714" t="str">
        <f>TEXT(A714,"mmm yyyy")</f>
        <v>Jun 2019</v>
      </c>
      <c r="O714">
        <f t="shared" si="11"/>
        <v>16.5</v>
      </c>
    </row>
    <row r="715" spans="1:15" x14ac:dyDescent="0.25">
      <c r="A715" s="3">
        <v>43960</v>
      </c>
      <c r="B715" t="s">
        <v>6174</v>
      </c>
      <c r="C715" s="2">
        <v>1</v>
      </c>
      <c r="D715" s="2" t="s">
        <v>4518</v>
      </c>
      <c r="E715" s="2" t="s">
        <v>291</v>
      </c>
      <c r="F715" s="2" t="s">
        <v>19</v>
      </c>
      <c r="G715" t="s">
        <v>6191</v>
      </c>
      <c r="H715" t="str">
        <f>VLOOKUP('Combined table'!B715,products!$A$1:$G$49,2,FALSE)</f>
        <v>Rob</v>
      </c>
      <c r="I715" t="str">
        <f>VLOOKUP('Combined table'!B715,products!$A$1:$G$49,3,FALSE)</f>
        <v>M</v>
      </c>
      <c r="J715">
        <f>VLOOKUP('Combined table'!B715,products!$A$1:$G$49,4,FALSE)</f>
        <v>0.2</v>
      </c>
      <c r="K715">
        <f>VLOOKUP('Combined table'!B715,products!$A$1:$G$49,5,FALSE)</f>
        <v>2.9849999999999999</v>
      </c>
      <c r="L715">
        <f>VLOOKUP('Combined table'!B715,products!$A$1:$G$49,6,FALSE)</f>
        <v>1.4924999999999999</v>
      </c>
      <c r="M715">
        <f>VLOOKUP('Combined table'!B715,products!$A$1:$G$49,7,FALSE)</f>
        <v>0.17909999999999998</v>
      </c>
      <c r="N715" t="str">
        <f>TEXT(A715,"mmm yyyy")</f>
        <v>May 2020</v>
      </c>
      <c r="O715">
        <f t="shared" si="11"/>
        <v>2.9849999999999999</v>
      </c>
    </row>
    <row r="716" spans="1:15" x14ac:dyDescent="0.25">
      <c r="A716" s="3">
        <v>44358</v>
      </c>
      <c r="B716" t="s">
        <v>6153</v>
      </c>
      <c r="C716" s="2">
        <v>4</v>
      </c>
      <c r="D716" s="2" t="s">
        <v>4524</v>
      </c>
      <c r="E716" s="2" t="s">
        <v>436</v>
      </c>
      <c r="F716" s="2" t="s">
        <v>318</v>
      </c>
      <c r="G716" t="s">
        <v>6190</v>
      </c>
      <c r="H716" t="str">
        <f>VLOOKUP('Combined table'!B716,products!$A$1:$G$49,2,FALSE)</f>
        <v>Exc</v>
      </c>
      <c r="I716" t="str">
        <f>VLOOKUP('Combined table'!B716,products!$A$1:$G$49,3,FALSE)</f>
        <v>D</v>
      </c>
      <c r="J716">
        <f>VLOOKUP('Combined table'!B716,products!$A$1:$G$49,4,FALSE)</f>
        <v>0.2</v>
      </c>
      <c r="K716">
        <f>VLOOKUP('Combined table'!B716,products!$A$1:$G$49,5,FALSE)</f>
        <v>3.645</v>
      </c>
      <c r="L716">
        <f>VLOOKUP('Combined table'!B716,products!$A$1:$G$49,6,FALSE)</f>
        <v>1.8225</v>
      </c>
      <c r="M716">
        <f>VLOOKUP('Combined table'!B716,products!$A$1:$G$49,7,FALSE)</f>
        <v>0.40095000000000003</v>
      </c>
      <c r="N716" t="str">
        <f>TEXT(A716,"mmm yyyy")</f>
        <v>Jun 2021</v>
      </c>
      <c r="O716">
        <f t="shared" si="11"/>
        <v>14.58</v>
      </c>
    </row>
    <row r="717" spans="1:15" x14ac:dyDescent="0.25">
      <c r="A717" s="3">
        <v>44504</v>
      </c>
      <c r="B717" t="s">
        <v>6171</v>
      </c>
      <c r="C717" s="2">
        <v>6</v>
      </c>
      <c r="D717" s="2" t="s">
        <v>4530</v>
      </c>
      <c r="E717" s="2" t="s">
        <v>137</v>
      </c>
      <c r="F717" s="2" t="s">
        <v>19</v>
      </c>
      <c r="G717" t="s">
        <v>6191</v>
      </c>
      <c r="H717" t="str">
        <f>VLOOKUP('Combined table'!B717,products!$A$1:$G$49,2,FALSE)</f>
        <v>Exc</v>
      </c>
      <c r="I717" t="str">
        <f>VLOOKUP('Combined table'!B717,products!$A$1:$G$49,3,FALSE)</f>
        <v>L</v>
      </c>
      <c r="J717">
        <f>VLOOKUP('Combined table'!B717,products!$A$1:$G$49,4,FALSE)</f>
        <v>1</v>
      </c>
      <c r="K717">
        <f>VLOOKUP('Combined table'!B717,products!$A$1:$G$49,5,FALSE)</f>
        <v>14.85</v>
      </c>
      <c r="L717">
        <f>VLOOKUP('Combined table'!B717,products!$A$1:$G$49,6,FALSE)</f>
        <v>1.4849999999999999</v>
      </c>
      <c r="M717">
        <f>VLOOKUP('Combined table'!B717,products!$A$1:$G$49,7,FALSE)</f>
        <v>1.6335</v>
      </c>
      <c r="N717" t="str">
        <f>TEXT(A717,"mmm yyyy")</f>
        <v>Nov 2021</v>
      </c>
      <c r="O717">
        <f t="shared" si="11"/>
        <v>89.1</v>
      </c>
    </row>
    <row r="718" spans="1:15" x14ac:dyDescent="0.25">
      <c r="A718" s="3">
        <v>44612</v>
      </c>
      <c r="B718" t="s">
        <v>6179</v>
      </c>
      <c r="C718" s="2">
        <v>3</v>
      </c>
      <c r="D718" s="2" t="s">
        <v>4535</v>
      </c>
      <c r="E718" s="2" t="s">
        <v>1447</v>
      </c>
      <c r="F718" s="2" t="s">
        <v>318</v>
      </c>
      <c r="G718" t="s">
        <v>6191</v>
      </c>
      <c r="H718" t="str">
        <f>VLOOKUP('Combined table'!B718,products!$A$1:$G$49,2,FALSE)</f>
        <v>Rob</v>
      </c>
      <c r="I718" t="str">
        <f>VLOOKUP('Combined table'!B718,products!$A$1:$G$49,3,FALSE)</f>
        <v>L</v>
      </c>
      <c r="J718">
        <f>VLOOKUP('Combined table'!B718,products!$A$1:$G$49,4,FALSE)</f>
        <v>1</v>
      </c>
      <c r="K718">
        <f>VLOOKUP('Combined table'!B718,products!$A$1:$G$49,5,FALSE)</f>
        <v>11.95</v>
      </c>
      <c r="L718">
        <f>VLOOKUP('Combined table'!B718,products!$A$1:$G$49,6,FALSE)</f>
        <v>1.1949999999999998</v>
      </c>
      <c r="M718">
        <f>VLOOKUP('Combined table'!B718,products!$A$1:$G$49,7,FALSE)</f>
        <v>0.71699999999999997</v>
      </c>
      <c r="N718" t="str">
        <f>TEXT(A718,"mmm yyyy")</f>
        <v>Feb 2022</v>
      </c>
      <c r="O718">
        <f t="shared" si="11"/>
        <v>35.849999999999994</v>
      </c>
    </row>
    <row r="719" spans="1:15" x14ac:dyDescent="0.25">
      <c r="A719" s="3">
        <v>43649</v>
      </c>
      <c r="B719" t="s">
        <v>6168</v>
      </c>
      <c r="C719" s="2">
        <v>3</v>
      </c>
      <c r="D719" s="2" t="s">
        <v>4541</v>
      </c>
      <c r="E719" s="2" t="s">
        <v>46</v>
      </c>
      <c r="F719" s="2" t="s">
        <v>19</v>
      </c>
      <c r="G719" t="s">
        <v>6191</v>
      </c>
      <c r="H719" t="str">
        <f>VLOOKUP('Combined table'!B719,products!$A$1:$G$49,2,FALSE)</f>
        <v>Ara</v>
      </c>
      <c r="I719" t="str">
        <f>VLOOKUP('Combined table'!B719,products!$A$1:$G$49,3,FALSE)</f>
        <v>D</v>
      </c>
      <c r="J719">
        <f>VLOOKUP('Combined table'!B719,products!$A$1:$G$49,4,FALSE)</f>
        <v>2.5</v>
      </c>
      <c r="K719">
        <f>VLOOKUP('Combined table'!B719,products!$A$1:$G$49,5,FALSE)</f>
        <v>22.884999999999998</v>
      </c>
      <c r="L719">
        <f>VLOOKUP('Combined table'!B719,products!$A$1:$G$49,6,FALSE)</f>
        <v>0.91539999999999988</v>
      </c>
      <c r="M719">
        <f>VLOOKUP('Combined table'!B719,products!$A$1:$G$49,7,FALSE)</f>
        <v>2.0596499999999995</v>
      </c>
      <c r="N719" t="str">
        <f>TEXT(A719,"mmm yyyy")</f>
        <v>Jul 2019</v>
      </c>
      <c r="O719">
        <f t="shared" si="11"/>
        <v>68.655000000000001</v>
      </c>
    </row>
    <row r="720" spans="1:15" x14ac:dyDescent="0.25">
      <c r="A720" s="3">
        <v>44348</v>
      </c>
      <c r="B720" t="s">
        <v>6143</v>
      </c>
      <c r="C720" s="2">
        <v>3</v>
      </c>
      <c r="D720" s="2" t="s">
        <v>4547</v>
      </c>
      <c r="E720" s="2" t="s">
        <v>467</v>
      </c>
      <c r="F720" s="2" t="s">
        <v>19</v>
      </c>
      <c r="G720" t="s">
        <v>6191</v>
      </c>
      <c r="H720" t="str">
        <f>VLOOKUP('Combined table'!B720,products!$A$1:$G$49,2,FALSE)</f>
        <v>Lib</v>
      </c>
      <c r="I720" t="str">
        <f>VLOOKUP('Combined table'!B720,products!$A$1:$G$49,3,FALSE)</f>
        <v>D</v>
      </c>
      <c r="J720">
        <f>VLOOKUP('Combined table'!B720,products!$A$1:$G$49,4,FALSE)</f>
        <v>1</v>
      </c>
      <c r="K720">
        <f>VLOOKUP('Combined table'!B720,products!$A$1:$G$49,5,FALSE)</f>
        <v>12.95</v>
      </c>
      <c r="L720">
        <f>VLOOKUP('Combined table'!B720,products!$A$1:$G$49,6,FALSE)</f>
        <v>1.2949999999999999</v>
      </c>
      <c r="M720">
        <f>VLOOKUP('Combined table'!B720,products!$A$1:$G$49,7,FALSE)</f>
        <v>1.6835</v>
      </c>
      <c r="N720" t="str">
        <f>TEXT(A720,"mmm yyyy")</f>
        <v>Jun 2021</v>
      </c>
      <c r="O720">
        <f t="shared" si="11"/>
        <v>38.849999999999994</v>
      </c>
    </row>
    <row r="721" spans="1:15" x14ac:dyDescent="0.25">
      <c r="A721" s="3">
        <v>44150</v>
      </c>
      <c r="B721" t="s">
        <v>6170</v>
      </c>
      <c r="C721" s="2">
        <v>5</v>
      </c>
      <c r="D721" s="2" t="s">
        <v>4553</v>
      </c>
      <c r="E721" s="2" t="s">
        <v>27</v>
      </c>
      <c r="F721" s="2" t="s">
        <v>19</v>
      </c>
      <c r="G721" t="s">
        <v>6190</v>
      </c>
      <c r="H721" t="str">
        <f>VLOOKUP('Combined table'!B721,products!$A$1:$G$49,2,FALSE)</f>
        <v>Lib</v>
      </c>
      <c r="I721" t="str">
        <f>VLOOKUP('Combined table'!B721,products!$A$1:$G$49,3,FALSE)</f>
        <v>L</v>
      </c>
      <c r="J721">
        <f>VLOOKUP('Combined table'!B721,products!$A$1:$G$49,4,FALSE)</f>
        <v>1</v>
      </c>
      <c r="K721">
        <f>VLOOKUP('Combined table'!B721,products!$A$1:$G$49,5,FALSE)</f>
        <v>15.85</v>
      </c>
      <c r="L721">
        <f>VLOOKUP('Combined table'!B721,products!$A$1:$G$49,6,FALSE)</f>
        <v>1.585</v>
      </c>
      <c r="M721">
        <f>VLOOKUP('Combined table'!B721,products!$A$1:$G$49,7,FALSE)</f>
        <v>2.0605000000000002</v>
      </c>
      <c r="N721" t="str">
        <f>TEXT(A721,"mmm yyyy")</f>
        <v>Nov 2020</v>
      </c>
      <c r="O721">
        <f t="shared" si="11"/>
        <v>79.25</v>
      </c>
    </row>
    <row r="722" spans="1:15" x14ac:dyDescent="0.25">
      <c r="A722" s="3">
        <v>44215</v>
      </c>
      <c r="B722" t="s">
        <v>6144</v>
      </c>
      <c r="C722" s="2">
        <v>5</v>
      </c>
      <c r="D722" s="2" t="s">
        <v>4559</v>
      </c>
      <c r="E722" s="2" t="s">
        <v>174</v>
      </c>
      <c r="F722" s="2" t="s">
        <v>19</v>
      </c>
      <c r="G722" t="s">
        <v>6190</v>
      </c>
      <c r="H722" t="str">
        <f>VLOOKUP('Combined table'!B722,products!$A$1:$G$49,2,FALSE)</f>
        <v>Exc</v>
      </c>
      <c r="I722" t="str">
        <f>VLOOKUP('Combined table'!B722,products!$A$1:$G$49,3,FALSE)</f>
        <v>D</v>
      </c>
      <c r="J722">
        <f>VLOOKUP('Combined table'!B722,products!$A$1:$G$49,4,FALSE)</f>
        <v>0.5</v>
      </c>
      <c r="K722">
        <f>VLOOKUP('Combined table'!B722,products!$A$1:$G$49,5,FALSE)</f>
        <v>7.29</v>
      </c>
      <c r="L722">
        <f>VLOOKUP('Combined table'!B722,products!$A$1:$G$49,6,FALSE)</f>
        <v>1.458</v>
      </c>
      <c r="M722">
        <f>VLOOKUP('Combined table'!B722,products!$A$1:$G$49,7,FALSE)</f>
        <v>0.80190000000000006</v>
      </c>
      <c r="N722" t="str">
        <f>TEXT(A722,"mmm yyyy")</f>
        <v>Jan 2021</v>
      </c>
      <c r="O722">
        <f t="shared" si="11"/>
        <v>36.450000000000003</v>
      </c>
    </row>
    <row r="723" spans="1:15" x14ac:dyDescent="0.25">
      <c r="A723" s="3">
        <v>44479</v>
      </c>
      <c r="B723" t="s">
        <v>6174</v>
      </c>
      <c r="C723" s="2">
        <v>3</v>
      </c>
      <c r="D723" s="2" t="s">
        <v>4565</v>
      </c>
      <c r="E723" s="2" t="s">
        <v>209</v>
      </c>
      <c r="F723" s="2" t="s">
        <v>19</v>
      </c>
      <c r="G723" t="s">
        <v>6190</v>
      </c>
      <c r="H723" t="str">
        <f>VLOOKUP('Combined table'!B723,products!$A$1:$G$49,2,FALSE)</f>
        <v>Rob</v>
      </c>
      <c r="I723" t="str">
        <f>VLOOKUP('Combined table'!B723,products!$A$1:$G$49,3,FALSE)</f>
        <v>M</v>
      </c>
      <c r="J723">
        <f>VLOOKUP('Combined table'!B723,products!$A$1:$G$49,4,FALSE)</f>
        <v>0.2</v>
      </c>
      <c r="K723">
        <f>VLOOKUP('Combined table'!B723,products!$A$1:$G$49,5,FALSE)</f>
        <v>2.9849999999999999</v>
      </c>
      <c r="L723">
        <f>VLOOKUP('Combined table'!B723,products!$A$1:$G$49,6,FALSE)</f>
        <v>1.4924999999999999</v>
      </c>
      <c r="M723">
        <f>VLOOKUP('Combined table'!B723,products!$A$1:$G$49,7,FALSE)</f>
        <v>0.17909999999999998</v>
      </c>
      <c r="N723" t="str">
        <f>TEXT(A723,"mmm yyyy")</f>
        <v>Oct 2021</v>
      </c>
      <c r="O723">
        <f t="shared" si="11"/>
        <v>8.9550000000000001</v>
      </c>
    </row>
    <row r="724" spans="1:15" x14ac:dyDescent="0.25">
      <c r="A724" s="3">
        <v>44620</v>
      </c>
      <c r="B724" t="s">
        <v>6183</v>
      </c>
      <c r="C724" s="2">
        <v>2</v>
      </c>
      <c r="D724" s="2" t="s">
        <v>4571</v>
      </c>
      <c r="E724" s="2" t="s">
        <v>146</v>
      </c>
      <c r="F724" s="2" t="s">
        <v>19</v>
      </c>
      <c r="G724" t="s">
        <v>6191</v>
      </c>
      <c r="H724" t="str">
        <f>VLOOKUP('Combined table'!B724,products!$A$1:$G$49,2,FALSE)</f>
        <v>Exc</v>
      </c>
      <c r="I724" t="str">
        <f>VLOOKUP('Combined table'!B724,products!$A$1:$G$49,3,FALSE)</f>
        <v>D</v>
      </c>
      <c r="J724">
        <f>VLOOKUP('Combined table'!B724,products!$A$1:$G$49,4,FALSE)</f>
        <v>1</v>
      </c>
      <c r="K724">
        <f>VLOOKUP('Combined table'!B724,products!$A$1:$G$49,5,FALSE)</f>
        <v>12.15</v>
      </c>
      <c r="L724">
        <f>VLOOKUP('Combined table'!B724,products!$A$1:$G$49,6,FALSE)</f>
        <v>1.2150000000000001</v>
      </c>
      <c r="M724">
        <f>VLOOKUP('Combined table'!B724,products!$A$1:$G$49,7,FALSE)</f>
        <v>1.3365</v>
      </c>
      <c r="N724" t="str">
        <f>TEXT(A724,"mmm yyyy")</f>
        <v>Feb 2022</v>
      </c>
      <c r="O724">
        <f t="shared" si="11"/>
        <v>24.3</v>
      </c>
    </row>
    <row r="725" spans="1:15" x14ac:dyDescent="0.25">
      <c r="A725" s="3">
        <v>44470</v>
      </c>
      <c r="B725" t="s">
        <v>6166</v>
      </c>
      <c r="C725" s="2">
        <v>2</v>
      </c>
      <c r="D725" s="2" t="s">
        <v>4576</v>
      </c>
      <c r="E725" s="2" t="s">
        <v>30</v>
      </c>
      <c r="F725" s="2" t="s">
        <v>19</v>
      </c>
      <c r="G725" t="s">
        <v>6191</v>
      </c>
      <c r="H725" t="str">
        <f>VLOOKUP('Combined table'!B725,products!$A$1:$G$49,2,FALSE)</f>
        <v>Exc</v>
      </c>
      <c r="I725" t="str">
        <f>VLOOKUP('Combined table'!B725,products!$A$1:$G$49,3,FALSE)</f>
        <v>M</v>
      </c>
      <c r="J725">
        <f>VLOOKUP('Combined table'!B725,products!$A$1:$G$49,4,FALSE)</f>
        <v>2.5</v>
      </c>
      <c r="K725">
        <f>VLOOKUP('Combined table'!B725,products!$A$1:$G$49,5,FALSE)</f>
        <v>31.624999999999996</v>
      </c>
      <c r="L725">
        <f>VLOOKUP('Combined table'!B725,products!$A$1:$G$49,6,FALSE)</f>
        <v>1.2649999999999999</v>
      </c>
      <c r="M725">
        <f>VLOOKUP('Combined table'!B725,products!$A$1:$G$49,7,FALSE)</f>
        <v>3.4787499999999998</v>
      </c>
      <c r="N725" t="str">
        <f>TEXT(A725,"mmm yyyy")</f>
        <v>Oct 2021</v>
      </c>
      <c r="O725">
        <f t="shared" si="11"/>
        <v>63.249999999999993</v>
      </c>
    </row>
    <row r="726" spans="1:15" x14ac:dyDescent="0.25">
      <c r="A726" s="3">
        <v>44076</v>
      </c>
      <c r="B726" t="s">
        <v>6152</v>
      </c>
      <c r="C726" s="2">
        <v>2</v>
      </c>
      <c r="D726" s="2" t="s">
        <v>4582</v>
      </c>
      <c r="E726" s="2" t="s">
        <v>57</v>
      </c>
      <c r="F726" s="2" t="s">
        <v>19</v>
      </c>
      <c r="G726" t="s">
        <v>6190</v>
      </c>
      <c r="H726" t="str">
        <f>VLOOKUP('Combined table'!B726,products!$A$1:$G$49,2,FALSE)</f>
        <v>Ara</v>
      </c>
      <c r="I726" t="str">
        <f>VLOOKUP('Combined table'!B726,products!$A$1:$G$49,3,FALSE)</f>
        <v>M</v>
      </c>
      <c r="J726">
        <f>VLOOKUP('Combined table'!B726,products!$A$1:$G$49,4,FALSE)</f>
        <v>0.2</v>
      </c>
      <c r="K726">
        <f>VLOOKUP('Combined table'!B726,products!$A$1:$G$49,5,FALSE)</f>
        <v>3.375</v>
      </c>
      <c r="L726">
        <f>VLOOKUP('Combined table'!B726,products!$A$1:$G$49,6,FALSE)</f>
        <v>1.6875</v>
      </c>
      <c r="M726">
        <f>VLOOKUP('Combined table'!B726,products!$A$1:$G$49,7,FALSE)</f>
        <v>0.30374999999999996</v>
      </c>
      <c r="N726" t="str">
        <f>TEXT(A726,"mmm yyyy")</f>
        <v>Sep 2020</v>
      </c>
      <c r="O726">
        <f t="shared" si="11"/>
        <v>6.75</v>
      </c>
    </row>
    <row r="727" spans="1:15" x14ac:dyDescent="0.25">
      <c r="A727" s="3">
        <v>44043</v>
      </c>
      <c r="B727" t="s">
        <v>6167</v>
      </c>
      <c r="C727" s="2">
        <v>6</v>
      </c>
      <c r="D727" s="2" t="s">
        <v>4587</v>
      </c>
      <c r="E727" s="2" t="s">
        <v>78</v>
      </c>
      <c r="F727" s="2" t="s">
        <v>19</v>
      </c>
      <c r="G727" t="s">
        <v>6191</v>
      </c>
      <c r="H727" t="str">
        <f>VLOOKUP('Combined table'!B727,products!$A$1:$G$49,2,FALSE)</f>
        <v>Ara</v>
      </c>
      <c r="I727" t="str">
        <f>VLOOKUP('Combined table'!B727,products!$A$1:$G$49,3,FALSE)</f>
        <v>L</v>
      </c>
      <c r="J727">
        <f>VLOOKUP('Combined table'!B727,products!$A$1:$G$49,4,FALSE)</f>
        <v>0.2</v>
      </c>
      <c r="K727">
        <f>VLOOKUP('Combined table'!B727,products!$A$1:$G$49,5,FALSE)</f>
        <v>3.8849999999999998</v>
      </c>
      <c r="L727">
        <f>VLOOKUP('Combined table'!B727,products!$A$1:$G$49,6,FALSE)</f>
        <v>1.9424999999999999</v>
      </c>
      <c r="M727">
        <f>VLOOKUP('Combined table'!B727,products!$A$1:$G$49,7,FALSE)</f>
        <v>0.34964999999999996</v>
      </c>
      <c r="N727" t="str">
        <f>TEXT(A727,"mmm yyyy")</f>
        <v>Jul 2020</v>
      </c>
      <c r="O727">
        <f t="shared" si="11"/>
        <v>23.31</v>
      </c>
    </row>
    <row r="728" spans="1:15" x14ac:dyDescent="0.25">
      <c r="A728" s="3">
        <v>44571</v>
      </c>
      <c r="B728" t="s">
        <v>6164</v>
      </c>
      <c r="C728" s="2">
        <v>4</v>
      </c>
      <c r="D728" s="2" t="s">
        <v>4593</v>
      </c>
      <c r="E728" s="2" t="s">
        <v>277</v>
      </c>
      <c r="F728" s="2" t="s">
        <v>19</v>
      </c>
      <c r="G728" t="s">
        <v>6191</v>
      </c>
      <c r="H728" t="str">
        <f>VLOOKUP('Combined table'!B728,products!$A$1:$G$49,2,FALSE)</f>
        <v>Lib</v>
      </c>
      <c r="I728" t="str">
        <f>VLOOKUP('Combined table'!B728,products!$A$1:$G$49,3,FALSE)</f>
        <v>L</v>
      </c>
      <c r="J728">
        <f>VLOOKUP('Combined table'!B728,products!$A$1:$G$49,4,FALSE)</f>
        <v>2.5</v>
      </c>
      <c r="K728">
        <f>VLOOKUP('Combined table'!B728,products!$A$1:$G$49,5,FALSE)</f>
        <v>36.454999999999998</v>
      </c>
      <c r="L728">
        <f>VLOOKUP('Combined table'!B728,products!$A$1:$G$49,6,FALSE)</f>
        <v>1.4581999999999999</v>
      </c>
      <c r="M728">
        <f>VLOOKUP('Combined table'!B728,products!$A$1:$G$49,7,FALSE)</f>
        <v>4.7391499999999995</v>
      </c>
      <c r="N728" t="str">
        <f>TEXT(A728,"mmm yyyy")</f>
        <v>Jan 2022</v>
      </c>
      <c r="O728">
        <f t="shared" si="11"/>
        <v>145.82</v>
      </c>
    </row>
    <row r="729" spans="1:15" x14ac:dyDescent="0.25">
      <c r="A729" s="3">
        <v>44264</v>
      </c>
      <c r="B729" t="s">
        <v>6146</v>
      </c>
      <c r="C729" s="2">
        <v>5</v>
      </c>
      <c r="D729" s="2" t="s">
        <v>4598</v>
      </c>
      <c r="E729" s="2" t="s">
        <v>331</v>
      </c>
      <c r="F729" s="2" t="s">
        <v>318</v>
      </c>
      <c r="G729" t="s">
        <v>6190</v>
      </c>
      <c r="H729" t="str">
        <f>VLOOKUP('Combined table'!B729,products!$A$1:$G$49,2,FALSE)</f>
        <v>Rob</v>
      </c>
      <c r="I729" t="str">
        <f>VLOOKUP('Combined table'!B729,products!$A$1:$G$49,3,FALSE)</f>
        <v>M</v>
      </c>
      <c r="J729">
        <f>VLOOKUP('Combined table'!B729,products!$A$1:$G$49,4,FALSE)</f>
        <v>0.5</v>
      </c>
      <c r="K729">
        <f>VLOOKUP('Combined table'!B729,products!$A$1:$G$49,5,FALSE)</f>
        <v>5.97</v>
      </c>
      <c r="L729">
        <f>VLOOKUP('Combined table'!B729,products!$A$1:$G$49,6,FALSE)</f>
        <v>1.194</v>
      </c>
      <c r="M729">
        <f>VLOOKUP('Combined table'!B729,products!$A$1:$G$49,7,FALSE)</f>
        <v>0.35819999999999996</v>
      </c>
      <c r="N729" t="str">
        <f>TEXT(A729,"mmm yyyy")</f>
        <v>Mar 2021</v>
      </c>
      <c r="O729">
        <f t="shared" si="11"/>
        <v>29.849999999999998</v>
      </c>
    </row>
    <row r="730" spans="1:15" x14ac:dyDescent="0.25">
      <c r="A730" s="3">
        <v>44155</v>
      </c>
      <c r="B730" t="s">
        <v>6144</v>
      </c>
      <c r="C730" s="2">
        <v>3</v>
      </c>
      <c r="D730" s="2" t="s">
        <v>4604</v>
      </c>
      <c r="E730" s="2" t="s">
        <v>122</v>
      </c>
      <c r="F730" s="2" t="s">
        <v>19</v>
      </c>
      <c r="G730" t="s">
        <v>6190</v>
      </c>
      <c r="H730" t="str">
        <f>VLOOKUP('Combined table'!B730,products!$A$1:$G$49,2,FALSE)</f>
        <v>Exc</v>
      </c>
      <c r="I730" t="str">
        <f>VLOOKUP('Combined table'!B730,products!$A$1:$G$49,3,FALSE)</f>
        <v>D</v>
      </c>
      <c r="J730">
        <f>VLOOKUP('Combined table'!B730,products!$A$1:$G$49,4,FALSE)</f>
        <v>0.5</v>
      </c>
      <c r="K730">
        <f>VLOOKUP('Combined table'!B730,products!$A$1:$G$49,5,FALSE)</f>
        <v>7.29</v>
      </c>
      <c r="L730">
        <f>VLOOKUP('Combined table'!B730,products!$A$1:$G$49,6,FALSE)</f>
        <v>1.458</v>
      </c>
      <c r="M730">
        <f>VLOOKUP('Combined table'!B730,products!$A$1:$G$49,7,FALSE)</f>
        <v>0.80190000000000006</v>
      </c>
      <c r="N730" t="str">
        <f>TEXT(A730,"mmm yyyy")</f>
        <v>Nov 2020</v>
      </c>
      <c r="O730">
        <f t="shared" si="11"/>
        <v>21.87</v>
      </c>
    </row>
    <row r="731" spans="1:15" x14ac:dyDescent="0.25">
      <c r="A731" s="3">
        <v>44634</v>
      </c>
      <c r="B731" t="s">
        <v>6159</v>
      </c>
      <c r="C731" s="2">
        <v>1</v>
      </c>
      <c r="D731" s="2" t="s">
        <v>4610</v>
      </c>
      <c r="E731" s="2" t="s">
        <v>81</v>
      </c>
      <c r="F731" s="2" t="s">
        <v>28</v>
      </c>
      <c r="G731" t="s">
        <v>6191</v>
      </c>
      <c r="H731" t="str">
        <f>VLOOKUP('Combined table'!B731,products!$A$1:$G$49,2,FALSE)</f>
        <v>Lib</v>
      </c>
      <c r="I731" t="str">
        <f>VLOOKUP('Combined table'!B731,products!$A$1:$G$49,3,FALSE)</f>
        <v>M</v>
      </c>
      <c r="J731">
        <f>VLOOKUP('Combined table'!B731,products!$A$1:$G$49,4,FALSE)</f>
        <v>0.2</v>
      </c>
      <c r="K731">
        <f>VLOOKUP('Combined table'!B731,products!$A$1:$G$49,5,FALSE)</f>
        <v>4.3650000000000002</v>
      </c>
      <c r="L731">
        <f>VLOOKUP('Combined table'!B731,products!$A$1:$G$49,6,FALSE)</f>
        <v>2.1825000000000001</v>
      </c>
      <c r="M731">
        <f>VLOOKUP('Combined table'!B731,products!$A$1:$G$49,7,FALSE)</f>
        <v>0.56745000000000001</v>
      </c>
      <c r="N731" t="str">
        <f>TEXT(A731,"mmm yyyy")</f>
        <v>Mar 2022</v>
      </c>
      <c r="O731">
        <f t="shared" si="11"/>
        <v>4.3650000000000002</v>
      </c>
    </row>
    <row r="732" spans="1:15" x14ac:dyDescent="0.25">
      <c r="A732" s="3">
        <v>43475</v>
      </c>
      <c r="B732" t="s">
        <v>6164</v>
      </c>
      <c r="C732" s="2">
        <v>1</v>
      </c>
      <c r="D732" s="2" t="s">
        <v>4616</v>
      </c>
      <c r="E732" s="2" t="s">
        <v>107</v>
      </c>
      <c r="F732" s="2" t="s">
        <v>19</v>
      </c>
      <c r="G732" t="s">
        <v>6191</v>
      </c>
      <c r="H732" t="str">
        <f>VLOOKUP('Combined table'!B732,products!$A$1:$G$49,2,FALSE)</f>
        <v>Lib</v>
      </c>
      <c r="I732" t="str">
        <f>VLOOKUP('Combined table'!B732,products!$A$1:$G$49,3,FALSE)</f>
        <v>L</v>
      </c>
      <c r="J732">
        <f>VLOOKUP('Combined table'!B732,products!$A$1:$G$49,4,FALSE)</f>
        <v>2.5</v>
      </c>
      <c r="K732">
        <f>VLOOKUP('Combined table'!B732,products!$A$1:$G$49,5,FALSE)</f>
        <v>36.454999999999998</v>
      </c>
      <c r="L732">
        <f>VLOOKUP('Combined table'!B732,products!$A$1:$G$49,6,FALSE)</f>
        <v>1.4581999999999999</v>
      </c>
      <c r="M732">
        <f>VLOOKUP('Combined table'!B732,products!$A$1:$G$49,7,FALSE)</f>
        <v>4.7391499999999995</v>
      </c>
      <c r="N732" t="str">
        <f>TEXT(A732,"mmm yyyy")</f>
        <v>Jan 2019</v>
      </c>
      <c r="O732">
        <f t="shared" si="11"/>
        <v>36.454999999999998</v>
      </c>
    </row>
    <row r="733" spans="1:15" x14ac:dyDescent="0.25">
      <c r="A733" s="3">
        <v>44222</v>
      </c>
      <c r="B733" t="s">
        <v>6150</v>
      </c>
      <c r="C733" s="2">
        <v>4</v>
      </c>
      <c r="D733" s="2" t="s">
        <v>4622</v>
      </c>
      <c r="E733" s="2" t="s">
        <v>168</v>
      </c>
      <c r="F733" s="2" t="s">
        <v>19</v>
      </c>
      <c r="G733" t="s">
        <v>6190</v>
      </c>
      <c r="H733" t="str">
        <f>VLOOKUP('Combined table'!B733,products!$A$1:$G$49,2,FALSE)</f>
        <v>Lib</v>
      </c>
      <c r="I733" t="str">
        <f>VLOOKUP('Combined table'!B733,products!$A$1:$G$49,3,FALSE)</f>
        <v>D</v>
      </c>
      <c r="J733">
        <f>VLOOKUP('Combined table'!B733,products!$A$1:$G$49,4,FALSE)</f>
        <v>0.2</v>
      </c>
      <c r="K733">
        <f>VLOOKUP('Combined table'!B733,products!$A$1:$G$49,5,FALSE)</f>
        <v>3.8849999999999998</v>
      </c>
      <c r="L733">
        <f>VLOOKUP('Combined table'!B733,products!$A$1:$G$49,6,FALSE)</f>
        <v>1.9424999999999999</v>
      </c>
      <c r="M733">
        <f>VLOOKUP('Combined table'!B733,products!$A$1:$G$49,7,FALSE)</f>
        <v>0.50505</v>
      </c>
      <c r="N733" t="str">
        <f>TEXT(A733,"mmm yyyy")</f>
        <v>Jan 2021</v>
      </c>
      <c r="O733">
        <f t="shared" si="11"/>
        <v>15.54</v>
      </c>
    </row>
    <row r="734" spans="1:15" x14ac:dyDescent="0.25">
      <c r="A734" s="3">
        <v>44312</v>
      </c>
      <c r="B734" t="s">
        <v>6184</v>
      </c>
      <c r="C734" s="2">
        <v>2</v>
      </c>
      <c r="D734" s="2" t="s">
        <v>4627</v>
      </c>
      <c r="E734" s="2" t="s">
        <v>122</v>
      </c>
      <c r="F734" s="2" t="s">
        <v>19</v>
      </c>
      <c r="G734" t="s">
        <v>6191</v>
      </c>
      <c r="H734" t="str">
        <f>VLOOKUP('Combined table'!B734,products!$A$1:$G$49,2,FALSE)</f>
        <v>Exc</v>
      </c>
      <c r="I734" t="str">
        <f>VLOOKUP('Combined table'!B734,products!$A$1:$G$49,3,FALSE)</f>
        <v>L</v>
      </c>
      <c r="J734">
        <f>VLOOKUP('Combined table'!B734,products!$A$1:$G$49,4,FALSE)</f>
        <v>0.2</v>
      </c>
      <c r="K734">
        <f>VLOOKUP('Combined table'!B734,products!$A$1:$G$49,5,FALSE)</f>
        <v>4.4550000000000001</v>
      </c>
      <c r="L734">
        <f>VLOOKUP('Combined table'!B734,products!$A$1:$G$49,6,FALSE)</f>
        <v>2.2275</v>
      </c>
      <c r="M734">
        <f>VLOOKUP('Combined table'!B734,products!$A$1:$G$49,7,FALSE)</f>
        <v>0.49004999999999999</v>
      </c>
      <c r="N734" t="str">
        <f>TEXT(A734,"mmm yyyy")</f>
        <v>Apr 2021</v>
      </c>
      <c r="O734">
        <f t="shared" si="11"/>
        <v>8.91</v>
      </c>
    </row>
    <row r="735" spans="1:15" x14ac:dyDescent="0.25">
      <c r="A735" s="3">
        <v>44565</v>
      </c>
      <c r="B735" t="s">
        <v>6181</v>
      </c>
      <c r="C735" s="2">
        <v>3</v>
      </c>
      <c r="D735" s="2" t="s">
        <v>4633</v>
      </c>
      <c r="E735" s="2" t="s">
        <v>142</v>
      </c>
      <c r="F735" s="2" t="s">
        <v>19</v>
      </c>
      <c r="G735" t="s">
        <v>6190</v>
      </c>
      <c r="H735" t="str">
        <f>VLOOKUP('Combined table'!B735,products!$A$1:$G$49,2,FALSE)</f>
        <v>Lib</v>
      </c>
      <c r="I735" t="str">
        <f>VLOOKUP('Combined table'!B735,products!$A$1:$G$49,3,FALSE)</f>
        <v>M</v>
      </c>
      <c r="J735">
        <f>VLOOKUP('Combined table'!B735,products!$A$1:$G$49,4,FALSE)</f>
        <v>2.5</v>
      </c>
      <c r="K735">
        <f>VLOOKUP('Combined table'!B735,products!$A$1:$G$49,5,FALSE)</f>
        <v>33.464999999999996</v>
      </c>
      <c r="L735">
        <f>VLOOKUP('Combined table'!B735,products!$A$1:$G$49,6,FALSE)</f>
        <v>1.3385999999999998</v>
      </c>
      <c r="M735">
        <f>VLOOKUP('Combined table'!B735,products!$A$1:$G$49,7,FALSE)</f>
        <v>4.3504499999999995</v>
      </c>
      <c r="N735" t="str">
        <f>TEXT(A735,"mmm yyyy")</f>
        <v>Jan 2022</v>
      </c>
      <c r="O735">
        <f t="shared" si="11"/>
        <v>100.39499999999998</v>
      </c>
    </row>
    <row r="736" spans="1:15" x14ac:dyDescent="0.25">
      <c r="A736" s="3">
        <v>43697</v>
      </c>
      <c r="B736" t="s">
        <v>6163</v>
      </c>
      <c r="C736" s="2">
        <v>5</v>
      </c>
      <c r="D736" s="2" t="s">
        <v>4639</v>
      </c>
      <c r="E736" s="2" t="s">
        <v>206</v>
      </c>
      <c r="F736" s="2" t="s">
        <v>19</v>
      </c>
      <c r="G736" t="s">
        <v>6191</v>
      </c>
      <c r="H736" t="str">
        <f>VLOOKUP('Combined table'!B736,products!$A$1:$G$49,2,FALSE)</f>
        <v>Rob</v>
      </c>
      <c r="I736" t="str">
        <f>VLOOKUP('Combined table'!B736,products!$A$1:$G$49,3,FALSE)</f>
        <v>D</v>
      </c>
      <c r="J736">
        <f>VLOOKUP('Combined table'!B736,products!$A$1:$G$49,4,FALSE)</f>
        <v>0.2</v>
      </c>
      <c r="K736">
        <f>VLOOKUP('Combined table'!B736,products!$A$1:$G$49,5,FALSE)</f>
        <v>2.6849999999999996</v>
      </c>
      <c r="L736">
        <f>VLOOKUP('Combined table'!B736,products!$A$1:$G$49,6,FALSE)</f>
        <v>1.3424999999999998</v>
      </c>
      <c r="M736">
        <f>VLOOKUP('Combined table'!B736,products!$A$1:$G$49,7,FALSE)</f>
        <v>0.16109999999999997</v>
      </c>
      <c r="N736" t="str">
        <f>TEXT(A736,"mmm yyyy")</f>
        <v>Aug 2019</v>
      </c>
      <c r="O736">
        <f t="shared" si="11"/>
        <v>13.424999999999997</v>
      </c>
    </row>
    <row r="737" spans="1:15" x14ac:dyDescent="0.25">
      <c r="A737" s="3">
        <v>44757</v>
      </c>
      <c r="B737" t="s">
        <v>6153</v>
      </c>
      <c r="C737" s="2">
        <v>6</v>
      </c>
      <c r="D737" s="2" t="s">
        <v>4644</v>
      </c>
      <c r="E737" s="2" t="s">
        <v>67</v>
      </c>
      <c r="F737" s="2" t="s">
        <v>19</v>
      </c>
      <c r="G737" t="s">
        <v>6191</v>
      </c>
      <c r="H737" t="str">
        <f>VLOOKUP('Combined table'!B737,products!$A$1:$G$49,2,FALSE)</f>
        <v>Exc</v>
      </c>
      <c r="I737" t="str">
        <f>VLOOKUP('Combined table'!B737,products!$A$1:$G$49,3,FALSE)</f>
        <v>D</v>
      </c>
      <c r="J737">
        <f>VLOOKUP('Combined table'!B737,products!$A$1:$G$49,4,FALSE)</f>
        <v>0.2</v>
      </c>
      <c r="K737">
        <f>VLOOKUP('Combined table'!B737,products!$A$1:$G$49,5,FALSE)</f>
        <v>3.645</v>
      </c>
      <c r="L737">
        <f>VLOOKUP('Combined table'!B737,products!$A$1:$G$49,6,FALSE)</f>
        <v>1.8225</v>
      </c>
      <c r="M737">
        <f>VLOOKUP('Combined table'!B737,products!$A$1:$G$49,7,FALSE)</f>
        <v>0.40095000000000003</v>
      </c>
      <c r="N737" t="str">
        <f>TEXT(A737,"mmm yyyy")</f>
        <v>Jul 2022</v>
      </c>
      <c r="O737">
        <f t="shared" si="11"/>
        <v>21.87</v>
      </c>
    </row>
    <row r="738" spans="1:15" x14ac:dyDescent="0.25">
      <c r="A738" s="3">
        <v>43508</v>
      </c>
      <c r="B738" t="s">
        <v>6143</v>
      </c>
      <c r="C738" s="2">
        <v>2</v>
      </c>
      <c r="D738" s="2" t="s">
        <v>4649</v>
      </c>
      <c r="E738" s="2" t="s">
        <v>1282</v>
      </c>
      <c r="F738" s="2" t="s">
        <v>318</v>
      </c>
      <c r="G738" t="s">
        <v>6190</v>
      </c>
      <c r="H738" t="str">
        <f>VLOOKUP('Combined table'!B738,products!$A$1:$G$49,2,FALSE)</f>
        <v>Lib</v>
      </c>
      <c r="I738" t="str">
        <f>VLOOKUP('Combined table'!B738,products!$A$1:$G$49,3,FALSE)</f>
        <v>D</v>
      </c>
      <c r="J738">
        <f>VLOOKUP('Combined table'!B738,products!$A$1:$G$49,4,FALSE)</f>
        <v>1</v>
      </c>
      <c r="K738">
        <f>VLOOKUP('Combined table'!B738,products!$A$1:$G$49,5,FALSE)</f>
        <v>12.95</v>
      </c>
      <c r="L738">
        <f>VLOOKUP('Combined table'!B738,products!$A$1:$G$49,6,FALSE)</f>
        <v>1.2949999999999999</v>
      </c>
      <c r="M738">
        <f>VLOOKUP('Combined table'!B738,products!$A$1:$G$49,7,FALSE)</f>
        <v>1.6835</v>
      </c>
      <c r="N738" t="str">
        <f>TEXT(A738,"mmm yyyy")</f>
        <v>Feb 2019</v>
      </c>
      <c r="O738">
        <f t="shared" si="11"/>
        <v>25.9</v>
      </c>
    </row>
    <row r="739" spans="1:15" x14ac:dyDescent="0.25">
      <c r="A739" s="3">
        <v>44447</v>
      </c>
      <c r="B739" t="s">
        <v>6155</v>
      </c>
      <c r="C739" s="2">
        <v>5</v>
      </c>
      <c r="D739" s="2" t="s">
        <v>4655</v>
      </c>
      <c r="E739" s="2" t="s">
        <v>51</v>
      </c>
      <c r="F739" s="2" t="s">
        <v>19</v>
      </c>
      <c r="G739" t="s">
        <v>6191</v>
      </c>
      <c r="H739" t="str">
        <f>VLOOKUP('Combined table'!B739,products!$A$1:$G$49,2,FALSE)</f>
        <v>Ara</v>
      </c>
      <c r="I739" t="str">
        <f>VLOOKUP('Combined table'!B739,products!$A$1:$G$49,3,FALSE)</f>
        <v>M</v>
      </c>
      <c r="J739">
        <f>VLOOKUP('Combined table'!B739,products!$A$1:$G$49,4,FALSE)</f>
        <v>1</v>
      </c>
      <c r="K739">
        <f>VLOOKUP('Combined table'!B739,products!$A$1:$G$49,5,FALSE)</f>
        <v>11.25</v>
      </c>
      <c r="L739">
        <f>VLOOKUP('Combined table'!B739,products!$A$1:$G$49,6,FALSE)</f>
        <v>1.125</v>
      </c>
      <c r="M739">
        <f>VLOOKUP('Combined table'!B739,products!$A$1:$G$49,7,FALSE)</f>
        <v>1.0125</v>
      </c>
      <c r="N739" t="str">
        <f>TEXT(A739,"mmm yyyy")</f>
        <v>Sep 2021</v>
      </c>
      <c r="O739">
        <f t="shared" si="11"/>
        <v>56.25</v>
      </c>
    </row>
    <row r="740" spans="1:15" x14ac:dyDescent="0.25">
      <c r="A740" s="3">
        <v>43812</v>
      </c>
      <c r="B740" t="s">
        <v>6178</v>
      </c>
      <c r="C740" s="2">
        <v>3</v>
      </c>
      <c r="D740" s="2" t="s">
        <v>4661</v>
      </c>
      <c r="E740" s="2" t="s">
        <v>264</v>
      </c>
      <c r="F740" s="2" t="s">
        <v>28</v>
      </c>
      <c r="G740" t="s">
        <v>6191</v>
      </c>
      <c r="H740" t="str">
        <f>VLOOKUP('Combined table'!B740,products!$A$1:$G$49,2,FALSE)</f>
        <v>Rob</v>
      </c>
      <c r="I740" t="str">
        <f>VLOOKUP('Combined table'!B740,products!$A$1:$G$49,3,FALSE)</f>
        <v>L</v>
      </c>
      <c r="J740">
        <f>VLOOKUP('Combined table'!B740,products!$A$1:$G$49,4,FALSE)</f>
        <v>0.2</v>
      </c>
      <c r="K740">
        <f>VLOOKUP('Combined table'!B740,products!$A$1:$G$49,5,FALSE)</f>
        <v>3.5849999999999995</v>
      </c>
      <c r="L740">
        <f>VLOOKUP('Combined table'!B740,products!$A$1:$G$49,6,FALSE)</f>
        <v>1.7924999999999998</v>
      </c>
      <c r="M740">
        <f>VLOOKUP('Combined table'!B740,products!$A$1:$G$49,7,FALSE)</f>
        <v>0.21509999999999996</v>
      </c>
      <c r="N740" t="str">
        <f>TEXT(A740,"mmm yyyy")</f>
        <v>Dec 2019</v>
      </c>
      <c r="O740">
        <f t="shared" si="11"/>
        <v>10.754999999999999</v>
      </c>
    </row>
    <row r="741" spans="1:15" x14ac:dyDescent="0.25">
      <c r="A741" s="3">
        <v>44433</v>
      </c>
      <c r="B741" t="s">
        <v>6153</v>
      </c>
      <c r="C741" s="2">
        <v>5</v>
      </c>
      <c r="D741" s="2" t="s">
        <v>4667</v>
      </c>
      <c r="E741" s="2" t="s">
        <v>189</v>
      </c>
      <c r="F741" s="2" t="s">
        <v>19</v>
      </c>
      <c r="G741" t="s">
        <v>6190</v>
      </c>
      <c r="H741" t="str">
        <f>VLOOKUP('Combined table'!B741,products!$A$1:$G$49,2,FALSE)</f>
        <v>Exc</v>
      </c>
      <c r="I741" t="str">
        <f>VLOOKUP('Combined table'!B741,products!$A$1:$G$49,3,FALSE)</f>
        <v>D</v>
      </c>
      <c r="J741">
        <f>VLOOKUP('Combined table'!B741,products!$A$1:$G$49,4,FALSE)</f>
        <v>0.2</v>
      </c>
      <c r="K741">
        <f>VLOOKUP('Combined table'!B741,products!$A$1:$G$49,5,FALSE)</f>
        <v>3.645</v>
      </c>
      <c r="L741">
        <f>VLOOKUP('Combined table'!B741,products!$A$1:$G$49,6,FALSE)</f>
        <v>1.8225</v>
      </c>
      <c r="M741">
        <f>VLOOKUP('Combined table'!B741,products!$A$1:$G$49,7,FALSE)</f>
        <v>0.40095000000000003</v>
      </c>
      <c r="N741" t="str">
        <f>TEXT(A741,"mmm yyyy")</f>
        <v>Aug 2021</v>
      </c>
      <c r="O741">
        <f t="shared" si="11"/>
        <v>18.225000000000001</v>
      </c>
    </row>
    <row r="742" spans="1:15" x14ac:dyDescent="0.25">
      <c r="A742" s="3">
        <v>44643</v>
      </c>
      <c r="B742" t="s">
        <v>6173</v>
      </c>
      <c r="C742" s="2">
        <v>4</v>
      </c>
      <c r="D742" s="2" t="s">
        <v>4672</v>
      </c>
      <c r="E742" s="2" t="s">
        <v>382</v>
      </c>
      <c r="F742" s="2" t="s">
        <v>318</v>
      </c>
      <c r="G742" t="s">
        <v>6191</v>
      </c>
      <c r="H742" t="str">
        <f>VLOOKUP('Combined table'!B742,products!$A$1:$G$49,2,FALSE)</f>
        <v>Rob</v>
      </c>
      <c r="I742" t="str">
        <f>VLOOKUP('Combined table'!B742,products!$A$1:$G$49,3,FALSE)</f>
        <v>L</v>
      </c>
      <c r="J742">
        <f>VLOOKUP('Combined table'!B742,products!$A$1:$G$49,4,FALSE)</f>
        <v>0.5</v>
      </c>
      <c r="K742">
        <f>VLOOKUP('Combined table'!B742,products!$A$1:$G$49,5,FALSE)</f>
        <v>7.169999999999999</v>
      </c>
      <c r="L742">
        <f>VLOOKUP('Combined table'!B742,products!$A$1:$G$49,6,FALSE)</f>
        <v>1.4339999999999997</v>
      </c>
      <c r="M742">
        <f>VLOOKUP('Combined table'!B742,products!$A$1:$G$49,7,FALSE)</f>
        <v>0.43019999999999992</v>
      </c>
      <c r="N742" t="str">
        <f>TEXT(A742,"mmm yyyy")</f>
        <v>Mar 2022</v>
      </c>
      <c r="O742">
        <f t="shared" si="11"/>
        <v>28.679999999999996</v>
      </c>
    </row>
    <row r="743" spans="1:15" x14ac:dyDescent="0.25">
      <c r="A743" s="3">
        <v>43566</v>
      </c>
      <c r="B743" t="s">
        <v>6159</v>
      </c>
      <c r="C743" s="2">
        <v>2</v>
      </c>
      <c r="D743" s="2" t="s">
        <v>4678</v>
      </c>
      <c r="E743" s="2" t="s">
        <v>256</v>
      </c>
      <c r="F743" s="2" t="s">
        <v>19</v>
      </c>
      <c r="G743" t="s">
        <v>6191</v>
      </c>
      <c r="H743" t="str">
        <f>VLOOKUP('Combined table'!B743,products!$A$1:$G$49,2,FALSE)</f>
        <v>Lib</v>
      </c>
      <c r="I743" t="str">
        <f>VLOOKUP('Combined table'!B743,products!$A$1:$G$49,3,FALSE)</f>
        <v>M</v>
      </c>
      <c r="J743">
        <f>VLOOKUP('Combined table'!B743,products!$A$1:$G$49,4,FALSE)</f>
        <v>0.2</v>
      </c>
      <c r="K743">
        <f>VLOOKUP('Combined table'!B743,products!$A$1:$G$49,5,FALSE)</f>
        <v>4.3650000000000002</v>
      </c>
      <c r="L743">
        <f>VLOOKUP('Combined table'!B743,products!$A$1:$G$49,6,FALSE)</f>
        <v>2.1825000000000001</v>
      </c>
      <c r="M743">
        <f>VLOOKUP('Combined table'!B743,products!$A$1:$G$49,7,FALSE)</f>
        <v>0.56745000000000001</v>
      </c>
      <c r="N743" t="str">
        <f>TEXT(A743,"mmm yyyy")</f>
        <v>Apr 2019</v>
      </c>
      <c r="O743">
        <f t="shared" si="11"/>
        <v>8.73</v>
      </c>
    </row>
    <row r="744" spans="1:15" x14ac:dyDescent="0.25">
      <c r="A744" s="3">
        <v>44133</v>
      </c>
      <c r="B744" t="s">
        <v>6162</v>
      </c>
      <c r="C744" s="2">
        <v>4</v>
      </c>
      <c r="D744" s="2" t="s">
        <v>4684</v>
      </c>
      <c r="E744" s="2" t="s">
        <v>23</v>
      </c>
      <c r="F744" s="2" t="s">
        <v>19</v>
      </c>
      <c r="G744" t="s">
        <v>6191</v>
      </c>
      <c r="H744" t="str">
        <f>VLOOKUP('Combined table'!B744,products!$A$1:$G$49,2,FALSE)</f>
        <v>Lib</v>
      </c>
      <c r="I744" t="str">
        <f>VLOOKUP('Combined table'!B744,products!$A$1:$G$49,3,FALSE)</f>
        <v>M</v>
      </c>
      <c r="J744">
        <f>VLOOKUP('Combined table'!B744,products!$A$1:$G$49,4,FALSE)</f>
        <v>1</v>
      </c>
      <c r="K744">
        <f>VLOOKUP('Combined table'!B744,products!$A$1:$G$49,5,FALSE)</f>
        <v>14.55</v>
      </c>
      <c r="L744">
        <f>VLOOKUP('Combined table'!B744,products!$A$1:$G$49,6,FALSE)</f>
        <v>1.4550000000000001</v>
      </c>
      <c r="M744">
        <f>VLOOKUP('Combined table'!B744,products!$A$1:$G$49,7,FALSE)</f>
        <v>1.8915000000000002</v>
      </c>
      <c r="N744" t="str">
        <f>TEXT(A744,"mmm yyyy")</f>
        <v>Oct 2020</v>
      </c>
      <c r="O744">
        <f t="shared" si="11"/>
        <v>58.2</v>
      </c>
    </row>
    <row r="745" spans="1:15" x14ac:dyDescent="0.25">
      <c r="A745" s="3">
        <v>44042</v>
      </c>
      <c r="B745" t="s">
        <v>6158</v>
      </c>
      <c r="C745" s="2">
        <v>3</v>
      </c>
      <c r="D745" s="2" t="s">
        <v>4690</v>
      </c>
      <c r="E745" s="2" t="s">
        <v>80</v>
      </c>
      <c r="F745" s="2" t="s">
        <v>19</v>
      </c>
      <c r="G745" t="s">
        <v>6191</v>
      </c>
      <c r="H745" t="str">
        <f>VLOOKUP('Combined table'!B745,products!$A$1:$G$49,2,FALSE)</f>
        <v>Ara</v>
      </c>
      <c r="I745" t="str">
        <f>VLOOKUP('Combined table'!B745,products!$A$1:$G$49,3,FALSE)</f>
        <v>D</v>
      </c>
      <c r="J745">
        <f>VLOOKUP('Combined table'!B745,products!$A$1:$G$49,4,FALSE)</f>
        <v>0.5</v>
      </c>
      <c r="K745">
        <f>VLOOKUP('Combined table'!B745,products!$A$1:$G$49,5,FALSE)</f>
        <v>5.97</v>
      </c>
      <c r="L745">
        <f>VLOOKUP('Combined table'!B745,products!$A$1:$G$49,6,FALSE)</f>
        <v>1.194</v>
      </c>
      <c r="M745">
        <f>VLOOKUP('Combined table'!B745,products!$A$1:$G$49,7,FALSE)</f>
        <v>0.5373</v>
      </c>
      <c r="N745" t="str">
        <f>TEXT(A745,"mmm yyyy")</f>
        <v>Jul 2020</v>
      </c>
      <c r="O745">
        <f t="shared" si="11"/>
        <v>17.91</v>
      </c>
    </row>
    <row r="746" spans="1:15" x14ac:dyDescent="0.25">
      <c r="A746" s="3">
        <v>43539</v>
      </c>
      <c r="B746" t="s">
        <v>6174</v>
      </c>
      <c r="C746" s="2">
        <v>6</v>
      </c>
      <c r="D746" s="2" t="s">
        <v>4696</v>
      </c>
      <c r="E746" s="2" t="s">
        <v>41</v>
      </c>
      <c r="F746" s="2" t="s">
        <v>19</v>
      </c>
      <c r="G746" t="s">
        <v>6190</v>
      </c>
      <c r="H746" t="str">
        <f>VLOOKUP('Combined table'!B746,products!$A$1:$G$49,2,FALSE)</f>
        <v>Rob</v>
      </c>
      <c r="I746" t="str">
        <f>VLOOKUP('Combined table'!B746,products!$A$1:$G$49,3,FALSE)</f>
        <v>M</v>
      </c>
      <c r="J746">
        <f>VLOOKUP('Combined table'!B746,products!$A$1:$G$49,4,FALSE)</f>
        <v>0.2</v>
      </c>
      <c r="K746">
        <f>VLOOKUP('Combined table'!B746,products!$A$1:$G$49,5,FALSE)</f>
        <v>2.9849999999999999</v>
      </c>
      <c r="L746">
        <f>VLOOKUP('Combined table'!B746,products!$A$1:$G$49,6,FALSE)</f>
        <v>1.4924999999999999</v>
      </c>
      <c r="M746">
        <f>VLOOKUP('Combined table'!B746,products!$A$1:$G$49,7,FALSE)</f>
        <v>0.17909999999999998</v>
      </c>
      <c r="N746" t="str">
        <f>TEXT(A746,"mmm yyyy")</f>
        <v>Mar 2019</v>
      </c>
      <c r="O746">
        <f t="shared" si="11"/>
        <v>17.91</v>
      </c>
    </row>
    <row r="747" spans="1:15" x14ac:dyDescent="0.25">
      <c r="A747" s="3">
        <v>44557</v>
      </c>
      <c r="B747" t="s">
        <v>6144</v>
      </c>
      <c r="C747" s="2">
        <v>2</v>
      </c>
      <c r="D747" s="2" t="s">
        <v>4701</v>
      </c>
      <c r="E747" s="2" t="s">
        <v>483</v>
      </c>
      <c r="F747" s="2" t="s">
        <v>318</v>
      </c>
      <c r="G747" t="s">
        <v>6191</v>
      </c>
      <c r="H747" t="str">
        <f>VLOOKUP('Combined table'!B747,products!$A$1:$G$49,2,FALSE)</f>
        <v>Exc</v>
      </c>
      <c r="I747" t="str">
        <f>VLOOKUP('Combined table'!B747,products!$A$1:$G$49,3,FALSE)</f>
        <v>D</v>
      </c>
      <c r="J747">
        <f>VLOOKUP('Combined table'!B747,products!$A$1:$G$49,4,FALSE)</f>
        <v>0.5</v>
      </c>
      <c r="K747">
        <f>VLOOKUP('Combined table'!B747,products!$A$1:$G$49,5,FALSE)</f>
        <v>7.29</v>
      </c>
      <c r="L747">
        <f>VLOOKUP('Combined table'!B747,products!$A$1:$G$49,6,FALSE)</f>
        <v>1.458</v>
      </c>
      <c r="M747">
        <f>VLOOKUP('Combined table'!B747,products!$A$1:$G$49,7,FALSE)</f>
        <v>0.80190000000000006</v>
      </c>
      <c r="N747" t="str">
        <f>TEXT(A747,"mmm yyyy")</f>
        <v>Dec 2021</v>
      </c>
      <c r="O747">
        <f t="shared" si="11"/>
        <v>14.58</v>
      </c>
    </row>
    <row r="748" spans="1:15" x14ac:dyDescent="0.25">
      <c r="A748" s="3">
        <v>43741</v>
      </c>
      <c r="B748" t="s">
        <v>6155</v>
      </c>
      <c r="C748" s="2">
        <v>3</v>
      </c>
      <c r="D748" s="2" t="s">
        <v>4707</v>
      </c>
      <c r="E748" s="2" t="s">
        <v>459</v>
      </c>
      <c r="F748" s="2" t="s">
        <v>318</v>
      </c>
      <c r="G748" t="s">
        <v>6191</v>
      </c>
      <c r="H748" t="str">
        <f>VLOOKUP('Combined table'!B748,products!$A$1:$G$49,2,FALSE)</f>
        <v>Ara</v>
      </c>
      <c r="I748" t="str">
        <f>VLOOKUP('Combined table'!B748,products!$A$1:$G$49,3,FALSE)</f>
        <v>M</v>
      </c>
      <c r="J748">
        <f>VLOOKUP('Combined table'!B748,products!$A$1:$G$49,4,FALSE)</f>
        <v>1</v>
      </c>
      <c r="K748">
        <f>VLOOKUP('Combined table'!B748,products!$A$1:$G$49,5,FALSE)</f>
        <v>11.25</v>
      </c>
      <c r="L748">
        <f>VLOOKUP('Combined table'!B748,products!$A$1:$G$49,6,FALSE)</f>
        <v>1.125</v>
      </c>
      <c r="M748">
        <f>VLOOKUP('Combined table'!B748,products!$A$1:$G$49,7,FALSE)</f>
        <v>1.0125</v>
      </c>
      <c r="N748" t="str">
        <f>TEXT(A748,"mmm yyyy")</f>
        <v>Oct 2019</v>
      </c>
      <c r="O748">
        <f t="shared" si="11"/>
        <v>33.75</v>
      </c>
    </row>
    <row r="749" spans="1:15" x14ac:dyDescent="0.25">
      <c r="A749" s="3">
        <v>43501</v>
      </c>
      <c r="B749" t="s">
        <v>6160</v>
      </c>
      <c r="C749" s="2">
        <v>4</v>
      </c>
      <c r="D749" s="2" t="s">
        <v>4713</v>
      </c>
      <c r="E749" s="2" t="s">
        <v>430</v>
      </c>
      <c r="F749" s="2" t="s">
        <v>318</v>
      </c>
      <c r="G749" t="s">
        <v>6190</v>
      </c>
      <c r="H749" t="str">
        <f>VLOOKUP('Combined table'!B749,products!$A$1:$G$49,2,FALSE)</f>
        <v>Lib</v>
      </c>
      <c r="I749" t="str">
        <f>VLOOKUP('Combined table'!B749,products!$A$1:$G$49,3,FALSE)</f>
        <v>M</v>
      </c>
      <c r="J749">
        <f>VLOOKUP('Combined table'!B749,products!$A$1:$G$49,4,FALSE)</f>
        <v>0.5</v>
      </c>
      <c r="K749">
        <f>VLOOKUP('Combined table'!B749,products!$A$1:$G$49,5,FALSE)</f>
        <v>8.73</v>
      </c>
      <c r="L749">
        <f>VLOOKUP('Combined table'!B749,products!$A$1:$G$49,6,FALSE)</f>
        <v>1.746</v>
      </c>
      <c r="M749">
        <f>VLOOKUP('Combined table'!B749,products!$A$1:$G$49,7,FALSE)</f>
        <v>1.1349</v>
      </c>
      <c r="N749" t="str">
        <f>TEXT(A749,"mmm yyyy")</f>
        <v>Feb 2019</v>
      </c>
      <c r="O749">
        <f t="shared" si="11"/>
        <v>34.92</v>
      </c>
    </row>
    <row r="750" spans="1:15" x14ac:dyDescent="0.25">
      <c r="A750" s="3">
        <v>44074</v>
      </c>
      <c r="B750" t="s">
        <v>6144</v>
      </c>
      <c r="C750" s="2">
        <v>2</v>
      </c>
      <c r="D750" s="2" t="s">
        <v>4719</v>
      </c>
      <c r="E750" s="2" t="s">
        <v>38</v>
      </c>
      <c r="F750" s="2" t="s">
        <v>19</v>
      </c>
      <c r="G750" t="s">
        <v>6191</v>
      </c>
      <c r="H750" t="str">
        <f>VLOOKUP('Combined table'!B750,products!$A$1:$G$49,2,FALSE)</f>
        <v>Exc</v>
      </c>
      <c r="I750" t="str">
        <f>VLOOKUP('Combined table'!B750,products!$A$1:$G$49,3,FALSE)</f>
        <v>D</v>
      </c>
      <c r="J750">
        <f>VLOOKUP('Combined table'!B750,products!$A$1:$G$49,4,FALSE)</f>
        <v>0.5</v>
      </c>
      <c r="K750">
        <f>VLOOKUP('Combined table'!B750,products!$A$1:$G$49,5,FALSE)</f>
        <v>7.29</v>
      </c>
      <c r="L750">
        <f>VLOOKUP('Combined table'!B750,products!$A$1:$G$49,6,FALSE)</f>
        <v>1.458</v>
      </c>
      <c r="M750">
        <f>VLOOKUP('Combined table'!B750,products!$A$1:$G$49,7,FALSE)</f>
        <v>0.80190000000000006</v>
      </c>
      <c r="N750" t="str">
        <f>TEXT(A750,"mmm yyyy")</f>
        <v>Aug 2020</v>
      </c>
      <c r="O750">
        <f t="shared" si="11"/>
        <v>14.58</v>
      </c>
    </row>
    <row r="751" spans="1:15" x14ac:dyDescent="0.25">
      <c r="A751" s="3">
        <v>44209</v>
      </c>
      <c r="B751" t="s">
        <v>6163</v>
      </c>
      <c r="C751" s="2">
        <v>2</v>
      </c>
      <c r="D751" s="2" t="s">
        <v>4725</v>
      </c>
      <c r="E751" s="2" t="s">
        <v>4729</v>
      </c>
      <c r="F751" s="2" t="s">
        <v>318</v>
      </c>
      <c r="G751" t="s">
        <v>6190</v>
      </c>
      <c r="H751" t="str">
        <f>VLOOKUP('Combined table'!B751,products!$A$1:$G$49,2,FALSE)</f>
        <v>Rob</v>
      </c>
      <c r="I751" t="str">
        <f>VLOOKUP('Combined table'!B751,products!$A$1:$G$49,3,FALSE)</f>
        <v>D</v>
      </c>
      <c r="J751">
        <f>VLOOKUP('Combined table'!B751,products!$A$1:$G$49,4,FALSE)</f>
        <v>0.2</v>
      </c>
      <c r="K751">
        <f>VLOOKUP('Combined table'!B751,products!$A$1:$G$49,5,FALSE)</f>
        <v>2.6849999999999996</v>
      </c>
      <c r="L751">
        <f>VLOOKUP('Combined table'!B751,products!$A$1:$G$49,6,FALSE)</f>
        <v>1.3424999999999998</v>
      </c>
      <c r="M751">
        <f>VLOOKUP('Combined table'!B751,products!$A$1:$G$49,7,FALSE)</f>
        <v>0.16109999999999997</v>
      </c>
      <c r="N751" t="str">
        <f>TEXT(A751,"mmm yyyy")</f>
        <v>Jan 2021</v>
      </c>
      <c r="O751">
        <f t="shared" si="11"/>
        <v>5.3699999999999992</v>
      </c>
    </row>
    <row r="752" spans="1:15" x14ac:dyDescent="0.25">
      <c r="A752" s="3">
        <v>44277</v>
      </c>
      <c r="B752" t="s">
        <v>6146</v>
      </c>
      <c r="C752" s="2">
        <v>1</v>
      </c>
      <c r="D752" s="2" t="s">
        <v>4732</v>
      </c>
      <c r="E752" s="2" t="s">
        <v>106</v>
      </c>
      <c r="F752" s="2" t="s">
        <v>19</v>
      </c>
      <c r="G752" t="s">
        <v>6190</v>
      </c>
      <c r="H752" t="str">
        <f>VLOOKUP('Combined table'!B752,products!$A$1:$G$49,2,FALSE)</f>
        <v>Rob</v>
      </c>
      <c r="I752" t="str">
        <f>VLOOKUP('Combined table'!B752,products!$A$1:$G$49,3,FALSE)</f>
        <v>M</v>
      </c>
      <c r="J752">
        <f>VLOOKUP('Combined table'!B752,products!$A$1:$G$49,4,FALSE)</f>
        <v>0.5</v>
      </c>
      <c r="K752">
        <f>VLOOKUP('Combined table'!B752,products!$A$1:$G$49,5,FALSE)</f>
        <v>5.97</v>
      </c>
      <c r="L752">
        <f>VLOOKUP('Combined table'!B752,products!$A$1:$G$49,6,FALSE)</f>
        <v>1.194</v>
      </c>
      <c r="M752">
        <f>VLOOKUP('Combined table'!B752,products!$A$1:$G$49,7,FALSE)</f>
        <v>0.35819999999999996</v>
      </c>
      <c r="N752" t="str">
        <f>TEXT(A752,"mmm yyyy")</f>
        <v>Mar 2021</v>
      </c>
      <c r="O752">
        <f t="shared" si="11"/>
        <v>5.97</v>
      </c>
    </row>
    <row r="753" spans="1:15" x14ac:dyDescent="0.25">
      <c r="A753" s="3">
        <v>43847</v>
      </c>
      <c r="B753" t="s">
        <v>6161</v>
      </c>
      <c r="C753" s="2">
        <v>2</v>
      </c>
      <c r="D753" s="2" t="s">
        <v>4737</v>
      </c>
      <c r="E753" s="2" t="s">
        <v>139</v>
      </c>
      <c r="F753" s="2" t="s">
        <v>19</v>
      </c>
      <c r="G753" t="s">
        <v>6191</v>
      </c>
      <c r="H753" t="str">
        <f>VLOOKUP('Combined table'!B753,products!$A$1:$G$49,2,FALSE)</f>
        <v>Lib</v>
      </c>
      <c r="I753" t="str">
        <f>VLOOKUP('Combined table'!B753,products!$A$1:$G$49,3,FALSE)</f>
        <v>L</v>
      </c>
      <c r="J753">
        <f>VLOOKUP('Combined table'!B753,products!$A$1:$G$49,4,FALSE)</f>
        <v>0.5</v>
      </c>
      <c r="K753">
        <f>VLOOKUP('Combined table'!B753,products!$A$1:$G$49,5,FALSE)</f>
        <v>9.51</v>
      </c>
      <c r="L753">
        <f>VLOOKUP('Combined table'!B753,products!$A$1:$G$49,6,FALSE)</f>
        <v>1.9019999999999999</v>
      </c>
      <c r="M753">
        <f>VLOOKUP('Combined table'!B753,products!$A$1:$G$49,7,FALSE)</f>
        <v>1.2363</v>
      </c>
      <c r="N753" t="str">
        <f>TEXT(A753,"mmm yyyy")</f>
        <v>Jan 2020</v>
      </c>
      <c r="O753">
        <f t="shared" si="11"/>
        <v>19.02</v>
      </c>
    </row>
    <row r="754" spans="1:15" x14ac:dyDescent="0.25">
      <c r="A754" s="3">
        <v>43648</v>
      </c>
      <c r="B754" t="s">
        <v>6141</v>
      </c>
      <c r="C754" s="2">
        <v>2</v>
      </c>
      <c r="D754" s="2" t="s">
        <v>4743</v>
      </c>
      <c r="E754" s="2" t="s">
        <v>106</v>
      </c>
      <c r="F754" s="2" t="s">
        <v>19</v>
      </c>
      <c r="G754" t="s">
        <v>6190</v>
      </c>
      <c r="H754" t="str">
        <f>VLOOKUP('Combined table'!B754,products!$A$1:$G$49,2,FALSE)</f>
        <v>Exc</v>
      </c>
      <c r="I754" t="str">
        <f>VLOOKUP('Combined table'!B754,products!$A$1:$G$49,3,FALSE)</f>
        <v>M</v>
      </c>
      <c r="J754">
        <f>VLOOKUP('Combined table'!B754,products!$A$1:$G$49,4,FALSE)</f>
        <v>1</v>
      </c>
      <c r="K754">
        <f>VLOOKUP('Combined table'!B754,products!$A$1:$G$49,5,FALSE)</f>
        <v>13.75</v>
      </c>
      <c r="L754">
        <f>VLOOKUP('Combined table'!B754,products!$A$1:$G$49,6,FALSE)</f>
        <v>1.375</v>
      </c>
      <c r="M754">
        <f>VLOOKUP('Combined table'!B754,products!$A$1:$G$49,7,FALSE)</f>
        <v>1.5125</v>
      </c>
      <c r="N754" t="str">
        <f>TEXT(A754,"mmm yyyy")</f>
        <v>Jul 2019</v>
      </c>
      <c r="O754">
        <f t="shared" si="11"/>
        <v>27.5</v>
      </c>
    </row>
    <row r="755" spans="1:15" x14ac:dyDescent="0.25">
      <c r="A755" s="3">
        <v>44704</v>
      </c>
      <c r="B755" t="s">
        <v>6158</v>
      </c>
      <c r="C755" s="2">
        <v>5</v>
      </c>
      <c r="D755" s="2" t="s">
        <v>4749</v>
      </c>
      <c r="E755" s="2" t="s">
        <v>184</v>
      </c>
      <c r="F755" s="2" t="s">
        <v>19</v>
      </c>
      <c r="G755" t="s">
        <v>6191</v>
      </c>
      <c r="H755" t="str">
        <f>VLOOKUP('Combined table'!B755,products!$A$1:$G$49,2,FALSE)</f>
        <v>Ara</v>
      </c>
      <c r="I755" t="str">
        <f>VLOOKUP('Combined table'!B755,products!$A$1:$G$49,3,FALSE)</f>
        <v>D</v>
      </c>
      <c r="J755">
        <f>VLOOKUP('Combined table'!B755,products!$A$1:$G$49,4,FALSE)</f>
        <v>0.5</v>
      </c>
      <c r="K755">
        <f>VLOOKUP('Combined table'!B755,products!$A$1:$G$49,5,FALSE)</f>
        <v>5.97</v>
      </c>
      <c r="L755">
        <f>VLOOKUP('Combined table'!B755,products!$A$1:$G$49,6,FALSE)</f>
        <v>1.194</v>
      </c>
      <c r="M755">
        <f>VLOOKUP('Combined table'!B755,products!$A$1:$G$49,7,FALSE)</f>
        <v>0.5373</v>
      </c>
      <c r="N755" t="str">
        <f>TEXT(A755,"mmm yyyy")</f>
        <v>May 2022</v>
      </c>
      <c r="O755">
        <f t="shared" si="11"/>
        <v>29.849999999999998</v>
      </c>
    </row>
    <row r="756" spans="1:15" x14ac:dyDescent="0.25">
      <c r="A756" s="3">
        <v>44726</v>
      </c>
      <c r="B756" t="s">
        <v>6154</v>
      </c>
      <c r="C756" s="2">
        <v>6</v>
      </c>
      <c r="D756" s="2" t="s">
        <v>4755</v>
      </c>
      <c r="E756" s="2" t="s">
        <v>47</v>
      </c>
      <c r="F756" s="2" t="s">
        <v>19</v>
      </c>
      <c r="G756" t="s">
        <v>6191</v>
      </c>
      <c r="H756" t="str">
        <f>VLOOKUP('Combined table'!B756,products!$A$1:$G$49,2,FALSE)</f>
        <v>Ara</v>
      </c>
      <c r="I756" t="str">
        <f>VLOOKUP('Combined table'!B756,products!$A$1:$G$49,3,FALSE)</f>
        <v>D</v>
      </c>
      <c r="J756">
        <f>VLOOKUP('Combined table'!B756,products!$A$1:$G$49,4,FALSE)</f>
        <v>0.2</v>
      </c>
      <c r="K756">
        <f>VLOOKUP('Combined table'!B756,products!$A$1:$G$49,5,FALSE)</f>
        <v>2.9849999999999999</v>
      </c>
      <c r="L756">
        <f>VLOOKUP('Combined table'!B756,products!$A$1:$G$49,6,FALSE)</f>
        <v>1.4924999999999999</v>
      </c>
      <c r="M756">
        <f>VLOOKUP('Combined table'!B756,products!$A$1:$G$49,7,FALSE)</f>
        <v>0.26865</v>
      </c>
      <c r="N756" t="str">
        <f>TEXT(A756,"mmm yyyy")</f>
        <v>Jun 2022</v>
      </c>
      <c r="O756">
        <f t="shared" si="11"/>
        <v>17.91</v>
      </c>
    </row>
    <row r="757" spans="1:15" x14ac:dyDescent="0.25">
      <c r="A757" s="3">
        <v>44397</v>
      </c>
      <c r="B757" t="s">
        <v>6145</v>
      </c>
      <c r="C757" s="2">
        <v>6</v>
      </c>
      <c r="D757" s="2" t="s">
        <v>4760</v>
      </c>
      <c r="E757" s="2" t="s">
        <v>52</v>
      </c>
      <c r="F757" s="2" t="s">
        <v>19</v>
      </c>
      <c r="G757" t="s">
        <v>6191</v>
      </c>
      <c r="H757" t="str">
        <f>VLOOKUP('Combined table'!B757,products!$A$1:$G$49,2,FALSE)</f>
        <v>Lib</v>
      </c>
      <c r="I757" t="str">
        <f>VLOOKUP('Combined table'!B757,products!$A$1:$G$49,3,FALSE)</f>
        <v>L</v>
      </c>
      <c r="J757">
        <f>VLOOKUP('Combined table'!B757,products!$A$1:$G$49,4,FALSE)</f>
        <v>0.2</v>
      </c>
      <c r="K757">
        <f>VLOOKUP('Combined table'!B757,products!$A$1:$G$49,5,FALSE)</f>
        <v>4.7549999999999999</v>
      </c>
      <c r="L757">
        <f>VLOOKUP('Combined table'!B757,products!$A$1:$G$49,6,FALSE)</f>
        <v>2.3774999999999999</v>
      </c>
      <c r="M757">
        <f>VLOOKUP('Combined table'!B757,products!$A$1:$G$49,7,FALSE)</f>
        <v>0.61814999999999998</v>
      </c>
      <c r="N757" t="str">
        <f>TEXT(A757,"mmm yyyy")</f>
        <v>Jul 2021</v>
      </c>
      <c r="O757">
        <f t="shared" si="11"/>
        <v>28.53</v>
      </c>
    </row>
    <row r="758" spans="1:15" x14ac:dyDescent="0.25">
      <c r="A758" s="3">
        <v>44715</v>
      </c>
      <c r="B758" t="s">
        <v>6177</v>
      </c>
      <c r="C758" s="2">
        <v>4</v>
      </c>
      <c r="D758" s="2" t="s">
        <v>4766</v>
      </c>
      <c r="E758" s="2" t="s">
        <v>171</v>
      </c>
      <c r="F758" s="2" t="s">
        <v>19</v>
      </c>
      <c r="G758" t="s">
        <v>6190</v>
      </c>
      <c r="H758" t="str">
        <f>VLOOKUP('Combined table'!B758,products!$A$1:$G$49,2,FALSE)</f>
        <v>Rob</v>
      </c>
      <c r="I758" t="str">
        <f>VLOOKUP('Combined table'!B758,products!$A$1:$G$49,3,FALSE)</f>
        <v>D</v>
      </c>
      <c r="J758">
        <f>VLOOKUP('Combined table'!B758,products!$A$1:$G$49,4,FALSE)</f>
        <v>1</v>
      </c>
      <c r="K758">
        <f>VLOOKUP('Combined table'!B758,products!$A$1:$G$49,5,FALSE)</f>
        <v>8.9499999999999993</v>
      </c>
      <c r="L758">
        <f>VLOOKUP('Combined table'!B758,products!$A$1:$G$49,6,FALSE)</f>
        <v>0.89499999999999991</v>
      </c>
      <c r="M758">
        <f>VLOOKUP('Combined table'!B758,products!$A$1:$G$49,7,FALSE)</f>
        <v>0.53699999999999992</v>
      </c>
      <c r="N758" t="str">
        <f>TEXT(A758,"mmm yyyy")</f>
        <v>Jun 2022</v>
      </c>
      <c r="O758">
        <f t="shared" si="11"/>
        <v>35.799999999999997</v>
      </c>
    </row>
    <row r="759" spans="1:15" x14ac:dyDescent="0.25">
      <c r="A759" s="3">
        <v>43977</v>
      </c>
      <c r="B759" t="s">
        <v>6158</v>
      </c>
      <c r="C759" s="2">
        <v>3</v>
      </c>
      <c r="D759" s="2" t="s">
        <v>4772</v>
      </c>
      <c r="E759" s="2" t="s">
        <v>252</v>
      </c>
      <c r="F759" s="2" t="s">
        <v>19</v>
      </c>
      <c r="G759" t="s">
        <v>6190</v>
      </c>
      <c r="H759" t="str">
        <f>VLOOKUP('Combined table'!B759,products!$A$1:$G$49,2,FALSE)</f>
        <v>Ara</v>
      </c>
      <c r="I759" t="str">
        <f>VLOOKUP('Combined table'!B759,products!$A$1:$G$49,3,FALSE)</f>
        <v>D</v>
      </c>
      <c r="J759">
        <f>VLOOKUP('Combined table'!B759,products!$A$1:$G$49,4,FALSE)</f>
        <v>0.5</v>
      </c>
      <c r="K759">
        <f>VLOOKUP('Combined table'!B759,products!$A$1:$G$49,5,FALSE)</f>
        <v>5.97</v>
      </c>
      <c r="L759">
        <f>VLOOKUP('Combined table'!B759,products!$A$1:$G$49,6,FALSE)</f>
        <v>1.194</v>
      </c>
      <c r="M759">
        <f>VLOOKUP('Combined table'!B759,products!$A$1:$G$49,7,FALSE)</f>
        <v>0.5373</v>
      </c>
      <c r="N759" t="str">
        <f>TEXT(A759,"mmm yyyy")</f>
        <v>May 2020</v>
      </c>
      <c r="O759">
        <f t="shared" si="11"/>
        <v>17.91</v>
      </c>
    </row>
    <row r="760" spans="1:15" x14ac:dyDescent="0.25">
      <c r="A760" s="3">
        <v>43672</v>
      </c>
      <c r="B760" t="s">
        <v>6177</v>
      </c>
      <c r="C760" s="2">
        <v>1</v>
      </c>
      <c r="D760" s="2" t="s">
        <v>4778</v>
      </c>
      <c r="E760" s="2" t="s">
        <v>104</v>
      </c>
      <c r="F760" s="2" t="s">
        <v>19</v>
      </c>
      <c r="G760" t="s">
        <v>6191</v>
      </c>
      <c r="H760" t="str">
        <f>VLOOKUP('Combined table'!B760,products!$A$1:$G$49,2,FALSE)</f>
        <v>Rob</v>
      </c>
      <c r="I760" t="str">
        <f>VLOOKUP('Combined table'!B760,products!$A$1:$G$49,3,FALSE)</f>
        <v>D</v>
      </c>
      <c r="J760">
        <f>VLOOKUP('Combined table'!B760,products!$A$1:$G$49,4,FALSE)</f>
        <v>1</v>
      </c>
      <c r="K760">
        <f>VLOOKUP('Combined table'!B760,products!$A$1:$G$49,5,FALSE)</f>
        <v>8.9499999999999993</v>
      </c>
      <c r="L760">
        <f>VLOOKUP('Combined table'!B760,products!$A$1:$G$49,6,FALSE)</f>
        <v>0.89499999999999991</v>
      </c>
      <c r="M760">
        <f>VLOOKUP('Combined table'!B760,products!$A$1:$G$49,7,FALSE)</f>
        <v>0.53699999999999992</v>
      </c>
      <c r="N760" t="str">
        <f>TEXT(A760,"mmm yyyy")</f>
        <v>Jul 2019</v>
      </c>
      <c r="O760">
        <f t="shared" si="11"/>
        <v>8.9499999999999993</v>
      </c>
    </row>
    <row r="761" spans="1:15" x14ac:dyDescent="0.25">
      <c r="A761" s="3">
        <v>44126</v>
      </c>
      <c r="B761" t="s">
        <v>6165</v>
      </c>
      <c r="C761" s="2">
        <v>1</v>
      </c>
      <c r="D761" s="2" t="s">
        <v>4783</v>
      </c>
      <c r="E761" s="2" t="s">
        <v>155</v>
      </c>
      <c r="F761" s="2" t="s">
        <v>19</v>
      </c>
      <c r="G761" t="s">
        <v>6190</v>
      </c>
      <c r="H761" t="str">
        <f>VLOOKUP('Combined table'!B761,products!$A$1:$G$49,2,FALSE)</f>
        <v>Lib</v>
      </c>
      <c r="I761" t="str">
        <f>VLOOKUP('Combined table'!B761,products!$A$1:$G$49,3,FALSE)</f>
        <v>D</v>
      </c>
      <c r="J761">
        <f>VLOOKUP('Combined table'!B761,products!$A$1:$G$49,4,FALSE)</f>
        <v>2.5</v>
      </c>
      <c r="K761">
        <f>VLOOKUP('Combined table'!B761,products!$A$1:$G$49,5,FALSE)</f>
        <v>29.784999999999997</v>
      </c>
      <c r="L761">
        <f>VLOOKUP('Combined table'!B761,products!$A$1:$G$49,6,FALSE)</f>
        <v>1.1913999999999998</v>
      </c>
      <c r="M761">
        <f>VLOOKUP('Combined table'!B761,products!$A$1:$G$49,7,FALSE)</f>
        <v>3.8720499999999998</v>
      </c>
      <c r="N761" t="str">
        <f>TEXT(A761,"mmm yyyy")</f>
        <v>Oct 2020</v>
      </c>
      <c r="O761">
        <f t="shared" si="11"/>
        <v>29.784999999999997</v>
      </c>
    </row>
    <row r="762" spans="1:15" x14ac:dyDescent="0.25">
      <c r="A762" s="3">
        <v>44189</v>
      </c>
      <c r="B762" t="s">
        <v>6176</v>
      </c>
      <c r="C762" s="2">
        <v>5</v>
      </c>
      <c r="D762" s="2" t="s">
        <v>4789</v>
      </c>
      <c r="E762" s="2" t="s">
        <v>82</v>
      </c>
      <c r="F762" s="2" t="s">
        <v>19</v>
      </c>
      <c r="G762" t="s">
        <v>6191</v>
      </c>
      <c r="H762" t="str">
        <f>VLOOKUP('Combined table'!B762,products!$A$1:$G$49,2,FALSE)</f>
        <v>Exc</v>
      </c>
      <c r="I762" t="str">
        <f>VLOOKUP('Combined table'!B762,products!$A$1:$G$49,3,FALSE)</f>
        <v>L</v>
      </c>
      <c r="J762">
        <f>VLOOKUP('Combined table'!B762,products!$A$1:$G$49,4,FALSE)</f>
        <v>0.5</v>
      </c>
      <c r="K762">
        <f>VLOOKUP('Combined table'!B762,products!$A$1:$G$49,5,FALSE)</f>
        <v>8.91</v>
      </c>
      <c r="L762">
        <f>VLOOKUP('Combined table'!B762,products!$A$1:$G$49,6,FALSE)</f>
        <v>1.782</v>
      </c>
      <c r="M762">
        <f>VLOOKUP('Combined table'!B762,products!$A$1:$G$49,7,FALSE)</f>
        <v>0.98009999999999997</v>
      </c>
      <c r="N762" t="str">
        <f>TEXT(A762,"mmm yyyy")</f>
        <v>Dec 2020</v>
      </c>
      <c r="O762">
        <f t="shared" si="11"/>
        <v>44.55</v>
      </c>
    </row>
    <row r="763" spans="1:15" x14ac:dyDescent="0.25">
      <c r="A763" s="3">
        <v>43714</v>
      </c>
      <c r="B763" t="s">
        <v>6171</v>
      </c>
      <c r="C763" s="2">
        <v>6</v>
      </c>
      <c r="D763" s="2" t="s">
        <v>4794</v>
      </c>
      <c r="E763" s="2" t="s">
        <v>99</v>
      </c>
      <c r="F763" s="2" t="s">
        <v>19</v>
      </c>
      <c r="G763" t="s">
        <v>6190</v>
      </c>
      <c r="H763" t="str">
        <f>VLOOKUP('Combined table'!B763,products!$A$1:$G$49,2,FALSE)</f>
        <v>Exc</v>
      </c>
      <c r="I763" t="str">
        <f>VLOOKUP('Combined table'!B763,products!$A$1:$G$49,3,FALSE)</f>
        <v>L</v>
      </c>
      <c r="J763">
        <f>VLOOKUP('Combined table'!B763,products!$A$1:$G$49,4,FALSE)</f>
        <v>1</v>
      </c>
      <c r="K763">
        <f>VLOOKUP('Combined table'!B763,products!$A$1:$G$49,5,FALSE)</f>
        <v>14.85</v>
      </c>
      <c r="L763">
        <f>VLOOKUP('Combined table'!B763,products!$A$1:$G$49,6,FALSE)</f>
        <v>1.4849999999999999</v>
      </c>
      <c r="M763">
        <f>VLOOKUP('Combined table'!B763,products!$A$1:$G$49,7,FALSE)</f>
        <v>1.6335</v>
      </c>
      <c r="N763" t="str">
        <f>TEXT(A763,"mmm yyyy")</f>
        <v>Sep 2019</v>
      </c>
      <c r="O763">
        <f t="shared" si="11"/>
        <v>89.1</v>
      </c>
    </row>
    <row r="764" spans="1:15" x14ac:dyDescent="0.25">
      <c r="A764" s="3">
        <v>43563</v>
      </c>
      <c r="B764" t="s">
        <v>6160</v>
      </c>
      <c r="C764" s="2">
        <v>5</v>
      </c>
      <c r="D764" s="2" t="s">
        <v>4799</v>
      </c>
      <c r="E764" s="2" t="s">
        <v>159</v>
      </c>
      <c r="F764" s="2" t="s">
        <v>28</v>
      </c>
      <c r="G764" t="s">
        <v>6191</v>
      </c>
      <c r="H764" t="str">
        <f>VLOOKUP('Combined table'!B764,products!$A$1:$G$49,2,FALSE)</f>
        <v>Lib</v>
      </c>
      <c r="I764" t="str">
        <f>VLOOKUP('Combined table'!B764,products!$A$1:$G$49,3,FALSE)</f>
        <v>M</v>
      </c>
      <c r="J764">
        <f>VLOOKUP('Combined table'!B764,products!$A$1:$G$49,4,FALSE)</f>
        <v>0.5</v>
      </c>
      <c r="K764">
        <f>VLOOKUP('Combined table'!B764,products!$A$1:$G$49,5,FALSE)</f>
        <v>8.73</v>
      </c>
      <c r="L764">
        <f>VLOOKUP('Combined table'!B764,products!$A$1:$G$49,6,FALSE)</f>
        <v>1.746</v>
      </c>
      <c r="M764">
        <f>VLOOKUP('Combined table'!B764,products!$A$1:$G$49,7,FALSE)</f>
        <v>1.1349</v>
      </c>
      <c r="N764" t="str">
        <f>TEXT(A764,"mmm yyyy")</f>
        <v>Apr 2019</v>
      </c>
      <c r="O764">
        <f t="shared" si="11"/>
        <v>43.650000000000006</v>
      </c>
    </row>
    <row r="765" spans="1:15" x14ac:dyDescent="0.25">
      <c r="A765" s="3">
        <v>44587</v>
      </c>
      <c r="B765" t="s">
        <v>6180</v>
      </c>
      <c r="C765" s="2">
        <v>3</v>
      </c>
      <c r="D765" s="2" t="s">
        <v>4805</v>
      </c>
      <c r="E765" s="2" t="s">
        <v>106</v>
      </c>
      <c r="F765" s="2" t="s">
        <v>19</v>
      </c>
      <c r="G765" t="s">
        <v>6191</v>
      </c>
      <c r="H765" t="str">
        <f>VLOOKUP('Combined table'!B765,products!$A$1:$G$49,2,FALSE)</f>
        <v>Ara</v>
      </c>
      <c r="I765" t="str">
        <f>VLOOKUP('Combined table'!B765,products!$A$1:$G$49,3,FALSE)</f>
        <v>L</v>
      </c>
      <c r="J765">
        <f>VLOOKUP('Combined table'!B765,products!$A$1:$G$49,4,FALSE)</f>
        <v>0.5</v>
      </c>
      <c r="K765">
        <f>VLOOKUP('Combined table'!B765,products!$A$1:$G$49,5,FALSE)</f>
        <v>7.77</v>
      </c>
      <c r="L765">
        <f>VLOOKUP('Combined table'!B765,products!$A$1:$G$49,6,FALSE)</f>
        <v>1.5539999999999998</v>
      </c>
      <c r="M765">
        <f>VLOOKUP('Combined table'!B765,products!$A$1:$G$49,7,FALSE)</f>
        <v>0.69929999999999992</v>
      </c>
      <c r="N765" t="str">
        <f>TEXT(A765,"mmm yyyy")</f>
        <v>Jan 2022</v>
      </c>
      <c r="O765">
        <f t="shared" si="11"/>
        <v>23.31</v>
      </c>
    </row>
    <row r="766" spans="1:15" x14ac:dyDescent="0.25">
      <c r="A766" s="3">
        <v>43797</v>
      </c>
      <c r="B766" t="s">
        <v>6182</v>
      </c>
      <c r="C766" s="2">
        <v>6</v>
      </c>
      <c r="D766" s="2" t="s">
        <v>4810</v>
      </c>
      <c r="E766" s="2" t="s">
        <v>97</v>
      </c>
      <c r="F766" s="2" t="s">
        <v>19</v>
      </c>
      <c r="G766" t="s">
        <v>6190</v>
      </c>
      <c r="H766" t="str">
        <f>VLOOKUP('Combined table'!B766,products!$A$1:$G$49,2,FALSE)</f>
        <v>Ara</v>
      </c>
      <c r="I766" t="str">
        <f>VLOOKUP('Combined table'!B766,products!$A$1:$G$49,3,FALSE)</f>
        <v>L</v>
      </c>
      <c r="J766">
        <f>VLOOKUP('Combined table'!B766,products!$A$1:$G$49,4,FALSE)</f>
        <v>2.5</v>
      </c>
      <c r="K766">
        <f>VLOOKUP('Combined table'!B766,products!$A$1:$G$49,5,FALSE)</f>
        <v>29.784999999999997</v>
      </c>
      <c r="L766">
        <f>VLOOKUP('Combined table'!B766,products!$A$1:$G$49,6,FALSE)</f>
        <v>1.1913999999999998</v>
      </c>
      <c r="M766">
        <f>VLOOKUP('Combined table'!B766,products!$A$1:$G$49,7,FALSE)</f>
        <v>2.6806499999999995</v>
      </c>
      <c r="N766" t="str">
        <f>TEXT(A766,"mmm yyyy")</f>
        <v>Nov 2019</v>
      </c>
      <c r="O766">
        <f t="shared" si="11"/>
        <v>178.70999999999998</v>
      </c>
    </row>
    <row r="767" spans="1:15" x14ac:dyDescent="0.25">
      <c r="A767" s="3">
        <v>43667</v>
      </c>
      <c r="B767" t="s">
        <v>6138</v>
      </c>
      <c r="C767" s="2">
        <v>6</v>
      </c>
      <c r="D767" s="2" t="s">
        <v>4816</v>
      </c>
      <c r="E767" s="2" t="s">
        <v>115</v>
      </c>
      <c r="F767" s="2" t="s">
        <v>19</v>
      </c>
      <c r="G767" t="s">
        <v>6190</v>
      </c>
      <c r="H767" t="str">
        <f>VLOOKUP('Combined table'!B767,products!$A$1:$G$49,2,FALSE)</f>
        <v>Rob</v>
      </c>
      <c r="I767" t="str">
        <f>VLOOKUP('Combined table'!B767,products!$A$1:$G$49,3,FALSE)</f>
        <v>M</v>
      </c>
      <c r="J767">
        <f>VLOOKUP('Combined table'!B767,products!$A$1:$G$49,4,FALSE)</f>
        <v>1</v>
      </c>
      <c r="K767">
        <f>VLOOKUP('Combined table'!B767,products!$A$1:$G$49,5,FALSE)</f>
        <v>9.9499999999999993</v>
      </c>
      <c r="L767">
        <f>VLOOKUP('Combined table'!B767,products!$A$1:$G$49,6,FALSE)</f>
        <v>0.99499999999999988</v>
      </c>
      <c r="M767">
        <f>VLOOKUP('Combined table'!B767,products!$A$1:$G$49,7,FALSE)</f>
        <v>0.59699999999999998</v>
      </c>
      <c r="N767" t="str">
        <f>TEXT(A767,"mmm yyyy")</f>
        <v>Jul 2019</v>
      </c>
      <c r="O767">
        <f t="shared" si="11"/>
        <v>59.699999999999996</v>
      </c>
    </row>
    <row r="768" spans="1:15" x14ac:dyDescent="0.25">
      <c r="A768" s="3">
        <v>43667</v>
      </c>
      <c r="B768" t="s">
        <v>6180</v>
      </c>
      <c r="C768" s="2">
        <v>2</v>
      </c>
      <c r="D768" s="2" t="s">
        <v>4821</v>
      </c>
      <c r="E768" s="2" t="s">
        <v>39</v>
      </c>
      <c r="F768" s="2" t="s">
        <v>19</v>
      </c>
      <c r="G768" t="s">
        <v>6191</v>
      </c>
      <c r="H768" t="str">
        <f>VLOOKUP('Combined table'!B768,products!$A$1:$G$49,2,FALSE)</f>
        <v>Ara</v>
      </c>
      <c r="I768" t="str">
        <f>VLOOKUP('Combined table'!B768,products!$A$1:$G$49,3,FALSE)</f>
        <v>L</v>
      </c>
      <c r="J768">
        <f>VLOOKUP('Combined table'!B768,products!$A$1:$G$49,4,FALSE)</f>
        <v>0.5</v>
      </c>
      <c r="K768">
        <f>VLOOKUP('Combined table'!B768,products!$A$1:$G$49,5,FALSE)</f>
        <v>7.77</v>
      </c>
      <c r="L768">
        <f>VLOOKUP('Combined table'!B768,products!$A$1:$G$49,6,FALSE)</f>
        <v>1.5539999999999998</v>
      </c>
      <c r="M768">
        <f>VLOOKUP('Combined table'!B768,products!$A$1:$G$49,7,FALSE)</f>
        <v>0.69929999999999992</v>
      </c>
      <c r="N768" t="str">
        <f>TEXT(A768,"mmm yyyy")</f>
        <v>Jul 2019</v>
      </c>
      <c r="O768">
        <f t="shared" si="11"/>
        <v>15.54</v>
      </c>
    </row>
    <row r="769" spans="1:15" x14ac:dyDescent="0.25">
      <c r="A769" s="3">
        <v>44267</v>
      </c>
      <c r="B769" t="s">
        <v>6182</v>
      </c>
      <c r="C769" s="2">
        <v>3</v>
      </c>
      <c r="D769" s="2" t="s">
        <v>4827</v>
      </c>
      <c r="E769" s="2" t="s">
        <v>123</v>
      </c>
      <c r="F769" s="2" t="s">
        <v>19</v>
      </c>
      <c r="G769" t="s">
        <v>6191</v>
      </c>
      <c r="H769" t="str">
        <f>VLOOKUP('Combined table'!B769,products!$A$1:$G$49,2,FALSE)</f>
        <v>Ara</v>
      </c>
      <c r="I769" t="str">
        <f>VLOOKUP('Combined table'!B769,products!$A$1:$G$49,3,FALSE)</f>
        <v>L</v>
      </c>
      <c r="J769">
        <f>VLOOKUP('Combined table'!B769,products!$A$1:$G$49,4,FALSE)</f>
        <v>2.5</v>
      </c>
      <c r="K769">
        <f>VLOOKUP('Combined table'!B769,products!$A$1:$G$49,5,FALSE)</f>
        <v>29.784999999999997</v>
      </c>
      <c r="L769">
        <f>VLOOKUP('Combined table'!B769,products!$A$1:$G$49,6,FALSE)</f>
        <v>1.1913999999999998</v>
      </c>
      <c r="M769">
        <f>VLOOKUP('Combined table'!B769,products!$A$1:$G$49,7,FALSE)</f>
        <v>2.6806499999999995</v>
      </c>
      <c r="N769" t="str">
        <f>TEXT(A769,"mmm yyyy")</f>
        <v>Mar 2021</v>
      </c>
      <c r="O769">
        <f t="shared" si="11"/>
        <v>89.35499999999999</v>
      </c>
    </row>
    <row r="770" spans="1:15" x14ac:dyDescent="0.25">
      <c r="A770" s="3">
        <v>44562</v>
      </c>
      <c r="B770" t="s">
        <v>6179</v>
      </c>
      <c r="C770" s="2">
        <v>2</v>
      </c>
      <c r="D770" s="2" t="s">
        <v>4833</v>
      </c>
      <c r="E770" s="2" t="s">
        <v>187</v>
      </c>
      <c r="F770" s="2" t="s">
        <v>19</v>
      </c>
      <c r="G770" t="s">
        <v>6190</v>
      </c>
      <c r="H770" t="str">
        <f>VLOOKUP('Combined table'!B770,products!$A$1:$G$49,2,FALSE)</f>
        <v>Rob</v>
      </c>
      <c r="I770" t="str">
        <f>VLOOKUP('Combined table'!B770,products!$A$1:$G$49,3,FALSE)</f>
        <v>L</v>
      </c>
      <c r="J770">
        <f>VLOOKUP('Combined table'!B770,products!$A$1:$G$49,4,FALSE)</f>
        <v>1</v>
      </c>
      <c r="K770">
        <f>VLOOKUP('Combined table'!B770,products!$A$1:$G$49,5,FALSE)</f>
        <v>11.95</v>
      </c>
      <c r="L770">
        <f>VLOOKUP('Combined table'!B770,products!$A$1:$G$49,6,FALSE)</f>
        <v>1.1949999999999998</v>
      </c>
      <c r="M770">
        <f>VLOOKUP('Combined table'!B770,products!$A$1:$G$49,7,FALSE)</f>
        <v>0.71699999999999997</v>
      </c>
      <c r="N770" t="str">
        <f>TEXT(A770,"mmm yyyy")</f>
        <v>Jan 2022</v>
      </c>
      <c r="O770">
        <f t="shared" si="11"/>
        <v>23.9</v>
      </c>
    </row>
    <row r="771" spans="1:15" x14ac:dyDescent="0.25">
      <c r="A771" s="3">
        <v>43912</v>
      </c>
      <c r="B771" t="s">
        <v>6151</v>
      </c>
      <c r="C771" s="2">
        <v>6</v>
      </c>
      <c r="D771" s="2" t="s">
        <v>4838</v>
      </c>
      <c r="E771" s="2" t="s">
        <v>144</v>
      </c>
      <c r="F771" s="2" t="s">
        <v>28</v>
      </c>
      <c r="G771" t="s">
        <v>6191</v>
      </c>
      <c r="H771" t="str">
        <f>VLOOKUP('Combined table'!B771,products!$A$1:$G$49,2,FALSE)</f>
        <v>Rob</v>
      </c>
      <c r="I771" t="str">
        <f>VLOOKUP('Combined table'!B771,products!$A$1:$G$49,3,FALSE)</f>
        <v>M</v>
      </c>
      <c r="J771">
        <f>VLOOKUP('Combined table'!B771,products!$A$1:$G$49,4,FALSE)</f>
        <v>2.5</v>
      </c>
      <c r="K771">
        <f>VLOOKUP('Combined table'!B771,products!$A$1:$G$49,5,FALSE)</f>
        <v>22.884999999999998</v>
      </c>
      <c r="L771">
        <f>VLOOKUP('Combined table'!B771,products!$A$1:$G$49,6,FALSE)</f>
        <v>0.91539999999999988</v>
      </c>
      <c r="M771">
        <f>VLOOKUP('Combined table'!B771,products!$A$1:$G$49,7,FALSE)</f>
        <v>1.3730999999999998</v>
      </c>
      <c r="N771" t="str">
        <f>TEXT(A771,"mmm yyyy")</f>
        <v>Mar 2020</v>
      </c>
      <c r="O771">
        <f t="shared" ref="O771:O834" si="12">C771*K771</f>
        <v>137.31</v>
      </c>
    </row>
    <row r="772" spans="1:15" x14ac:dyDescent="0.25">
      <c r="A772" s="3">
        <v>44092</v>
      </c>
      <c r="B772" t="s">
        <v>6147</v>
      </c>
      <c r="C772" s="2">
        <v>1</v>
      </c>
      <c r="D772" s="2" t="s">
        <v>4844</v>
      </c>
      <c r="E772" s="2" t="s">
        <v>83</v>
      </c>
      <c r="F772" s="2" t="s">
        <v>19</v>
      </c>
      <c r="G772" t="s">
        <v>6191</v>
      </c>
      <c r="H772" t="str">
        <f>VLOOKUP('Combined table'!B772,products!$A$1:$G$49,2,FALSE)</f>
        <v>Ara</v>
      </c>
      <c r="I772" t="str">
        <f>VLOOKUP('Combined table'!B772,products!$A$1:$G$49,3,FALSE)</f>
        <v>D</v>
      </c>
      <c r="J772">
        <f>VLOOKUP('Combined table'!B772,products!$A$1:$G$49,4,FALSE)</f>
        <v>1</v>
      </c>
      <c r="K772">
        <f>VLOOKUP('Combined table'!B772,products!$A$1:$G$49,5,FALSE)</f>
        <v>9.9499999999999993</v>
      </c>
      <c r="L772">
        <f>VLOOKUP('Combined table'!B772,products!$A$1:$G$49,6,FALSE)</f>
        <v>0.99499999999999988</v>
      </c>
      <c r="M772">
        <f>VLOOKUP('Combined table'!B772,products!$A$1:$G$49,7,FALSE)</f>
        <v>0.89549999999999985</v>
      </c>
      <c r="N772" t="str">
        <f>TEXT(A772,"mmm yyyy")</f>
        <v>Sep 2020</v>
      </c>
      <c r="O772">
        <f t="shared" si="12"/>
        <v>9.9499999999999993</v>
      </c>
    </row>
    <row r="773" spans="1:15" x14ac:dyDescent="0.25">
      <c r="A773" s="3">
        <v>43468</v>
      </c>
      <c r="B773" t="s">
        <v>6173</v>
      </c>
      <c r="C773" s="2">
        <v>3</v>
      </c>
      <c r="D773" s="2" t="s">
        <v>4849</v>
      </c>
      <c r="E773" s="2" t="s">
        <v>204</v>
      </c>
      <c r="F773" s="2" t="s">
        <v>19</v>
      </c>
      <c r="G773" t="s">
        <v>6191</v>
      </c>
      <c r="H773" t="str">
        <f>VLOOKUP('Combined table'!B773,products!$A$1:$G$49,2,FALSE)</f>
        <v>Rob</v>
      </c>
      <c r="I773" t="str">
        <f>VLOOKUP('Combined table'!B773,products!$A$1:$G$49,3,FALSE)</f>
        <v>L</v>
      </c>
      <c r="J773">
        <f>VLOOKUP('Combined table'!B773,products!$A$1:$G$49,4,FALSE)</f>
        <v>0.5</v>
      </c>
      <c r="K773">
        <f>VLOOKUP('Combined table'!B773,products!$A$1:$G$49,5,FALSE)</f>
        <v>7.169999999999999</v>
      </c>
      <c r="L773">
        <f>VLOOKUP('Combined table'!B773,products!$A$1:$G$49,6,FALSE)</f>
        <v>1.4339999999999997</v>
      </c>
      <c r="M773">
        <f>VLOOKUP('Combined table'!B773,products!$A$1:$G$49,7,FALSE)</f>
        <v>0.43019999999999992</v>
      </c>
      <c r="N773" t="str">
        <f>TEXT(A773,"mmm yyyy")</f>
        <v>Jan 2019</v>
      </c>
      <c r="O773">
        <f t="shared" si="12"/>
        <v>21.509999999999998</v>
      </c>
    </row>
    <row r="774" spans="1:15" x14ac:dyDescent="0.25">
      <c r="A774" s="3">
        <v>44468</v>
      </c>
      <c r="B774" t="s">
        <v>6141</v>
      </c>
      <c r="C774" s="2">
        <v>6</v>
      </c>
      <c r="D774" s="2" t="s">
        <v>4855</v>
      </c>
      <c r="E774" s="2" t="s">
        <v>20</v>
      </c>
      <c r="F774" s="2" t="s">
        <v>19</v>
      </c>
      <c r="G774" t="s">
        <v>6191</v>
      </c>
      <c r="H774" t="str">
        <f>VLOOKUP('Combined table'!B774,products!$A$1:$G$49,2,FALSE)</f>
        <v>Exc</v>
      </c>
      <c r="I774" t="str">
        <f>VLOOKUP('Combined table'!B774,products!$A$1:$G$49,3,FALSE)</f>
        <v>M</v>
      </c>
      <c r="J774">
        <f>VLOOKUP('Combined table'!B774,products!$A$1:$G$49,4,FALSE)</f>
        <v>1</v>
      </c>
      <c r="K774">
        <f>VLOOKUP('Combined table'!B774,products!$A$1:$G$49,5,FALSE)</f>
        <v>13.75</v>
      </c>
      <c r="L774">
        <f>VLOOKUP('Combined table'!B774,products!$A$1:$G$49,6,FALSE)</f>
        <v>1.375</v>
      </c>
      <c r="M774">
        <f>VLOOKUP('Combined table'!B774,products!$A$1:$G$49,7,FALSE)</f>
        <v>1.5125</v>
      </c>
      <c r="N774" t="str">
        <f>TEXT(A774,"mmm yyyy")</f>
        <v>Sep 2021</v>
      </c>
      <c r="O774">
        <f t="shared" si="12"/>
        <v>82.5</v>
      </c>
    </row>
    <row r="775" spans="1:15" x14ac:dyDescent="0.25">
      <c r="A775" s="3">
        <v>44488</v>
      </c>
      <c r="B775" t="s">
        <v>6159</v>
      </c>
      <c r="C775" s="2">
        <v>2</v>
      </c>
      <c r="D775" s="2" t="s">
        <v>4860</v>
      </c>
      <c r="E775" s="2" t="s">
        <v>482</v>
      </c>
      <c r="F775" s="2" t="s">
        <v>318</v>
      </c>
      <c r="G775" t="s">
        <v>6191</v>
      </c>
      <c r="H775" t="str">
        <f>VLOOKUP('Combined table'!B775,products!$A$1:$G$49,2,FALSE)</f>
        <v>Lib</v>
      </c>
      <c r="I775" t="str">
        <f>VLOOKUP('Combined table'!B775,products!$A$1:$G$49,3,FALSE)</f>
        <v>M</v>
      </c>
      <c r="J775">
        <f>VLOOKUP('Combined table'!B775,products!$A$1:$G$49,4,FALSE)</f>
        <v>0.2</v>
      </c>
      <c r="K775">
        <f>VLOOKUP('Combined table'!B775,products!$A$1:$G$49,5,FALSE)</f>
        <v>4.3650000000000002</v>
      </c>
      <c r="L775">
        <f>VLOOKUP('Combined table'!B775,products!$A$1:$G$49,6,FALSE)</f>
        <v>2.1825000000000001</v>
      </c>
      <c r="M775">
        <f>VLOOKUP('Combined table'!B775,products!$A$1:$G$49,7,FALSE)</f>
        <v>0.56745000000000001</v>
      </c>
      <c r="N775" t="str">
        <f>TEXT(A775,"mmm yyyy")</f>
        <v>Oct 2021</v>
      </c>
      <c r="O775">
        <f t="shared" si="12"/>
        <v>8.73</v>
      </c>
    </row>
    <row r="776" spans="1:15" x14ac:dyDescent="0.25">
      <c r="A776" s="3">
        <v>44756</v>
      </c>
      <c r="B776" t="s">
        <v>6138</v>
      </c>
      <c r="C776" s="2">
        <v>2</v>
      </c>
      <c r="D776" s="2" t="s">
        <v>4866</v>
      </c>
      <c r="E776" s="2" t="s">
        <v>271</v>
      </c>
      <c r="F776" s="2" t="s">
        <v>19</v>
      </c>
      <c r="G776" t="s">
        <v>6190</v>
      </c>
      <c r="H776" t="str">
        <f>VLOOKUP('Combined table'!B776,products!$A$1:$G$49,2,FALSE)</f>
        <v>Rob</v>
      </c>
      <c r="I776" t="str">
        <f>VLOOKUP('Combined table'!B776,products!$A$1:$G$49,3,FALSE)</f>
        <v>M</v>
      </c>
      <c r="J776">
        <f>VLOOKUP('Combined table'!B776,products!$A$1:$G$49,4,FALSE)</f>
        <v>1</v>
      </c>
      <c r="K776">
        <f>VLOOKUP('Combined table'!B776,products!$A$1:$G$49,5,FALSE)</f>
        <v>9.9499999999999993</v>
      </c>
      <c r="L776">
        <f>VLOOKUP('Combined table'!B776,products!$A$1:$G$49,6,FALSE)</f>
        <v>0.99499999999999988</v>
      </c>
      <c r="M776">
        <f>VLOOKUP('Combined table'!B776,products!$A$1:$G$49,7,FALSE)</f>
        <v>0.59699999999999998</v>
      </c>
      <c r="N776" t="str">
        <f>TEXT(A776,"mmm yyyy")</f>
        <v>Jul 2022</v>
      </c>
      <c r="O776">
        <f t="shared" si="12"/>
        <v>19.899999999999999</v>
      </c>
    </row>
    <row r="777" spans="1:15" x14ac:dyDescent="0.25">
      <c r="A777" s="3">
        <v>44396</v>
      </c>
      <c r="B777" t="s">
        <v>6176</v>
      </c>
      <c r="C777" s="2">
        <v>2</v>
      </c>
      <c r="D777" s="2" t="s">
        <v>4871</v>
      </c>
      <c r="E777" s="2" t="s">
        <v>58</v>
      </c>
      <c r="F777" s="2" t="s">
        <v>19</v>
      </c>
      <c r="G777" t="s">
        <v>6190</v>
      </c>
      <c r="H777" t="str">
        <f>VLOOKUP('Combined table'!B777,products!$A$1:$G$49,2,FALSE)</f>
        <v>Exc</v>
      </c>
      <c r="I777" t="str">
        <f>VLOOKUP('Combined table'!B777,products!$A$1:$G$49,3,FALSE)</f>
        <v>L</v>
      </c>
      <c r="J777">
        <f>VLOOKUP('Combined table'!B777,products!$A$1:$G$49,4,FALSE)</f>
        <v>0.5</v>
      </c>
      <c r="K777">
        <f>VLOOKUP('Combined table'!B777,products!$A$1:$G$49,5,FALSE)</f>
        <v>8.91</v>
      </c>
      <c r="L777">
        <f>VLOOKUP('Combined table'!B777,products!$A$1:$G$49,6,FALSE)</f>
        <v>1.782</v>
      </c>
      <c r="M777">
        <f>VLOOKUP('Combined table'!B777,products!$A$1:$G$49,7,FALSE)</f>
        <v>0.98009999999999997</v>
      </c>
      <c r="N777" t="str">
        <f>TEXT(A777,"mmm yyyy")</f>
        <v>Jul 2021</v>
      </c>
      <c r="O777">
        <f t="shared" si="12"/>
        <v>17.82</v>
      </c>
    </row>
    <row r="778" spans="1:15" x14ac:dyDescent="0.25">
      <c r="A778" s="3">
        <v>44540</v>
      </c>
      <c r="B778" t="s">
        <v>6157</v>
      </c>
      <c r="C778" s="2">
        <v>3</v>
      </c>
      <c r="D778" s="2" t="s">
        <v>4877</v>
      </c>
      <c r="E778" s="2" t="s">
        <v>52</v>
      </c>
      <c r="F778" s="2" t="s">
        <v>19</v>
      </c>
      <c r="G778" t="s">
        <v>6191</v>
      </c>
      <c r="H778" t="str">
        <f>VLOOKUP('Combined table'!B778,products!$A$1:$G$49,2,FALSE)</f>
        <v>Ara</v>
      </c>
      <c r="I778" t="str">
        <f>VLOOKUP('Combined table'!B778,products!$A$1:$G$49,3,FALSE)</f>
        <v>M</v>
      </c>
      <c r="J778">
        <f>VLOOKUP('Combined table'!B778,products!$A$1:$G$49,4,FALSE)</f>
        <v>0.5</v>
      </c>
      <c r="K778">
        <f>VLOOKUP('Combined table'!B778,products!$A$1:$G$49,5,FALSE)</f>
        <v>6.75</v>
      </c>
      <c r="L778">
        <f>VLOOKUP('Combined table'!B778,products!$A$1:$G$49,6,FALSE)</f>
        <v>1.35</v>
      </c>
      <c r="M778">
        <f>VLOOKUP('Combined table'!B778,products!$A$1:$G$49,7,FALSE)</f>
        <v>0.60749999999999993</v>
      </c>
      <c r="N778" t="str">
        <f>TEXT(A778,"mmm yyyy")</f>
        <v>Dec 2021</v>
      </c>
      <c r="O778">
        <f t="shared" si="12"/>
        <v>20.25</v>
      </c>
    </row>
    <row r="779" spans="1:15" x14ac:dyDescent="0.25">
      <c r="A779" s="3">
        <v>43541</v>
      </c>
      <c r="B779" t="s">
        <v>6182</v>
      </c>
      <c r="C779" s="2">
        <v>2</v>
      </c>
      <c r="D779" s="2" t="s">
        <v>4883</v>
      </c>
      <c r="E779" s="2" t="s">
        <v>316</v>
      </c>
      <c r="F779" s="2" t="s">
        <v>19</v>
      </c>
      <c r="G779" t="s">
        <v>6191</v>
      </c>
      <c r="H779" t="str">
        <f>VLOOKUP('Combined table'!B779,products!$A$1:$G$49,2,FALSE)</f>
        <v>Ara</v>
      </c>
      <c r="I779" t="str">
        <f>VLOOKUP('Combined table'!B779,products!$A$1:$G$49,3,FALSE)</f>
        <v>L</v>
      </c>
      <c r="J779">
        <f>VLOOKUP('Combined table'!B779,products!$A$1:$G$49,4,FALSE)</f>
        <v>2.5</v>
      </c>
      <c r="K779">
        <f>VLOOKUP('Combined table'!B779,products!$A$1:$G$49,5,FALSE)</f>
        <v>29.784999999999997</v>
      </c>
      <c r="L779">
        <f>VLOOKUP('Combined table'!B779,products!$A$1:$G$49,6,FALSE)</f>
        <v>1.1913999999999998</v>
      </c>
      <c r="M779">
        <f>VLOOKUP('Combined table'!B779,products!$A$1:$G$49,7,FALSE)</f>
        <v>2.6806499999999995</v>
      </c>
      <c r="N779" t="str">
        <f>TEXT(A779,"mmm yyyy")</f>
        <v>Mar 2019</v>
      </c>
      <c r="O779">
        <f t="shared" si="12"/>
        <v>59.569999999999993</v>
      </c>
    </row>
    <row r="780" spans="1:15" x14ac:dyDescent="0.25">
      <c r="A780" s="3">
        <v>43889</v>
      </c>
      <c r="B780" t="s">
        <v>6161</v>
      </c>
      <c r="C780" s="2">
        <v>2</v>
      </c>
      <c r="D780" s="2" t="s">
        <v>4888</v>
      </c>
      <c r="E780" s="2" t="s">
        <v>183</v>
      </c>
      <c r="F780" s="2" t="s">
        <v>19</v>
      </c>
      <c r="G780" t="s">
        <v>6190</v>
      </c>
      <c r="H780" t="str">
        <f>VLOOKUP('Combined table'!B780,products!$A$1:$G$49,2,FALSE)</f>
        <v>Lib</v>
      </c>
      <c r="I780" t="str">
        <f>VLOOKUP('Combined table'!B780,products!$A$1:$G$49,3,FALSE)</f>
        <v>L</v>
      </c>
      <c r="J780">
        <f>VLOOKUP('Combined table'!B780,products!$A$1:$G$49,4,FALSE)</f>
        <v>0.5</v>
      </c>
      <c r="K780">
        <f>VLOOKUP('Combined table'!B780,products!$A$1:$G$49,5,FALSE)</f>
        <v>9.51</v>
      </c>
      <c r="L780">
        <f>VLOOKUP('Combined table'!B780,products!$A$1:$G$49,6,FALSE)</f>
        <v>1.9019999999999999</v>
      </c>
      <c r="M780">
        <f>VLOOKUP('Combined table'!B780,products!$A$1:$G$49,7,FALSE)</f>
        <v>1.2363</v>
      </c>
      <c r="N780" t="str">
        <f>TEXT(A780,"mmm yyyy")</f>
        <v>Feb 2020</v>
      </c>
      <c r="O780">
        <f t="shared" si="12"/>
        <v>19.02</v>
      </c>
    </row>
    <row r="781" spans="1:15" x14ac:dyDescent="0.25">
      <c r="A781" s="3">
        <v>43985</v>
      </c>
      <c r="B781" t="s">
        <v>6143</v>
      </c>
      <c r="C781" s="2">
        <v>6</v>
      </c>
      <c r="D781" s="2" t="s">
        <v>4894</v>
      </c>
      <c r="E781" s="2" t="s">
        <v>209</v>
      </c>
      <c r="F781" s="2" t="s">
        <v>19</v>
      </c>
      <c r="G781" t="s">
        <v>6190</v>
      </c>
      <c r="H781" t="str">
        <f>VLOOKUP('Combined table'!B781,products!$A$1:$G$49,2,FALSE)</f>
        <v>Lib</v>
      </c>
      <c r="I781" t="str">
        <f>VLOOKUP('Combined table'!B781,products!$A$1:$G$49,3,FALSE)</f>
        <v>D</v>
      </c>
      <c r="J781">
        <f>VLOOKUP('Combined table'!B781,products!$A$1:$G$49,4,FALSE)</f>
        <v>1</v>
      </c>
      <c r="K781">
        <f>VLOOKUP('Combined table'!B781,products!$A$1:$G$49,5,FALSE)</f>
        <v>12.95</v>
      </c>
      <c r="L781">
        <f>VLOOKUP('Combined table'!B781,products!$A$1:$G$49,6,FALSE)</f>
        <v>1.2949999999999999</v>
      </c>
      <c r="M781">
        <f>VLOOKUP('Combined table'!B781,products!$A$1:$G$49,7,FALSE)</f>
        <v>1.6835</v>
      </c>
      <c r="N781" t="str">
        <f>TEXT(A781,"mmm yyyy")</f>
        <v>Jun 2020</v>
      </c>
      <c r="O781">
        <f t="shared" si="12"/>
        <v>77.699999999999989</v>
      </c>
    </row>
    <row r="782" spans="1:15" x14ac:dyDescent="0.25">
      <c r="A782" s="3">
        <v>43883</v>
      </c>
      <c r="B782" t="s">
        <v>6141</v>
      </c>
      <c r="C782" s="2">
        <v>3</v>
      </c>
      <c r="D782" s="2" t="s">
        <v>4900</v>
      </c>
      <c r="E782" s="2" t="s">
        <v>33</v>
      </c>
      <c r="F782" s="2" t="s">
        <v>19</v>
      </c>
      <c r="G782" t="s">
        <v>6191</v>
      </c>
      <c r="H782" t="str">
        <f>VLOOKUP('Combined table'!B782,products!$A$1:$G$49,2,FALSE)</f>
        <v>Exc</v>
      </c>
      <c r="I782" t="str">
        <f>VLOOKUP('Combined table'!B782,products!$A$1:$G$49,3,FALSE)</f>
        <v>M</v>
      </c>
      <c r="J782">
        <f>VLOOKUP('Combined table'!B782,products!$A$1:$G$49,4,FALSE)</f>
        <v>1</v>
      </c>
      <c r="K782">
        <f>VLOOKUP('Combined table'!B782,products!$A$1:$G$49,5,FALSE)</f>
        <v>13.75</v>
      </c>
      <c r="L782">
        <f>VLOOKUP('Combined table'!B782,products!$A$1:$G$49,6,FALSE)</f>
        <v>1.375</v>
      </c>
      <c r="M782">
        <f>VLOOKUP('Combined table'!B782,products!$A$1:$G$49,7,FALSE)</f>
        <v>1.5125</v>
      </c>
      <c r="N782" t="str">
        <f>TEXT(A782,"mmm yyyy")</f>
        <v>Feb 2020</v>
      </c>
      <c r="O782">
        <f t="shared" si="12"/>
        <v>41.25</v>
      </c>
    </row>
    <row r="783" spans="1:15" x14ac:dyDescent="0.25">
      <c r="A783" s="3">
        <v>43778</v>
      </c>
      <c r="B783" t="s">
        <v>6164</v>
      </c>
      <c r="C783" s="2">
        <v>4</v>
      </c>
      <c r="D783" s="2" t="s">
        <v>4905</v>
      </c>
      <c r="E783" s="2" t="s">
        <v>259</v>
      </c>
      <c r="F783" s="2" t="s">
        <v>19</v>
      </c>
      <c r="G783" t="s">
        <v>6191</v>
      </c>
      <c r="H783" t="str">
        <f>VLOOKUP('Combined table'!B783,products!$A$1:$G$49,2,FALSE)</f>
        <v>Lib</v>
      </c>
      <c r="I783" t="str">
        <f>VLOOKUP('Combined table'!B783,products!$A$1:$G$49,3,FALSE)</f>
        <v>L</v>
      </c>
      <c r="J783">
        <f>VLOOKUP('Combined table'!B783,products!$A$1:$G$49,4,FALSE)</f>
        <v>2.5</v>
      </c>
      <c r="K783">
        <f>VLOOKUP('Combined table'!B783,products!$A$1:$G$49,5,FALSE)</f>
        <v>36.454999999999998</v>
      </c>
      <c r="L783">
        <f>VLOOKUP('Combined table'!B783,products!$A$1:$G$49,6,FALSE)</f>
        <v>1.4581999999999999</v>
      </c>
      <c r="M783">
        <f>VLOOKUP('Combined table'!B783,products!$A$1:$G$49,7,FALSE)</f>
        <v>4.7391499999999995</v>
      </c>
      <c r="N783" t="str">
        <f>TEXT(A783,"mmm yyyy")</f>
        <v>Nov 2019</v>
      </c>
      <c r="O783">
        <f t="shared" si="12"/>
        <v>145.82</v>
      </c>
    </row>
    <row r="784" spans="1:15" x14ac:dyDescent="0.25">
      <c r="A784" s="3">
        <v>43897</v>
      </c>
      <c r="B784" t="s">
        <v>6184</v>
      </c>
      <c r="C784" s="2">
        <v>6</v>
      </c>
      <c r="D784" s="2" t="s">
        <v>4911</v>
      </c>
      <c r="E784" s="2" t="s">
        <v>480</v>
      </c>
      <c r="F784" s="2" t="s">
        <v>318</v>
      </c>
      <c r="G784" t="s">
        <v>6191</v>
      </c>
      <c r="H784" t="str">
        <f>VLOOKUP('Combined table'!B784,products!$A$1:$G$49,2,FALSE)</f>
        <v>Exc</v>
      </c>
      <c r="I784" t="str">
        <f>VLOOKUP('Combined table'!B784,products!$A$1:$G$49,3,FALSE)</f>
        <v>L</v>
      </c>
      <c r="J784">
        <f>VLOOKUP('Combined table'!B784,products!$A$1:$G$49,4,FALSE)</f>
        <v>0.2</v>
      </c>
      <c r="K784">
        <f>VLOOKUP('Combined table'!B784,products!$A$1:$G$49,5,FALSE)</f>
        <v>4.4550000000000001</v>
      </c>
      <c r="L784">
        <f>VLOOKUP('Combined table'!B784,products!$A$1:$G$49,6,FALSE)</f>
        <v>2.2275</v>
      </c>
      <c r="M784">
        <f>VLOOKUP('Combined table'!B784,products!$A$1:$G$49,7,FALSE)</f>
        <v>0.49004999999999999</v>
      </c>
      <c r="N784" t="str">
        <f>TEXT(A784,"mmm yyyy")</f>
        <v>Mar 2020</v>
      </c>
      <c r="O784">
        <f t="shared" si="12"/>
        <v>26.73</v>
      </c>
    </row>
    <row r="785" spans="1:15" x14ac:dyDescent="0.25">
      <c r="A785" s="3">
        <v>44312</v>
      </c>
      <c r="B785" t="s">
        <v>6160</v>
      </c>
      <c r="C785" s="2">
        <v>5</v>
      </c>
      <c r="D785" s="2" t="s">
        <v>4917</v>
      </c>
      <c r="E785" s="2" t="s">
        <v>137</v>
      </c>
      <c r="F785" s="2" t="s">
        <v>19</v>
      </c>
      <c r="G785" t="s">
        <v>6190</v>
      </c>
      <c r="H785" t="str">
        <f>VLOOKUP('Combined table'!B785,products!$A$1:$G$49,2,FALSE)</f>
        <v>Lib</v>
      </c>
      <c r="I785" t="str">
        <f>VLOOKUP('Combined table'!B785,products!$A$1:$G$49,3,FALSE)</f>
        <v>M</v>
      </c>
      <c r="J785">
        <f>VLOOKUP('Combined table'!B785,products!$A$1:$G$49,4,FALSE)</f>
        <v>0.5</v>
      </c>
      <c r="K785">
        <f>VLOOKUP('Combined table'!B785,products!$A$1:$G$49,5,FALSE)</f>
        <v>8.73</v>
      </c>
      <c r="L785">
        <f>VLOOKUP('Combined table'!B785,products!$A$1:$G$49,6,FALSE)</f>
        <v>1.746</v>
      </c>
      <c r="M785">
        <f>VLOOKUP('Combined table'!B785,products!$A$1:$G$49,7,FALSE)</f>
        <v>1.1349</v>
      </c>
      <c r="N785" t="str">
        <f>TEXT(A785,"mmm yyyy")</f>
        <v>Apr 2021</v>
      </c>
      <c r="O785">
        <f t="shared" si="12"/>
        <v>43.650000000000006</v>
      </c>
    </row>
    <row r="786" spans="1:15" x14ac:dyDescent="0.25">
      <c r="A786" s="3">
        <v>44511</v>
      </c>
      <c r="B786" t="s">
        <v>6170</v>
      </c>
      <c r="C786" s="2">
        <v>2</v>
      </c>
      <c r="D786" s="2" t="s">
        <v>4923</v>
      </c>
      <c r="E786" s="2" t="s">
        <v>130</v>
      </c>
      <c r="F786" s="2" t="s">
        <v>19</v>
      </c>
      <c r="G786" t="s">
        <v>6191</v>
      </c>
      <c r="H786" t="str">
        <f>VLOOKUP('Combined table'!B786,products!$A$1:$G$49,2,FALSE)</f>
        <v>Lib</v>
      </c>
      <c r="I786" t="str">
        <f>VLOOKUP('Combined table'!B786,products!$A$1:$G$49,3,FALSE)</f>
        <v>L</v>
      </c>
      <c r="J786">
        <f>VLOOKUP('Combined table'!B786,products!$A$1:$G$49,4,FALSE)</f>
        <v>1</v>
      </c>
      <c r="K786">
        <f>VLOOKUP('Combined table'!B786,products!$A$1:$G$49,5,FALSE)</f>
        <v>15.85</v>
      </c>
      <c r="L786">
        <f>VLOOKUP('Combined table'!B786,products!$A$1:$G$49,6,FALSE)</f>
        <v>1.585</v>
      </c>
      <c r="M786">
        <f>VLOOKUP('Combined table'!B786,products!$A$1:$G$49,7,FALSE)</f>
        <v>2.0605000000000002</v>
      </c>
      <c r="N786" t="str">
        <f>TEXT(A786,"mmm yyyy")</f>
        <v>Nov 2021</v>
      </c>
      <c r="O786">
        <f t="shared" si="12"/>
        <v>31.7</v>
      </c>
    </row>
    <row r="787" spans="1:15" x14ac:dyDescent="0.25">
      <c r="A787" s="3">
        <v>44362</v>
      </c>
      <c r="B787" t="s">
        <v>6168</v>
      </c>
      <c r="C787" s="2">
        <v>1</v>
      </c>
      <c r="D787" s="2" t="s">
        <v>4928</v>
      </c>
      <c r="E787" s="2" t="s">
        <v>92</v>
      </c>
      <c r="F787" s="2" t="s">
        <v>19</v>
      </c>
      <c r="G787" t="s">
        <v>6191</v>
      </c>
      <c r="H787" t="str">
        <f>VLOOKUP('Combined table'!B787,products!$A$1:$G$49,2,FALSE)</f>
        <v>Ara</v>
      </c>
      <c r="I787" t="str">
        <f>VLOOKUP('Combined table'!B787,products!$A$1:$G$49,3,FALSE)</f>
        <v>D</v>
      </c>
      <c r="J787">
        <f>VLOOKUP('Combined table'!B787,products!$A$1:$G$49,4,FALSE)</f>
        <v>2.5</v>
      </c>
      <c r="K787">
        <f>VLOOKUP('Combined table'!B787,products!$A$1:$G$49,5,FALSE)</f>
        <v>22.884999999999998</v>
      </c>
      <c r="L787">
        <f>VLOOKUP('Combined table'!B787,products!$A$1:$G$49,6,FALSE)</f>
        <v>0.91539999999999988</v>
      </c>
      <c r="M787">
        <f>VLOOKUP('Combined table'!B787,products!$A$1:$G$49,7,FALSE)</f>
        <v>2.0596499999999995</v>
      </c>
      <c r="N787" t="str">
        <f>TEXT(A787,"mmm yyyy")</f>
        <v>Jun 2021</v>
      </c>
      <c r="O787">
        <f t="shared" si="12"/>
        <v>22.884999999999998</v>
      </c>
    </row>
    <row r="788" spans="1:15" x14ac:dyDescent="0.25">
      <c r="A788" s="3">
        <v>43888</v>
      </c>
      <c r="B788" t="s">
        <v>6185</v>
      </c>
      <c r="C788" s="2">
        <v>1</v>
      </c>
      <c r="D788" s="2" t="s">
        <v>4934</v>
      </c>
      <c r="E788" s="2" t="s">
        <v>203</v>
      </c>
      <c r="F788" s="2" t="s">
        <v>19</v>
      </c>
      <c r="G788" t="s">
        <v>6190</v>
      </c>
      <c r="H788" t="str">
        <f>VLOOKUP('Combined table'!B788,products!$A$1:$G$49,2,FALSE)</f>
        <v>Exc</v>
      </c>
      <c r="I788" t="str">
        <f>VLOOKUP('Combined table'!B788,products!$A$1:$G$49,3,FALSE)</f>
        <v>D</v>
      </c>
      <c r="J788">
        <f>VLOOKUP('Combined table'!B788,products!$A$1:$G$49,4,FALSE)</f>
        <v>2.5</v>
      </c>
      <c r="K788">
        <f>VLOOKUP('Combined table'!B788,products!$A$1:$G$49,5,FALSE)</f>
        <v>27.945</v>
      </c>
      <c r="L788">
        <f>VLOOKUP('Combined table'!B788,products!$A$1:$G$49,6,FALSE)</f>
        <v>1.1177999999999999</v>
      </c>
      <c r="M788">
        <f>VLOOKUP('Combined table'!B788,products!$A$1:$G$49,7,FALSE)</f>
        <v>3.07395</v>
      </c>
      <c r="N788" t="str">
        <f>TEXT(A788,"mmm yyyy")</f>
        <v>Feb 2020</v>
      </c>
      <c r="O788">
        <f t="shared" si="12"/>
        <v>27.945</v>
      </c>
    </row>
    <row r="789" spans="1:15" x14ac:dyDescent="0.25">
      <c r="A789" s="3">
        <v>44305</v>
      </c>
      <c r="B789" t="s">
        <v>6141</v>
      </c>
      <c r="C789" s="2">
        <v>6</v>
      </c>
      <c r="D789" s="2" t="s">
        <v>4940</v>
      </c>
      <c r="E789" s="2" t="s">
        <v>56</v>
      </c>
      <c r="F789" s="2" t="s">
        <v>19</v>
      </c>
      <c r="G789" t="s">
        <v>6190</v>
      </c>
      <c r="H789" t="str">
        <f>VLOOKUP('Combined table'!B789,products!$A$1:$G$49,2,FALSE)</f>
        <v>Exc</v>
      </c>
      <c r="I789" t="str">
        <f>VLOOKUP('Combined table'!B789,products!$A$1:$G$49,3,FALSE)</f>
        <v>M</v>
      </c>
      <c r="J789">
        <f>VLOOKUP('Combined table'!B789,products!$A$1:$G$49,4,FALSE)</f>
        <v>1</v>
      </c>
      <c r="K789">
        <f>VLOOKUP('Combined table'!B789,products!$A$1:$G$49,5,FALSE)</f>
        <v>13.75</v>
      </c>
      <c r="L789">
        <f>VLOOKUP('Combined table'!B789,products!$A$1:$G$49,6,FALSE)</f>
        <v>1.375</v>
      </c>
      <c r="M789">
        <f>VLOOKUP('Combined table'!B789,products!$A$1:$G$49,7,FALSE)</f>
        <v>1.5125</v>
      </c>
      <c r="N789" t="str">
        <f>TEXT(A789,"mmm yyyy")</f>
        <v>Apr 2021</v>
      </c>
      <c r="O789">
        <f t="shared" si="12"/>
        <v>82.5</v>
      </c>
    </row>
    <row r="790" spans="1:15" x14ac:dyDescent="0.25">
      <c r="A790" s="3">
        <v>44771</v>
      </c>
      <c r="B790" t="s">
        <v>6151</v>
      </c>
      <c r="C790" s="2">
        <v>2</v>
      </c>
      <c r="D790" s="2" t="s">
        <v>4945</v>
      </c>
      <c r="E790" s="2" t="s">
        <v>405</v>
      </c>
      <c r="F790" s="2" t="s">
        <v>318</v>
      </c>
      <c r="G790" t="s">
        <v>6190</v>
      </c>
      <c r="H790" t="str">
        <f>VLOOKUP('Combined table'!B790,products!$A$1:$G$49,2,FALSE)</f>
        <v>Rob</v>
      </c>
      <c r="I790" t="str">
        <f>VLOOKUP('Combined table'!B790,products!$A$1:$G$49,3,FALSE)</f>
        <v>M</v>
      </c>
      <c r="J790">
        <f>VLOOKUP('Combined table'!B790,products!$A$1:$G$49,4,FALSE)</f>
        <v>2.5</v>
      </c>
      <c r="K790">
        <f>VLOOKUP('Combined table'!B790,products!$A$1:$G$49,5,FALSE)</f>
        <v>22.884999999999998</v>
      </c>
      <c r="L790">
        <f>VLOOKUP('Combined table'!B790,products!$A$1:$G$49,6,FALSE)</f>
        <v>0.91539999999999988</v>
      </c>
      <c r="M790">
        <f>VLOOKUP('Combined table'!B790,products!$A$1:$G$49,7,FALSE)</f>
        <v>1.3730999999999998</v>
      </c>
      <c r="N790" t="str">
        <f>TEXT(A790,"mmm yyyy")</f>
        <v>Jul 2022</v>
      </c>
      <c r="O790">
        <f t="shared" si="12"/>
        <v>45.769999999999996</v>
      </c>
    </row>
    <row r="791" spans="1:15" x14ac:dyDescent="0.25">
      <c r="A791" s="3">
        <v>43485</v>
      </c>
      <c r="B791" t="s">
        <v>6140</v>
      </c>
      <c r="C791" s="2">
        <v>6</v>
      </c>
      <c r="D791" s="2" t="s">
        <v>4951</v>
      </c>
      <c r="E791" s="2" t="s">
        <v>38</v>
      </c>
      <c r="F791" s="2" t="s">
        <v>19</v>
      </c>
      <c r="G791" t="s">
        <v>6191</v>
      </c>
      <c r="H791" t="str">
        <f>VLOOKUP('Combined table'!B791,products!$A$1:$G$49,2,FALSE)</f>
        <v>Ara</v>
      </c>
      <c r="I791" t="str">
        <f>VLOOKUP('Combined table'!B791,products!$A$1:$G$49,3,FALSE)</f>
        <v>L</v>
      </c>
      <c r="J791">
        <f>VLOOKUP('Combined table'!B791,products!$A$1:$G$49,4,FALSE)</f>
        <v>1</v>
      </c>
      <c r="K791">
        <f>VLOOKUP('Combined table'!B791,products!$A$1:$G$49,5,FALSE)</f>
        <v>12.95</v>
      </c>
      <c r="L791">
        <f>VLOOKUP('Combined table'!B791,products!$A$1:$G$49,6,FALSE)</f>
        <v>1.2949999999999999</v>
      </c>
      <c r="M791">
        <f>VLOOKUP('Combined table'!B791,products!$A$1:$G$49,7,FALSE)</f>
        <v>1.1655</v>
      </c>
      <c r="N791" t="str">
        <f>TEXT(A791,"mmm yyyy")</f>
        <v>Jan 2019</v>
      </c>
      <c r="O791">
        <f t="shared" si="12"/>
        <v>77.699999999999989</v>
      </c>
    </row>
    <row r="792" spans="1:15" x14ac:dyDescent="0.25">
      <c r="A792" s="3">
        <v>44613</v>
      </c>
      <c r="B792" t="s">
        <v>6180</v>
      </c>
      <c r="C792" s="2">
        <v>3</v>
      </c>
      <c r="D792" s="2" t="s">
        <v>4957</v>
      </c>
      <c r="E792" s="2" t="s">
        <v>76</v>
      </c>
      <c r="F792" s="2" t="s">
        <v>19</v>
      </c>
      <c r="G792" t="s">
        <v>6191</v>
      </c>
      <c r="H792" t="str">
        <f>VLOOKUP('Combined table'!B792,products!$A$1:$G$49,2,FALSE)</f>
        <v>Ara</v>
      </c>
      <c r="I792" t="str">
        <f>VLOOKUP('Combined table'!B792,products!$A$1:$G$49,3,FALSE)</f>
        <v>L</v>
      </c>
      <c r="J792">
        <f>VLOOKUP('Combined table'!B792,products!$A$1:$G$49,4,FALSE)</f>
        <v>0.5</v>
      </c>
      <c r="K792">
        <f>VLOOKUP('Combined table'!B792,products!$A$1:$G$49,5,FALSE)</f>
        <v>7.77</v>
      </c>
      <c r="L792">
        <f>VLOOKUP('Combined table'!B792,products!$A$1:$G$49,6,FALSE)</f>
        <v>1.5539999999999998</v>
      </c>
      <c r="M792">
        <f>VLOOKUP('Combined table'!B792,products!$A$1:$G$49,7,FALSE)</f>
        <v>0.69929999999999992</v>
      </c>
      <c r="N792" t="str">
        <f>TEXT(A792,"mmm yyyy")</f>
        <v>Feb 2022</v>
      </c>
      <c r="O792">
        <f t="shared" si="12"/>
        <v>23.31</v>
      </c>
    </row>
    <row r="793" spans="1:15" x14ac:dyDescent="0.25">
      <c r="A793" s="3">
        <v>43954</v>
      </c>
      <c r="B793" t="s">
        <v>6145</v>
      </c>
      <c r="C793" s="2">
        <v>5</v>
      </c>
      <c r="D793" s="2" t="s">
        <v>4963</v>
      </c>
      <c r="E793" s="2" t="s">
        <v>59</v>
      </c>
      <c r="F793" s="2" t="s">
        <v>19</v>
      </c>
      <c r="G793" t="s">
        <v>6190</v>
      </c>
      <c r="H793" t="str">
        <f>VLOOKUP('Combined table'!B793,products!$A$1:$G$49,2,FALSE)</f>
        <v>Lib</v>
      </c>
      <c r="I793" t="str">
        <f>VLOOKUP('Combined table'!B793,products!$A$1:$G$49,3,FALSE)</f>
        <v>L</v>
      </c>
      <c r="J793">
        <f>VLOOKUP('Combined table'!B793,products!$A$1:$G$49,4,FALSE)</f>
        <v>0.2</v>
      </c>
      <c r="K793">
        <f>VLOOKUP('Combined table'!B793,products!$A$1:$G$49,5,FALSE)</f>
        <v>4.7549999999999999</v>
      </c>
      <c r="L793">
        <f>VLOOKUP('Combined table'!B793,products!$A$1:$G$49,6,FALSE)</f>
        <v>2.3774999999999999</v>
      </c>
      <c r="M793">
        <f>VLOOKUP('Combined table'!B793,products!$A$1:$G$49,7,FALSE)</f>
        <v>0.61814999999999998</v>
      </c>
      <c r="N793" t="str">
        <f>TEXT(A793,"mmm yyyy")</f>
        <v>May 2020</v>
      </c>
      <c r="O793">
        <f t="shared" si="12"/>
        <v>23.774999999999999</v>
      </c>
    </row>
    <row r="794" spans="1:15" x14ac:dyDescent="0.25">
      <c r="A794" s="3">
        <v>43545</v>
      </c>
      <c r="B794" t="s">
        <v>6160</v>
      </c>
      <c r="C794" s="2">
        <v>6</v>
      </c>
      <c r="D794" s="2" t="s">
        <v>4969</v>
      </c>
      <c r="E794" s="2" t="s">
        <v>357</v>
      </c>
      <c r="F794" s="2" t="s">
        <v>28</v>
      </c>
      <c r="G794" t="s">
        <v>6190</v>
      </c>
      <c r="H794" t="str">
        <f>VLOOKUP('Combined table'!B794,products!$A$1:$G$49,2,FALSE)</f>
        <v>Lib</v>
      </c>
      <c r="I794" t="str">
        <f>VLOOKUP('Combined table'!B794,products!$A$1:$G$49,3,FALSE)</f>
        <v>M</v>
      </c>
      <c r="J794">
        <f>VLOOKUP('Combined table'!B794,products!$A$1:$G$49,4,FALSE)</f>
        <v>0.5</v>
      </c>
      <c r="K794">
        <f>VLOOKUP('Combined table'!B794,products!$A$1:$G$49,5,FALSE)</f>
        <v>8.73</v>
      </c>
      <c r="L794">
        <f>VLOOKUP('Combined table'!B794,products!$A$1:$G$49,6,FALSE)</f>
        <v>1.746</v>
      </c>
      <c r="M794">
        <f>VLOOKUP('Combined table'!B794,products!$A$1:$G$49,7,FALSE)</f>
        <v>1.1349</v>
      </c>
      <c r="N794" t="str">
        <f>TEXT(A794,"mmm yyyy")</f>
        <v>Mar 2019</v>
      </c>
      <c r="O794">
        <f t="shared" si="12"/>
        <v>52.38</v>
      </c>
    </row>
    <row r="795" spans="1:15" x14ac:dyDescent="0.25">
      <c r="A795" s="3">
        <v>43629</v>
      </c>
      <c r="B795" t="s">
        <v>6178</v>
      </c>
      <c r="C795" s="2">
        <v>5</v>
      </c>
      <c r="D795" s="2" t="s">
        <v>4975</v>
      </c>
      <c r="E795" s="2" t="s">
        <v>24</v>
      </c>
      <c r="F795" s="2" t="s">
        <v>19</v>
      </c>
      <c r="G795" t="s">
        <v>6191</v>
      </c>
      <c r="H795" t="str">
        <f>VLOOKUP('Combined table'!B795,products!$A$1:$G$49,2,FALSE)</f>
        <v>Rob</v>
      </c>
      <c r="I795" t="str">
        <f>VLOOKUP('Combined table'!B795,products!$A$1:$G$49,3,FALSE)</f>
        <v>L</v>
      </c>
      <c r="J795">
        <f>VLOOKUP('Combined table'!B795,products!$A$1:$G$49,4,FALSE)</f>
        <v>0.2</v>
      </c>
      <c r="K795">
        <f>VLOOKUP('Combined table'!B795,products!$A$1:$G$49,5,FALSE)</f>
        <v>3.5849999999999995</v>
      </c>
      <c r="L795">
        <f>VLOOKUP('Combined table'!B795,products!$A$1:$G$49,6,FALSE)</f>
        <v>1.7924999999999998</v>
      </c>
      <c r="M795">
        <f>VLOOKUP('Combined table'!B795,products!$A$1:$G$49,7,FALSE)</f>
        <v>0.21509999999999996</v>
      </c>
      <c r="N795" t="str">
        <f>TEXT(A795,"mmm yyyy")</f>
        <v>Jun 2019</v>
      </c>
      <c r="O795">
        <f t="shared" si="12"/>
        <v>17.924999999999997</v>
      </c>
    </row>
    <row r="796" spans="1:15" x14ac:dyDescent="0.25">
      <c r="A796" s="3">
        <v>43987</v>
      </c>
      <c r="B796" t="s">
        <v>6182</v>
      </c>
      <c r="C796" s="2">
        <v>5</v>
      </c>
      <c r="D796" s="2" t="s">
        <v>4981</v>
      </c>
      <c r="E796" s="2" t="s">
        <v>278</v>
      </c>
      <c r="F796" s="2" t="s">
        <v>19</v>
      </c>
      <c r="G796" t="s">
        <v>6191</v>
      </c>
      <c r="H796" t="str">
        <f>VLOOKUP('Combined table'!B796,products!$A$1:$G$49,2,FALSE)</f>
        <v>Ara</v>
      </c>
      <c r="I796" t="str">
        <f>VLOOKUP('Combined table'!B796,products!$A$1:$G$49,3,FALSE)</f>
        <v>L</v>
      </c>
      <c r="J796">
        <f>VLOOKUP('Combined table'!B796,products!$A$1:$G$49,4,FALSE)</f>
        <v>2.5</v>
      </c>
      <c r="K796">
        <f>VLOOKUP('Combined table'!B796,products!$A$1:$G$49,5,FALSE)</f>
        <v>29.784999999999997</v>
      </c>
      <c r="L796">
        <f>VLOOKUP('Combined table'!B796,products!$A$1:$G$49,6,FALSE)</f>
        <v>1.1913999999999998</v>
      </c>
      <c r="M796">
        <f>VLOOKUP('Combined table'!B796,products!$A$1:$G$49,7,FALSE)</f>
        <v>2.6806499999999995</v>
      </c>
      <c r="N796" t="str">
        <f>TEXT(A796,"mmm yyyy")</f>
        <v>Jun 2020</v>
      </c>
      <c r="O796">
        <f t="shared" si="12"/>
        <v>148.92499999999998</v>
      </c>
    </row>
    <row r="797" spans="1:15" x14ac:dyDescent="0.25">
      <c r="A797" s="3">
        <v>43540</v>
      </c>
      <c r="B797" t="s">
        <v>6173</v>
      </c>
      <c r="C797" s="2">
        <v>4</v>
      </c>
      <c r="D797" s="2" t="s">
        <v>4987</v>
      </c>
      <c r="E797" s="2" t="s">
        <v>282</v>
      </c>
      <c r="F797" s="2" t="s">
        <v>19</v>
      </c>
      <c r="G797" t="s">
        <v>6191</v>
      </c>
      <c r="H797" t="str">
        <f>VLOOKUP('Combined table'!B797,products!$A$1:$G$49,2,FALSE)</f>
        <v>Rob</v>
      </c>
      <c r="I797" t="str">
        <f>VLOOKUP('Combined table'!B797,products!$A$1:$G$49,3,FALSE)</f>
        <v>L</v>
      </c>
      <c r="J797">
        <f>VLOOKUP('Combined table'!B797,products!$A$1:$G$49,4,FALSE)</f>
        <v>0.5</v>
      </c>
      <c r="K797">
        <f>VLOOKUP('Combined table'!B797,products!$A$1:$G$49,5,FALSE)</f>
        <v>7.169999999999999</v>
      </c>
      <c r="L797">
        <f>VLOOKUP('Combined table'!B797,products!$A$1:$G$49,6,FALSE)</f>
        <v>1.4339999999999997</v>
      </c>
      <c r="M797">
        <f>VLOOKUP('Combined table'!B797,products!$A$1:$G$49,7,FALSE)</f>
        <v>0.43019999999999992</v>
      </c>
      <c r="N797" t="str">
        <f>TEXT(A797,"mmm yyyy")</f>
        <v>Mar 2019</v>
      </c>
      <c r="O797">
        <f t="shared" si="12"/>
        <v>28.679999999999996</v>
      </c>
    </row>
    <row r="798" spans="1:15" x14ac:dyDescent="0.25">
      <c r="A798" s="3">
        <v>44533</v>
      </c>
      <c r="B798" t="s">
        <v>6161</v>
      </c>
      <c r="C798" s="2">
        <v>1</v>
      </c>
      <c r="D798" s="2" t="s">
        <v>4993</v>
      </c>
      <c r="E798" s="2" t="s">
        <v>43</v>
      </c>
      <c r="F798" s="2" t="s">
        <v>19</v>
      </c>
      <c r="G798" t="s">
        <v>6191</v>
      </c>
      <c r="H798" t="str">
        <f>VLOOKUP('Combined table'!B798,products!$A$1:$G$49,2,FALSE)</f>
        <v>Lib</v>
      </c>
      <c r="I798" t="str">
        <f>VLOOKUP('Combined table'!B798,products!$A$1:$G$49,3,FALSE)</f>
        <v>L</v>
      </c>
      <c r="J798">
        <f>VLOOKUP('Combined table'!B798,products!$A$1:$G$49,4,FALSE)</f>
        <v>0.5</v>
      </c>
      <c r="K798">
        <f>VLOOKUP('Combined table'!B798,products!$A$1:$G$49,5,FALSE)</f>
        <v>9.51</v>
      </c>
      <c r="L798">
        <f>VLOOKUP('Combined table'!B798,products!$A$1:$G$49,6,FALSE)</f>
        <v>1.9019999999999999</v>
      </c>
      <c r="M798">
        <f>VLOOKUP('Combined table'!B798,products!$A$1:$G$49,7,FALSE)</f>
        <v>1.2363</v>
      </c>
      <c r="N798" t="str">
        <f>TEXT(A798,"mmm yyyy")</f>
        <v>Dec 2021</v>
      </c>
      <c r="O798">
        <f t="shared" si="12"/>
        <v>9.51</v>
      </c>
    </row>
    <row r="799" spans="1:15" x14ac:dyDescent="0.25">
      <c r="A799" s="3">
        <v>44751</v>
      </c>
      <c r="B799" t="s">
        <v>6180</v>
      </c>
      <c r="C799" s="2">
        <v>4</v>
      </c>
      <c r="D799" s="2" t="s">
        <v>4998</v>
      </c>
      <c r="E799" s="2" t="s">
        <v>137</v>
      </c>
      <c r="F799" s="2" t="s">
        <v>19</v>
      </c>
      <c r="G799" t="s">
        <v>6191</v>
      </c>
      <c r="H799" t="str">
        <f>VLOOKUP('Combined table'!B799,products!$A$1:$G$49,2,FALSE)</f>
        <v>Ara</v>
      </c>
      <c r="I799" t="str">
        <f>VLOOKUP('Combined table'!B799,products!$A$1:$G$49,3,FALSE)</f>
        <v>L</v>
      </c>
      <c r="J799">
        <f>VLOOKUP('Combined table'!B799,products!$A$1:$G$49,4,FALSE)</f>
        <v>0.5</v>
      </c>
      <c r="K799">
        <f>VLOOKUP('Combined table'!B799,products!$A$1:$G$49,5,FALSE)</f>
        <v>7.77</v>
      </c>
      <c r="L799">
        <f>VLOOKUP('Combined table'!B799,products!$A$1:$G$49,6,FALSE)</f>
        <v>1.5539999999999998</v>
      </c>
      <c r="M799">
        <f>VLOOKUP('Combined table'!B799,products!$A$1:$G$49,7,FALSE)</f>
        <v>0.69929999999999992</v>
      </c>
      <c r="N799" t="str">
        <f>TEXT(A799,"mmm yyyy")</f>
        <v>Jul 2022</v>
      </c>
      <c r="O799">
        <f t="shared" si="12"/>
        <v>31.08</v>
      </c>
    </row>
    <row r="800" spans="1:15" x14ac:dyDescent="0.25">
      <c r="A800" s="3">
        <v>43950</v>
      </c>
      <c r="B800" t="s">
        <v>6163</v>
      </c>
      <c r="C800" s="2">
        <v>3</v>
      </c>
      <c r="D800" s="2" t="s">
        <v>5004</v>
      </c>
      <c r="E800" s="2" t="s">
        <v>98</v>
      </c>
      <c r="F800" s="2" t="s">
        <v>19</v>
      </c>
      <c r="G800" t="s">
        <v>6190</v>
      </c>
      <c r="H800" t="str">
        <f>VLOOKUP('Combined table'!B800,products!$A$1:$G$49,2,FALSE)</f>
        <v>Rob</v>
      </c>
      <c r="I800" t="str">
        <f>VLOOKUP('Combined table'!B800,products!$A$1:$G$49,3,FALSE)</f>
        <v>D</v>
      </c>
      <c r="J800">
        <f>VLOOKUP('Combined table'!B800,products!$A$1:$G$49,4,FALSE)</f>
        <v>0.2</v>
      </c>
      <c r="K800">
        <f>VLOOKUP('Combined table'!B800,products!$A$1:$G$49,5,FALSE)</f>
        <v>2.6849999999999996</v>
      </c>
      <c r="L800">
        <f>VLOOKUP('Combined table'!B800,products!$A$1:$G$49,6,FALSE)</f>
        <v>1.3424999999999998</v>
      </c>
      <c r="M800">
        <f>VLOOKUP('Combined table'!B800,products!$A$1:$G$49,7,FALSE)</f>
        <v>0.16109999999999997</v>
      </c>
      <c r="N800" t="str">
        <f>TEXT(A800,"mmm yyyy")</f>
        <v>Apr 2020</v>
      </c>
      <c r="O800">
        <f t="shared" si="12"/>
        <v>8.0549999999999997</v>
      </c>
    </row>
    <row r="801" spans="1:15" x14ac:dyDescent="0.25">
      <c r="A801" s="3">
        <v>44588</v>
      </c>
      <c r="B801" t="s">
        <v>6183</v>
      </c>
      <c r="C801" s="2">
        <v>3</v>
      </c>
      <c r="D801" s="2" t="s">
        <v>5010</v>
      </c>
      <c r="E801" s="2" t="s">
        <v>47</v>
      </c>
      <c r="F801" s="2" t="s">
        <v>19</v>
      </c>
      <c r="G801" t="s">
        <v>6190</v>
      </c>
      <c r="H801" t="str">
        <f>VLOOKUP('Combined table'!B801,products!$A$1:$G$49,2,FALSE)</f>
        <v>Exc</v>
      </c>
      <c r="I801" t="str">
        <f>VLOOKUP('Combined table'!B801,products!$A$1:$G$49,3,FALSE)</f>
        <v>D</v>
      </c>
      <c r="J801">
        <f>VLOOKUP('Combined table'!B801,products!$A$1:$G$49,4,FALSE)</f>
        <v>1</v>
      </c>
      <c r="K801">
        <f>VLOOKUP('Combined table'!B801,products!$A$1:$G$49,5,FALSE)</f>
        <v>12.15</v>
      </c>
      <c r="L801">
        <f>VLOOKUP('Combined table'!B801,products!$A$1:$G$49,6,FALSE)</f>
        <v>1.2150000000000001</v>
      </c>
      <c r="M801">
        <f>VLOOKUP('Combined table'!B801,products!$A$1:$G$49,7,FALSE)</f>
        <v>1.3365</v>
      </c>
      <c r="N801" t="str">
        <f>TEXT(A801,"mmm yyyy")</f>
        <v>Jan 2022</v>
      </c>
      <c r="O801">
        <f t="shared" si="12"/>
        <v>36.450000000000003</v>
      </c>
    </row>
    <row r="802" spans="1:15" x14ac:dyDescent="0.25">
      <c r="A802" s="3">
        <v>44240</v>
      </c>
      <c r="B802" t="s">
        <v>6163</v>
      </c>
      <c r="C802" s="2">
        <v>6</v>
      </c>
      <c r="D802" s="2" t="s">
        <v>5014</v>
      </c>
      <c r="E802" s="2" t="s">
        <v>3664</v>
      </c>
      <c r="F802" s="2" t="s">
        <v>318</v>
      </c>
      <c r="G802" t="s">
        <v>6191</v>
      </c>
      <c r="H802" t="str">
        <f>VLOOKUP('Combined table'!B802,products!$A$1:$G$49,2,FALSE)</f>
        <v>Rob</v>
      </c>
      <c r="I802" t="str">
        <f>VLOOKUP('Combined table'!B802,products!$A$1:$G$49,3,FALSE)</f>
        <v>D</v>
      </c>
      <c r="J802">
        <f>VLOOKUP('Combined table'!B802,products!$A$1:$G$49,4,FALSE)</f>
        <v>0.2</v>
      </c>
      <c r="K802">
        <f>VLOOKUP('Combined table'!B802,products!$A$1:$G$49,5,FALSE)</f>
        <v>2.6849999999999996</v>
      </c>
      <c r="L802">
        <f>VLOOKUP('Combined table'!B802,products!$A$1:$G$49,6,FALSE)</f>
        <v>1.3424999999999998</v>
      </c>
      <c r="M802">
        <f>VLOOKUP('Combined table'!B802,products!$A$1:$G$49,7,FALSE)</f>
        <v>0.16109999999999997</v>
      </c>
      <c r="N802" t="str">
        <f>TEXT(A802,"mmm yyyy")</f>
        <v>Feb 2021</v>
      </c>
      <c r="O802">
        <f t="shared" si="12"/>
        <v>16.11</v>
      </c>
    </row>
    <row r="803" spans="1:15" x14ac:dyDescent="0.25">
      <c r="A803" s="3">
        <v>44025</v>
      </c>
      <c r="B803" t="s">
        <v>6149</v>
      </c>
      <c r="C803" s="2">
        <v>2</v>
      </c>
      <c r="D803" s="2" t="s">
        <v>5020</v>
      </c>
      <c r="E803" s="2" t="s">
        <v>76</v>
      </c>
      <c r="F803" s="2" t="s">
        <v>19</v>
      </c>
      <c r="G803" t="s">
        <v>6190</v>
      </c>
      <c r="H803" t="str">
        <f>VLOOKUP('Combined table'!B803,products!$A$1:$G$49,2,FALSE)</f>
        <v>Rob</v>
      </c>
      <c r="I803" t="str">
        <f>VLOOKUP('Combined table'!B803,products!$A$1:$G$49,3,FALSE)</f>
        <v>D</v>
      </c>
      <c r="J803">
        <f>VLOOKUP('Combined table'!B803,products!$A$1:$G$49,4,FALSE)</f>
        <v>2.5</v>
      </c>
      <c r="K803">
        <f>VLOOKUP('Combined table'!B803,products!$A$1:$G$49,5,FALSE)</f>
        <v>20.584999999999997</v>
      </c>
      <c r="L803">
        <f>VLOOKUP('Combined table'!B803,products!$A$1:$G$49,6,FALSE)</f>
        <v>0.82339999999999991</v>
      </c>
      <c r="M803">
        <f>VLOOKUP('Combined table'!B803,products!$A$1:$G$49,7,FALSE)</f>
        <v>1.2350999999999999</v>
      </c>
      <c r="N803" t="str">
        <f>TEXT(A803,"mmm yyyy")</f>
        <v>Jul 2020</v>
      </c>
      <c r="O803">
        <f t="shared" si="12"/>
        <v>41.169999999999995</v>
      </c>
    </row>
    <row r="804" spans="1:15" x14ac:dyDescent="0.25">
      <c r="A804" s="3">
        <v>43902</v>
      </c>
      <c r="B804" t="s">
        <v>6163</v>
      </c>
      <c r="C804" s="2">
        <v>4</v>
      </c>
      <c r="D804" s="2" t="s">
        <v>5026</v>
      </c>
      <c r="E804" s="2" t="s">
        <v>458</v>
      </c>
      <c r="F804" s="2" t="s">
        <v>19</v>
      </c>
      <c r="G804" t="s">
        <v>6191</v>
      </c>
      <c r="H804" t="str">
        <f>VLOOKUP('Combined table'!B804,products!$A$1:$G$49,2,FALSE)</f>
        <v>Rob</v>
      </c>
      <c r="I804" t="str">
        <f>VLOOKUP('Combined table'!B804,products!$A$1:$G$49,3,FALSE)</f>
        <v>D</v>
      </c>
      <c r="J804">
        <f>VLOOKUP('Combined table'!B804,products!$A$1:$G$49,4,FALSE)</f>
        <v>0.2</v>
      </c>
      <c r="K804">
        <f>VLOOKUP('Combined table'!B804,products!$A$1:$G$49,5,FALSE)</f>
        <v>2.6849999999999996</v>
      </c>
      <c r="L804">
        <f>VLOOKUP('Combined table'!B804,products!$A$1:$G$49,6,FALSE)</f>
        <v>1.3424999999999998</v>
      </c>
      <c r="M804">
        <f>VLOOKUP('Combined table'!B804,products!$A$1:$G$49,7,FALSE)</f>
        <v>0.16109999999999997</v>
      </c>
      <c r="N804" t="str">
        <f>TEXT(A804,"mmm yyyy")</f>
        <v>Mar 2020</v>
      </c>
      <c r="O804">
        <f t="shared" si="12"/>
        <v>10.739999999999998</v>
      </c>
    </row>
    <row r="805" spans="1:15" x14ac:dyDescent="0.25">
      <c r="A805" s="3">
        <v>43955</v>
      </c>
      <c r="B805" t="s">
        <v>6166</v>
      </c>
      <c r="C805" s="2">
        <v>4</v>
      </c>
      <c r="D805" s="2" t="s">
        <v>5032</v>
      </c>
      <c r="E805" s="2" t="s">
        <v>131</v>
      </c>
      <c r="F805" s="2" t="s">
        <v>19</v>
      </c>
      <c r="G805" t="s">
        <v>6191</v>
      </c>
      <c r="H805" t="str">
        <f>VLOOKUP('Combined table'!B805,products!$A$1:$G$49,2,FALSE)</f>
        <v>Exc</v>
      </c>
      <c r="I805" t="str">
        <f>VLOOKUP('Combined table'!B805,products!$A$1:$G$49,3,FALSE)</f>
        <v>M</v>
      </c>
      <c r="J805">
        <f>VLOOKUP('Combined table'!B805,products!$A$1:$G$49,4,FALSE)</f>
        <v>2.5</v>
      </c>
      <c r="K805">
        <f>VLOOKUP('Combined table'!B805,products!$A$1:$G$49,5,FALSE)</f>
        <v>31.624999999999996</v>
      </c>
      <c r="L805">
        <f>VLOOKUP('Combined table'!B805,products!$A$1:$G$49,6,FALSE)</f>
        <v>1.2649999999999999</v>
      </c>
      <c r="M805">
        <f>VLOOKUP('Combined table'!B805,products!$A$1:$G$49,7,FALSE)</f>
        <v>3.4787499999999998</v>
      </c>
      <c r="N805" t="str">
        <f>TEXT(A805,"mmm yyyy")</f>
        <v>May 2020</v>
      </c>
      <c r="O805">
        <f t="shared" si="12"/>
        <v>126.49999999999999</v>
      </c>
    </row>
    <row r="806" spans="1:15" x14ac:dyDescent="0.25">
      <c r="A806" s="3">
        <v>44289</v>
      </c>
      <c r="B806" t="s">
        <v>6179</v>
      </c>
      <c r="C806" s="2">
        <v>2</v>
      </c>
      <c r="D806" s="2" t="s">
        <v>5037</v>
      </c>
      <c r="E806" s="2" t="s">
        <v>280</v>
      </c>
      <c r="F806" s="2" t="s">
        <v>28</v>
      </c>
      <c r="G806" t="s">
        <v>6191</v>
      </c>
      <c r="H806" t="str">
        <f>VLOOKUP('Combined table'!B806,products!$A$1:$G$49,2,FALSE)</f>
        <v>Rob</v>
      </c>
      <c r="I806" t="str">
        <f>VLOOKUP('Combined table'!B806,products!$A$1:$G$49,3,FALSE)</f>
        <v>L</v>
      </c>
      <c r="J806">
        <f>VLOOKUP('Combined table'!B806,products!$A$1:$G$49,4,FALSE)</f>
        <v>1</v>
      </c>
      <c r="K806">
        <f>VLOOKUP('Combined table'!B806,products!$A$1:$G$49,5,FALSE)</f>
        <v>11.95</v>
      </c>
      <c r="L806">
        <f>VLOOKUP('Combined table'!B806,products!$A$1:$G$49,6,FALSE)</f>
        <v>1.1949999999999998</v>
      </c>
      <c r="M806">
        <f>VLOOKUP('Combined table'!B806,products!$A$1:$G$49,7,FALSE)</f>
        <v>0.71699999999999997</v>
      </c>
      <c r="N806" t="str">
        <f>TEXT(A806,"mmm yyyy")</f>
        <v>Apr 2021</v>
      </c>
      <c r="O806">
        <f t="shared" si="12"/>
        <v>23.9</v>
      </c>
    </row>
    <row r="807" spans="1:15" x14ac:dyDescent="0.25">
      <c r="A807" s="3">
        <v>44713</v>
      </c>
      <c r="B807" t="s">
        <v>6146</v>
      </c>
      <c r="C807" s="2">
        <v>1</v>
      </c>
      <c r="D807" s="2" t="s">
        <v>5042</v>
      </c>
      <c r="E807" s="2" t="s">
        <v>5045</v>
      </c>
      <c r="F807" s="2" t="s">
        <v>19</v>
      </c>
      <c r="G807" t="s">
        <v>6191</v>
      </c>
      <c r="H807" t="str">
        <f>VLOOKUP('Combined table'!B807,products!$A$1:$G$49,2,FALSE)</f>
        <v>Rob</v>
      </c>
      <c r="I807" t="str">
        <f>VLOOKUP('Combined table'!B807,products!$A$1:$G$49,3,FALSE)</f>
        <v>M</v>
      </c>
      <c r="J807">
        <f>VLOOKUP('Combined table'!B807,products!$A$1:$G$49,4,FALSE)</f>
        <v>0.5</v>
      </c>
      <c r="K807">
        <f>VLOOKUP('Combined table'!B807,products!$A$1:$G$49,5,FALSE)</f>
        <v>5.97</v>
      </c>
      <c r="L807">
        <f>VLOOKUP('Combined table'!B807,products!$A$1:$G$49,6,FALSE)</f>
        <v>1.194</v>
      </c>
      <c r="M807">
        <f>VLOOKUP('Combined table'!B807,products!$A$1:$G$49,7,FALSE)</f>
        <v>0.35819999999999996</v>
      </c>
      <c r="N807" t="str">
        <f>TEXT(A807,"mmm yyyy")</f>
        <v>Jun 2022</v>
      </c>
      <c r="O807">
        <f t="shared" si="12"/>
        <v>5.97</v>
      </c>
    </row>
    <row r="808" spans="1:15" x14ac:dyDescent="0.25">
      <c r="A808" s="3">
        <v>44241</v>
      </c>
      <c r="B808" t="s">
        <v>6150</v>
      </c>
      <c r="C808" s="2">
        <v>2</v>
      </c>
      <c r="D808" s="2" t="s">
        <v>5048</v>
      </c>
      <c r="E808" s="2" t="s">
        <v>248</v>
      </c>
      <c r="F808" s="2" t="s">
        <v>28</v>
      </c>
      <c r="G808" t="s">
        <v>6190</v>
      </c>
      <c r="H808" t="str">
        <f>VLOOKUP('Combined table'!B808,products!$A$1:$G$49,2,FALSE)</f>
        <v>Lib</v>
      </c>
      <c r="I808" t="str">
        <f>VLOOKUP('Combined table'!B808,products!$A$1:$G$49,3,FALSE)</f>
        <v>D</v>
      </c>
      <c r="J808">
        <f>VLOOKUP('Combined table'!B808,products!$A$1:$G$49,4,FALSE)</f>
        <v>0.2</v>
      </c>
      <c r="K808">
        <f>VLOOKUP('Combined table'!B808,products!$A$1:$G$49,5,FALSE)</f>
        <v>3.8849999999999998</v>
      </c>
      <c r="L808">
        <f>VLOOKUP('Combined table'!B808,products!$A$1:$G$49,6,FALSE)</f>
        <v>1.9424999999999999</v>
      </c>
      <c r="M808">
        <f>VLOOKUP('Combined table'!B808,products!$A$1:$G$49,7,FALSE)</f>
        <v>0.50505</v>
      </c>
      <c r="N808" t="str">
        <f>TEXT(A808,"mmm yyyy")</f>
        <v>Feb 2021</v>
      </c>
      <c r="O808">
        <f t="shared" si="12"/>
        <v>7.77</v>
      </c>
    </row>
    <row r="809" spans="1:15" x14ac:dyDescent="0.25">
      <c r="A809" s="3">
        <v>44543</v>
      </c>
      <c r="B809" t="s">
        <v>6169</v>
      </c>
      <c r="C809" s="2">
        <v>3</v>
      </c>
      <c r="D809" s="2" t="s">
        <v>5052</v>
      </c>
      <c r="E809" s="2" t="s">
        <v>373</v>
      </c>
      <c r="F809" s="2" t="s">
        <v>318</v>
      </c>
      <c r="G809" t="s">
        <v>6191</v>
      </c>
      <c r="H809" t="str">
        <f>VLOOKUP('Combined table'!B809,products!$A$1:$G$49,2,FALSE)</f>
        <v>Lib</v>
      </c>
      <c r="I809" t="str">
        <f>VLOOKUP('Combined table'!B809,products!$A$1:$G$49,3,FALSE)</f>
        <v>D</v>
      </c>
      <c r="J809">
        <f>VLOOKUP('Combined table'!B809,products!$A$1:$G$49,4,FALSE)</f>
        <v>0.5</v>
      </c>
      <c r="K809">
        <f>VLOOKUP('Combined table'!B809,products!$A$1:$G$49,5,FALSE)</f>
        <v>7.77</v>
      </c>
      <c r="L809">
        <f>VLOOKUP('Combined table'!B809,products!$A$1:$G$49,6,FALSE)</f>
        <v>1.5539999999999998</v>
      </c>
      <c r="M809">
        <f>VLOOKUP('Combined table'!B809,products!$A$1:$G$49,7,FALSE)</f>
        <v>1.0101</v>
      </c>
      <c r="N809" t="str">
        <f>TEXT(A809,"mmm yyyy")</f>
        <v>Dec 2021</v>
      </c>
      <c r="O809">
        <f t="shared" si="12"/>
        <v>23.31</v>
      </c>
    </row>
    <row r="810" spans="1:15" x14ac:dyDescent="0.25">
      <c r="A810" s="3">
        <v>43868</v>
      </c>
      <c r="B810" t="s">
        <v>6142</v>
      </c>
      <c r="C810" s="2">
        <v>5</v>
      </c>
      <c r="D810" s="2" t="s">
        <v>5058</v>
      </c>
      <c r="E810" s="2" t="s">
        <v>132</v>
      </c>
      <c r="F810" s="2" t="s">
        <v>19</v>
      </c>
      <c r="G810" t="s">
        <v>6190</v>
      </c>
      <c r="H810" t="str">
        <f>VLOOKUP('Combined table'!B810,products!$A$1:$G$49,2,FALSE)</f>
        <v>Rob</v>
      </c>
      <c r="I810" t="str">
        <f>VLOOKUP('Combined table'!B810,products!$A$1:$G$49,3,FALSE)</f>
        <v>L</v>
      </c>
      <c r="J810">
        <f>VLOOKUP('Combined table'!B810,products!$A$1:$G$49,4,FALSE)</f>
        <v>2.5</v>
      </c>
      <c r="K810">
        <f>VLOOKUP('Combined table'!B810,products!$A$1:$G$49,5,FALSE)</f>
        <v>27.484999999999996</v>
      </c>
      <c r="L810">
        <f>VLOOKUP('Combined table'!B810,products!$A$1:$G$49,6,FALSE)</f>
        <v>1.0993999999999999</v>
      </c>
      <c r="M810">
        <f>VLOOKUP('Combined table'!B810,products!$A$1:$G$49,7,FALSE)</f>
        <v>1.6490999999999998</v>
      </c>
      <c r="N810" t="str">
        <f>TEXT(A810,"mmm yyyy")</f>
        <v>Feb 2020</v>
      </c>
      <c r="O810">
        <f t="shared" si="12"/>
        <v>137.42499999999998</v>
      </c>
    </row>
    <row r="811" spans="1:15" x14ac:dyDescent="0.25">
      <c r="A811" s="3">
        <v>44235</v>
      </c>
      <c r="B811" t="s">
        <v>6163</v>
      </c>
      <c r="C811" s="2">
        <v>3</v>
      </c>
      <c r="D811" s="2" t="s">
        <v>5064</v>
      </c>
      <c r="E811" s="2" t="s">
        <v>50</v>
      </c>
      <c r="F811" s="2" t="s">
        <v>19</v>
      </c>
      <c r="G811" t="s">
        <v>6190</v>
      </c>
      <c r="H811" t="str">
        <f>VLOOKUP('Combined table'!B811,products!$A$1:$G$49,2,FALSE)</f>
        <v>Rob</v>
      </c>
      <c r="I811" t="str">
        <f>VLOOKUP('Combined table'!B811,products!$A$1:$G$49,3,FALSE)</f>
        <v>D</v>
      </c>
      <c r="J811">
        <f>VLOOKUP('Combined table'!B811,products!$A$1:$G$49,4,FALSE)</f>
        <v>0.2</v>
      </c>
      <c r="K811">
        <f>VLOOKUP('Combined table'!B811,products!$A$1:$G$49,5,FALSE)</f>
        <v>2.6849999999999996</v>
      </c>
      <c r="L811">
        <f>VLOOKUP('Combined table'!B811,products!$A$1:$G$49,6,FALSE)</f>
        <v>1.3424999999999998</v>
      </c>
      <c r="M811">
        <f>VLOOKUP('Combined table'!B811,products!$A$1:$G$49,7,FALSE)</f>
        <v>0.16109999999999997</v>
      </c>
      <c r="N811" t="str">
        <f>TEXT(A811,"mmm yyyy")</f>
        <v>Feb 2021</v>
      </c>
      <c r="O811">
        <f t="shared" si="12"/>
        <v>8.0549999999999997</v>
      </c>
    </row>
    <row r="812" spans="1:15" x14ac:dyDescent="0.25">
      <c r="A812" s="3">
        <v>44054</v>
      </c>
      <c r="B812" t="s">
        <v>6161</v>
      </c>
      <c r="C812" s="2">
        <v>3</v>
      </c>
      <c r="D812" s="2" t="s">
        <v>5069</v>
      </c>
      <c r="E812" s="2" t="s">
        <v>309</v>
      </c>
      <c r="F812" s="2" t="s">
        <v>19</v>
      </c>
      <c r="G812" t="s">
        <v>6191</v>
      </c>
      <c r="H812" t="str">
        <f>VLOOKUP('Combined table'!B812,products!$A$1:$G$49,2,FALSE)</f>
        <v>Lib</v>
      </c>
      <c r="I812" t="str">
        <f>VLOOKUP('Combined table'!B812,products!$A$1:$G$49,3,FALSE)</f>
        <v>L</v>
      </c>
      <c r="J812">
        <f>VLOOKUP('Combined table'!B812,products!$A$1:$G$49,4,FALSE)</f>
        <v>0.5</v>
      </c>
      <c r="K812">
        <f>VLOOKUP('Combined table'!B812,products!$A$1:$G$49,5,FALSE)</f>
        <v>9.51</v>
      </c>
      <c r="L812">
        <f>VLOOKUP('Combined table'!B812,products!$A$1:$G$49,6,FALSE)</f>
        <v>1.9019999999999999</v>
      </c>
      <c r="M812">
        <f>VLOOKUP('Combined table'!B812,products!$A$1:$G$49,7,FALSE)</f>
        <v>1.2363</v>
      </c>
      <c r="N812" t="str">
        <f>TEXT(A812,"mmm yyyy")</f>
        <v>Aug 2020</v>
      </c>
      <c r="O812">
        <f t="shared" si="12"/>
        <v>28.53</v>
      </c>
    </row>
    <row r="813" spans="1:15" x14ac:dyDescent="0.25">
      <c r="A813" s="3">
        <v>44114</v>
      </c>
      <c r="B813" t="s">
        <v>6155</v>
      </c>
      <c r="C813" s="2">
        <v>6</v>
      </c>
      <c r="D813" s="2" t="s">
        <v>5075</v>
      </c>
      <c r="E813" s="2" t="s">
        <v>421</v>
      </c>
      <c r="F813" s="2" t="s">
        <v>318</v>
      </c>
      <c r="G813" t="s">
        <v>6190</v>
      </c>
      <c r="H813" t="str">
        <f>VLOOKUP('Combined table'!B813,products!$A$1:$G$49,2,FALSE)</f>
        <v>Ara</v>
      </c>
      <c r="I813" t="str">
        <f>VLOOKUP('Combined table'!B813,products!$A$1:$G$49,3,FALSE)</f>
        <v>M</v>
      </c>
      <c r="J813">
        <f>VLOOKUP('Combined table'!B813,products!$A$1:$G$49,4,FALSE)</f>
        <v>1</v>
      </c>
      <c r="K813">
        <f>VLOOKUP('Combined table'!B813,products!$A$1:$G$49,5,FALSE)</f>
        <v>11.25</v>
      </c>
      <c r="L813">
        <f>VLOOKUP('Combined table'!B813,products!$A$1:$G$49,6,FALSE)</f>
        <v>1.125</v>
      </c>
      <c r="M813">
        <f>VLOOKUP('Combined table'!B813,products!$A$1:$G$49,7,FALSE)</f>
        <v>1.0125</v>
      </c>
      <c r="N813" t="str">
        <f>TEXT(A813,"mmm yyyy")</f>
        <v>Oct 2020</v>
      </c>
      <c r="O813">
        <f t="shared" si="12"/>
        <v>67.5</v>
      </c>
    </row>
    <row r="814" spans="1:15" x14ac:dyDescent="0.25">
      <c r="A814" s="3">
        <v>44114</v>
      </c>
      <c r="B814" t="s">
        <v>6165</v>
      </c>
      <c r="C814" s="2">
        <v>6</v>
      </c>
      <c r="D814" s="2" t="s">
        <v>5080</v>
      </c>
      <c r="E814" s="2" t="s">
        <v>224</v>
      </c>
      <c r="F814" s="2" t="s">
        <v>28</v>
      </c>
      <c r="G814" t="s">
        <v>6190</v>
      </c>
      <c r="H814" t="str">
        <f>VLOOKUP('Combined table'!B814,products!$A$1:$G$49,2,FALSE)</f>
        <v>Lib</v>
      </c>
      <c r="I814" t="str">
        <f>VLOOKUP('Combined table'!B814,products!$A$1:$G$49,3,FALSE)</f>
        <v>D</v>
      </c>
      <c r="J814">
        <f>VLOOKUP('Combined table'!B814,products!$A$1:$G$49,4,FALSE)</f>
        <v>2.5</v>
      </c>
      <c r="K814">
        <f>VLOOKUP('Combined table'!B814,products!$A$1:$G$49,5,FALSE)</f>
        <v>29.784999999999997</v>
      </c>
      <c r="L814">
        <f>VLOOKUP('Combined table'!B814,products!$A$1:$G$49,6,FALSE)</f>
        <v>1.1913999999999998</v>
      </c>
      <c r="M814">
        <f>VLOOKUP('Combined table'!B814,products!$A$1:$G$49,7,FALSE)</f>
        <v>3.8720499999999998</v>
      </c>
      <c r="N814" t="str">
        <f>TEXT(A814,"mmm yyyy")</f>
        <v>Oct 2020</v>
      </c>
      <c r="O814">
        <f t="shared" si="12"/>
        <v>178.70999999999998</v>
      </c>
    </row>
    <row r="815" spans="1:15" x14ac:dyDescent="0.25">
      <c r="A815" s="3">
        <v>44173</v>
      </c>
      <c r="B815" t="s">
        <v>6166</v>
      </c>
      <c r="C815" s="2">
        <v>1</v>
      </c>
      <c r="D815" s="2" t="s">
        <v>5086</v>
      </c>
      <c r="E815" s="2" t="s">
        <v>77</v>
      </c>
      <c r="F815" s="2" t="s">
        <v>19</v>
      </c>
      <c r="G815" t="s">
        <v>6190</v>
      </c>
      <c r="H815" t="str">
        <f>VLOOKUP('Combined table'!B815,products!$A$1:$G$49,2,FALSE)</f>
        <v>Exc</v>
      </c>
      <c r="I815" t="str">
        <f>VLOOKUP('Combined table'!B815,products!$A$1:$G$49,3,FALSE)</f>
        <v>M</v>
      </c>
      <c r="J815">
        <f>VLOOKUP('Combined table'!B815,products!$A$1:$G$49,4,FALSE)</f>
        <v>2.5</v>
      </c>
      <c r="K815">
        <f>VLOOKUP('Combined table'!B815,products!$A$1:$G$49,5,FALSE)</f>
        <v>31.624999999999996</v>
      </c>
      <c r="L815">
        <f>VLOOKUP('Combined table'!B815,products!$A$1:$G$49,6,FALSE)</f>
        <v>1.2649999999999999</v>
      </c>
      <c r="M815">
        <f>VLOOKUP('Combined table'!B815,products!$A$1:$G$49,7,FALSE)</f>
        <v>3.4787499999999998</v>
      </c>
      <c r="N815" t="str">
        <f>TEXT(A815,"mmm yyyy")</f>
        <v>Dec 2020</v>
      </c>
      <c r="O815">
        <f t="shared" si="12"/>
        <v>31.624999999999996</v>
      </c>
    </row>
    <row r="816" spans="1:15" x14ac:dyDescent="0.25">
      <c r="A816" s="3">
        <v>43573</v>
      </c>
      <c r="B816" t="s">
        <v>6184</v>
      </c>
      <c r="C816" s="2">
        <v>2</v>
      </c>
      <c r="D816" s="2" t="s">
        <v>5092</v>
      </c>
      <c r="E816" s="2" t="s">
        <v>47</v>
      </c>
      <c r="F816" s="2" t="s">
        <v>19</v>
      </c>
      <c r="G816" t="s">
        <v>6191</v>
      </c>
      <c r="H816" t="str">
        <f>VLOOKUP('Combined table'!B816,products!$A$1:$G$49,2,FALSE)</f>
        <v>Exc</v>
      </c>
      <c r="I816" t="str">
        <f>VLOOKUP('Combined table'!B816,products!$A$1:$G$49,3,FALSE)</f>
        <v>L</v>
      </c>
      <c r="J816">
        <f>VLOOKUP('Combined table'!B816,products!$A$1:$G$49,4,FALSE)</f>
        <v>0.2</v>
      </c>
      <c r="K816">
        <f>VLOOKUP('Combined table'!B816,products!$A$1:$G$49,5,FALSE)</f>
        <v>4.4550000000000001</v>
      </c>
      <c r="L816">
        <f>VLOOKUP('Combined table'!B816,products!$A$1:$G$49,6,FALSE)</f>
        <v>2.2275</v>
      </c>
      <c r="M816">
        <f>VLOOKUP('Combined table'!B816,products!$A$1:$G$49,7,FALSE)</f>
        <v>0.49004999999999999</v>
      </c>
      <c r="N816" t="str">
        <f>TEXT(A816,"mmm yyyy")</f>
        <v>Apr 2019</v>
      </c>
      <c r="O816">
        <f t="shared" si="12"/>
        <v>8.91</v>
      </c>
    </row>
    <row r="817" spans="1:15" x14ac:dyDescent="0.25">
      <c r="A817" s="3">
        <v>44200</v>
      </c>
      <c r="B817" t="s">
        <v>6146</v>
      </c>
      <c r="C817" s="2">
        <v>6</v>
      </c>
      <c r="D817" s="2" t="s">
        <v>5098</v>
      </c>
      <c r="E817" s="2" t="s">
        <v>84</v>
      </c>
      <c r="F817" s="2" t="s">
        <v>19</v>
      </c>
      <c r="G817" t="s">
        <v>6191</v>
      </c>
      <c r="H817" t="str">
        <f>VLOOKUP('Combined table'!B817,products!$A$1:$G$49,2,FALSE)</f>
        <v>Rob</v>
      </c>
      <c r="I817" t="str">
        <f>VLOOKUP('Combined table'!B817,products!$A$1:$G$49,3,FALSE)</f>
        <v>M</v>
      </c>
      <c r="J817">
        <f>VLOOKUP('Combined table'!B817,products!$A$1:$G$49,4,FALSE)</f>
        <v>0.5</v>
      </c>
      <c r="K817">
        <f>VLOOKUP('Combined table'!B817,products!$A$1:$G$49,5,FALSE)</f>
        <v>5.97</v>
      </c>
      <c r="L817">
        <f>VLOOKUP('Combined table'!B817,products!$A$1:$G$49,6,FALSE)</f>
        <v>1.194</v>
      </c>
      <c r="M817">
        <f>VLOOKUP('Combined table'!B817,products!$A$1:$G$49,7,FALSE)</f>
        <v>0.35819999999999996</v>
      </c>
      <c r="N817" t="str">
        <f>TEXT(A817,"mmm yyyy")</f>
        <v>Jan 2021</v>
      </c>
      <c r="O817">
        <f t="shared" si="12"/>
        <v>35.82</v>
      </c>
    </row>
    <row r="818" spans="1:15" x14ac:dyDescent="0.25">
      <c r="A818" s="3">
        <v>43534</v>
      </c>
      <c r="B818" t="s">
        <v>6161</v>
      </c>
      <c r="C818" s="2">
        <v>4</v>
      </c>
      <c r="D818" s="2" t="s">
        <v>5104</v>
      </c>
      <c r="E818" s="2" t="s">
        <v>1419</v>
      </c>
      <c r="F818" s="2" t="s">
        <v>318</v>
      </c>
      <c r="G818" t="s">
        <v>6191</v>
      </c>
      <c r="H818" t="str">
        <f>VLOOKUP('Combined table'!B818,products!$A$1:$G$49,2,FALSE)</f>
        <v>Lib</v>
      </c>
      <c r="I818" t="str">
        <f>VLOOKUP('Combined table'!B818,products!$A$1:$G$49,3,FALSE)</f>
        <v>L</v>
      </c>
      <c r="J818">
        <f>VLOOKUP('Combined table'!B818,products!$A$1:$G$49,4,FALSE)</f>
        <v>0.5</v>
      </c>
      <c r="K818">
        <f>VLOOKUP('Combined table'!B818,products!$A$1:$G$49,5,FALSE)</f>
        <v>9.51</v>
      </c>
      <c r="L818">
        <f>VLOOKUP('Combined table'!B818,products!$A$1:$G$49,6,FALSE)</f>
        <v>1.9019999999999999</v>
      </c>
      <c r="M818">
        <f>VLOOKUP('Combined table'!B818,products!$A$1:$G$49,7,FALSE)</f>
        <v>1.2363</v>
      </c>
      <c r="N818" t="str">
        <f>TEXT(A818,"mmm yyyy")</f>
        <v>Mar 2019</v>
      </c>
      <c r="O818">
        <f t="shared" si="12"/>
        <v>38.04</v>
      </c>
    </row>
    <row r="819" spans="1:15" x14ac:dyDescent="0.25">
      <c r="A819" s="3">
        <v>43798</v>
      </c>
      <c r="B819" t="s">
        <v>6169</v>
      </c>
      <c r="C819" s="2">
        <v>2</v>
      </c>
      <c r="D819" s="2" t="s">
        <v>5109</v>
      </c>
      <c r="E819" s="2" t="s">
        <v>120</v>
      </c>
      <c r="F819" s="2" t="s">
        <v>19</v>
      </c>
      <c r="G819" t="s">
        <v>6191</v>
      </c>
      <c r="H819" t="str">
        <f>VLOOKUP('Combined table'!B819,products!$A$1:$G$49,2,FALSE)</f>
        <v>Lib</v>
      </c>
      <c r="I819" t="str">
        <f>VLOOKUP('Combined table'!B819,products!$A$1:$G$49,3,FALSE)</f>
        <v>D</v>
      </c>
      <c r="J819">
        <f>VLOOKUP('Combined table'!B819,products!$A$1:$G$49,4,FALSE)</f>
        <v>0.5</v>
      </c>
      <c r="K819">
        <f>VLOOKUP('Combined table'!B819,products!$A$1:$G$49,5,FALSE)</f>
        <v>7.77</v>
      </c>
      <c r="L819">
        <f>VLOOKUP('Combined table'!B819,products!$A$1:$G$49,6,FALSE)</f>
        <v>1.5539999999999998</v>
      </c>
      <c r="M819">
        <f>VLOOKUP('Combined table'!B819,products!$A$1:$G$49,7,FALSE)</f>
        <v>1.0101</v>
      </c>
      <c r="N819" t="str">
        <f>TEXT(A819,"mmm yyyy")</f>
        <v>Nov 2019</v>
      </c>
      <c r="O819">
        <f t="shared" si="12"/>
        <v>15.54</v>
      </c>
    </row>
    <row r="820" spans="1:15" x14ac:dyDescent="0.25">
      <c r="A820" s="3">
        <v>44761</v>
      </c>
      <c r="B820" t="s">
        <v>6170</v>
      </c>
      <c r="C820" s="2">
        <v>5</v>
      </c>
      <c r="D820" s="2" t="s">
        <v>5114</v>
      </c>
      <c r="E820" s="2" t="s">
        <v>63</v>
      </c>
      <c r="F820" s="2" t="s">
        <v>19</v>
      </c>
      <c r="G820" t="s">
        <v>6191</v>
      </c>
      <c r="H820" t="str">
        <f>VLOOKUP('Combined table'!B820,products!$A$1:$G$49,2,FALSE)</f>
        <v>Lib</v>
      </c>
      <c r="I820" t="str">
        <f>VLOOKUP('Combined table'!B820,products!$A$1:$G$49,3,FALSE)</f>
        <v>L</v>
      </c>
      <c r="J820">
        <f>VLOOKUP('Combined table'!B820,products!$A$1:$G$49,4,FALSE)</f>
        <v>1</v>
      </c>
      <c r="K820">
        <f>VLOOKUP('Combined table'!B820,products!$A$1:$G$49,5,FALSE)</f>
        <v>15.85</v>
      </c>
      <c r="L820">
        <f>VLOOKUP('Combined table'!B820,products!$A$1:$G$49,6,FALSE)</f>
        <v>1.585</v>
      </c>
      <c r="M820">
        <f>VLOOKUP('Combined table'!B820,products!$A$1:$G$49,7,FALSE)</f>
        <v>2.0605000000000002</v>
      </c>
      <c r="N820" t="str">
        <f>TEXT(A820,"mmm yyyy")</f>
        <v>Jul 2022</v>
      </c>
      <c r="O820">
        <f t="shared" si="12"/>
        <v>79.25</v>
      </c>
    </row>
    <row r="821" spans="1:15" x14ac:dyDescent="0.25">
      <c r="A821" s="3">
        <v>44008</v>
      </c>
      <c r="B821" t="s">
        <v>6145</v>
      </c>
      <c r="C821" s="2">
        <v>1</v>
      </c>
      <c r="D821" s="2" t="s">
        <v>5119</v>
      </c>
      <c r="E821" s="2" t="s">
        <v>47</v>
      </c>
      <c r="F821" s="2" t="s">
        <v>19</v>
      </c>
      <c r="G821" t="s">
        <v>6190</v>
      </c>
      <c r="H821" t="str">
        <f>VLOOKUP('Combined table'!B821,products!$A$1:$G$49,2,FALSE)</f>
        <v>Lib</v>
      </c>
      <c r="I821" t="str">
        <f>VLOOKUP('Combined table'!B821,products!$A$1:$G$49,3,FALSE)</f>
        <v>L</v>
      </c>
      <c r="J821">
        <f>VLOOKUP('Combined table'!B821,products!$A$1:$G$49,4,FALSE)</f>
        <v>0.2</v>
      </c>
      <c r="K821">
        <f>VLOOKUP('Combined table'!B821,products!$A$1:$G$49,5,FALSE)</f>
        <v>4.7549999999999999</v>
      </c>
      <c r="L821">
        <f>VLOOKUP('Combined table'!B821,products!$A$1:$G$49,6,FALSE)</f>
        <v>2.3774999999999999</v>
      </c>
      <c r="M821">
        <f>VLOOKUP('Combined table'!B821,products!$A$1:$G$49,7,FALSE)</f>
        <v>0.61814999999999998</v>
      </c>
      <c r="N821" t="str">
        <f>TEXT(A821,"mmm yyyy")</f>
        <v>Jun 2020</v>
      </c>
      <c r="O821">
        <f t="shared" si="12"/>
        <v>4.7549999999999999</v>
      </c>
    </row>
    <row r="822" spans="1:15" x14ac:dyDescent="0.25">
      <c r="A822" s="3">
        <v>43510</v>
      </c>
      <c r="B822" t="s">
        <v>6141</v>
      </c>
      <c r="C822" s="2">
        <v>4</v>
      </c>
      <c r="D822" s="2" t="s">
        <v>5125</v>
      </c>
      <c r="E822" s="2" t="s">
        <v>123</v>
      </c>
      <c r="F822" s="2" t="s">
        <v>19</v>
      </c>
      <c r="G822" t="s">
        <v>6190</v>
      </c>
      <c r="H822" t="str">
        <f>VLOOKUP('Combined table'!B822,products!$A$1:$G$49,2,FALSE)</f>
        <v>Exc</v>
      </c>
      <c r="I822" t="str">
        <f>VLOOKUP('Combined table'!B822,products!$A$1:$G$49,3,FALSE)</f>
        <v>M</v>
      </c>
      <c r="J822">
        <f>VLOOKUP('Combined table'!B822,products!$A$1:$G$49,4,FALSE)</f>
        <v>1</v>
      </c>
      <c r="K822">
        <f>VLOOKUP('Combined table'!B822,products!$A$1:$G$49,5,FALSE)</f>
        <v>13.75</v>
      </c>
      <c r="L822">
        <f>VLOOKUP('Combined table'!B822,products!$A$1:$G$49,6,FALSE)</f>
        <v>1.375</v>
      </c>
      <c r="M822">
        <f>VLOOKUP('Combined table'!B822,products!$A$1:$G$49,7,FALSE)</f>
        <v>1.5125</v>
      </c>
      <c r="N822" t="str">
        <f>TEXT(A822,"mmm yyyy")</f>
        <v>Feb 2019</v>
      </c>
      <c r="O822">
        <f t="shared" si="12"/>
        <v>55</v>
      </c>
    </row>
    <row r="823" spans="1:15" x14ac:dyDescent="0.25">
      <c r="A823" s="3">
        <v>44144</v>
      </c>
      <c r="B823" t="s">
        <v>6172</v>
      </c>
      <c r="C823" s="2">
        <v>5</v>
      </c>
      <c r="D823" s="2" t="s">
        <v>5131</v>
      </c>
      <c r="E823" s="2" t="s">
        <v>188</v>
      </c>
      <c r="F823" s="2" t="s">
        <v>19</v>
      </c>
      <c r="G823" t="s">
        <v>6191</v>
      </c>
      <c r="H823" t="str">
        <f>VLOOKUP('Combined table'!B823,products!$A$1:$G$49,2,FALSE)</f>
        <v>Rob</v>
      </c>
      <c r="I823" t="str">
        <f>VLOOKUP('Combined table'!B823,products!$A$1:$G$49,3,FALSE)</f>
        <v>D</v>
      </c>
      <c r="J823">
        <f>VLOOKUP('Combined table'!B823,products!$A$1:$G$49,4,FALSE)</f>
        <v>0.5</v>
      </c>
      <c r="K823">
        <f>VLOOKUP('Combined table'!B823,products!$A$1:$G$49,5,FALSE)</f>
        <v>5.3699999999999992</v>
      </c>
      <c r="L823">
        <f>VLOOKUP('Combined table'!B823,products!$A$1:$G$49,6,FALSE)</f>
        <v>1.0739999999999998</v>
      </c>
      <c r="M823">
        <f>VLOOKUP('Combined table'!B823,products!$A$1:$G$49,7,FALSE)</f>
        <v>0.32219999999999993</v>
      </c>
      <c r="N823" t="str">
        <f>TEXT(A823,"mmm yyyy")</f>
        <v>Nov 2020</v>
      </c>
      <c r="O823">
        <f t="shared" si="12"/>
        <v>26.849999999999994</v>
      </c>
    </row>
    <row r="824" spans="1:15" x14ac:dyDescent="0.25">
      <c r="A824" s="3">
        <v>43585</v>
      </c>
      <c r="B824" t="s">
        <v>6148</v>
      </c>
      <c r="C824" s="2">
        <v>4</v>
      </c>
      <c r="D824" s="2" t="s">
        <v>5137</v>
      </c>
      <c r="E824" s="2" t="s">
        <v>129</v>
      </c>
      <c r="F824" s="2" t="s">
        <v>19</v>
      </c>
      <c r="G824" t="s">
        <v>6191</v>
      </c>
      <c r="H824" t="str">
        <f>VLOOKUP('Combined table'!B824,products!$A$1:$G$49,2,FALSE)</f>
        <v>Exc</v>
      </c>
      <c r="I824" t="str">
        <f>VLOOKUP('Combined table'!B824,products!$A$1:$G$49,3,FALSE)</f>
        <v>L</v>
      </c>
      <c r="J824">
        <f>VLOOKUP('Combined table'!B824,products!$A$1:$G$49,4,FALSE)</f>
        <v>2.5</v>
      </c>
      <c r="K824">
        <f>VLOOKUP('Combined table'!B824,products!$A$1:$G$49,5,FALSE)</f>
        <v>34.154999999999994</v>
      </c>
      <c r="L824">
        <f>VLOOKUP('Combined table'!B824,products!$A$1:$G$49,6,FALSE)</f>
        <v>1.3661999999999999</v>
      </c>
      <c r="M824">
        <f>VLOOKUP('Combined table'!B824,products!$A$1:$G$49,7,FALSE)</f>
        <v>3.7570499999999996</v>
      </c>
      <c r="N824" t="str">
        <f>TEXT(A824,"mmm yyyy")</f>
        <v>Apr 2019</v>
      </c>
      <c r="O824">
        <f t="shared" si="12"/>
        <v>136.61999999999998</v>
      </c>
    </row>
    <row r="825" spans="1:15" x14ac:dyDescent="0.25">
      <c r="A825" s="3">
        <v>44134</v>
      </c>
      <c r="B825" t="s">
        <v>6170</v>
      </c>
      <c r="C825" s="2">
        <v>3</v>
      </c>
      <c r="D825" s="2" t="s">
        <v>5143</v>
      </c>
      <c r="E825" s="2" t="s">
        <v>74</v>
      </c>
      <c r="F825" s="2" t="s">
        <v>19</v>
      </c>
      <c r="G825" t="s">
        <v>6190</v>
      </c>
      <c r="H825" t="str">
        <f>VLOOKUP('Combined table'!B825,products!$A$1:$G$49,2,FALSE)</f>
        <v>Lib</v>
      </c>
      <c r="I825" t="str">
        <f>VLOOKUP('Combined table'!B825,products!$A$1:$G$49,3,FALSE)</f>
        <v>L</v>
      </c>
      <c r="J825">
        <f>VLOOKUP('Combined table'!B825,products!$A$1:$G$49,4,FALSE)</f>
        <v>1</v>
      </c>
      <c r="K825">
        <f>VLOOKUP('Combined table'!B825,products!$A$1:$G$49,5,FALSE)</f>
        <v>15.85</v>
      </c>
      <c r="L825">
        <f>VLOOKUP('Combined table'!B825,products!$A$1:$G$49,6,FALSE)</f>
        <v>1.585</v>
      </c>
      <c r="M825">
        <f>VLOOKUP('Combined table'!B825,products!$A$1:$G$49,7,FALSE)</f>
        <v>2.0605000000000002</v>
      </c>
      <c r="N825" t="str">
        <f>TEXT(A825,"mmm yyyy")</f>
        <v>Oct 2020</v>
      </c>
      <c r="O825">
        <f t="shared" si="12"/>
        <v>47.55</v>
      </c>
    </row>
    <row r="826" spans="1:15" x14ac:dyDescent="0.25">
      <c r="A826" s="3">
        <v>43781</v>
      </c>
      <c r="B826" t="s">
        <v>6152</v>
      </c>
      <c r="C826" s="2">
        <v>5</v>
      </c>
      <c r="D826" s="2" t="s">
        <v>5149</v>
      </c>
      <c r="E826" s="2" t="s">
        <v>35</v>
      </c>
      <c r="F826" s="2" t="s">
        <v>19</v>
      </c>
      <c r="G826" t="s">
        <v>6190</v>
      </c>
      <c r="H826" t="str">
        <f>VLOOKUP('Combined table'!B826,products!$A$1:$G$49,2,FALSE)</f>
        <v>Ara</v>
      </c>
      <c r="I826" t="str">
        <f>VLOOKUP('Combined table'!B826,products!$A$1:$G$49,3,FALSE)</f>
        <v>M</v>
      </c>
      <c r="J826">
        <f>VLOOKUP('Combined table'!B826,products!$A$1:$G$49,4,FALSE)</f>
        <v>0.2</v>
      </c>
      <c r="K826">
        <f>VLOOKUP('Combined table'!B826,products!$A$1:$G$49,5,FALSE)</f>
        <v>3.375</v>
      </c>
      <c r="L826">
        <f>VLOOKUP('Combined table'!B826,products!$A$1:$G$49,6,FALSE)</f>
        <v>1.6875</v>
      </c>
      <c r="M826">
        <f>VLOOKUP('Combined table'!B826,products!$A$1:$G$49,7,FALSE)</f>
        <v>0.30374999999999996</v>
      </c>
      <c r="N826" t="str">
        <f>TEXT(A826,"mmm yyyy")</f>
        <v>Nov 2019</v>
      </c>
      <c r="O826">
        <f t="shared" si="12"/>
        <v>16.875</v>
      </c>
    </row>
    <row r="827" spans="1:15" x14ac:dyDescent="0.25">
      <c r="A827" s="3">
        <v>44603</v>
      </c>
      <c r="B827" t="s">
        <v>6147</v>
      </c>
      <c r="C827" s="2">
        <v>3</v>
      </c>
      <c r="D827" s="2" t="s">
        <v>5154</v>
      </c>
      <c r="E827" s="2" t="s">
        <v>58</v>
      </c>
      <c r="F827" s="2" t="s">
        <v>19</v>
      </c>
      <c r="G827" t="s">
        <v>6190</v>
      </c>
      <c r="H827" t="str">
        <f>VLOOKUP('Combined table'!B827,products!$A$1:$G$49,2,FALSE)</f>
        <v>Ara</v>
      </c>
      <c r="I827" t="str">
        <f>VLOOKUP('Combined table'!B827,products!$A$1:$G$49,3,FALSE)</f>
        <v>D</v>
      </c>
      <c r="J827">
        <f>VLOOKUP('Combined table'!B827,products!$A$1:$G$49,4,FALSE)</f>
        <v>1</v>
      </c>
      <c r="K827">
        <f>VLOOKUP('Combined table'!B827,products!$A$1:$G$49,5,FALSE)</f>
        <v>9.9499999999999993</v>
      </c>
      <c r="L827">
        <f>VLOOKUP('Combined table'!B827,products!$A$1:$G$49,6,FALSE)</f>
        <v>0.99499999999999988</v>
      </c>
      <c r="M827">
        <f>VLOOKUP('Combined table'!B827,products!$A$1:$G$49,7,FALSE)</f>
        <v>0.89549999999999985</v>
      </c>
      <c r="N827" t="str">
        <f>TEXT(A827,"mmm yyyy")</f>
        <v>Feb 2022</v>
      </c>
      <c r="O827">
        <f t="shared" si="12"/>
        <v>29.849999999999998</v>
      </c>
    </row>
    <row r="828" spans="1:15" x14ac:dyDescent="0.25">
      <c r="A828" s="3">
        <v>44283</v>
      </c>
      <c r="B828" t="s">
        <v>6139</v>
      </c>
      <c r="C828" s="2">
        <v>5</v>
      </c>
      <c r="D828" s="2" t="s">
        <v>5160</v>
      </c>
      <c r="E828" s="2" t="s">
        <v>250</v>
      </c>
      <c r="F828" s="2" t="s">
        <v>19</v>
      </c>
      <c r="G828" t="s">
        <v>6190</v>
      </c>
      <c r="H828" t="str">
        <f>VLOOKUP('Combined table'!B828,products!$A$1:$G$49,2,FALSE)</f>
        <v>Exc</v>
      </c>
      <c r="I828" t="str">
        <f>VLOOKUP('Combined table'!B828,products!$A$1:$G$49,3,FALSE)</f>
        <v>M</v>
      </c>
      <c r="J828">
        <f>VLOOKUP('Combined table'!B828,products!$A$1:$G$49,4,FALSE)</f>
        <v>0.5</v>
      </c>
      <c r="K828">
        <f>VLOOKUP('Combined table'!B828,products!$A$1:$G$49,5,FALSE)</f>
        <v>8.25</v>
      </c>
      <c r="L828">
        <f>VLOOKUP('Combined table'!B828,products!$A$1:$G$49,6,FALSE)</f>
        <v>1.65</v>
      </c>
      <c r="M828">
        <f>VLOOKUP('Combined table'!B828,products!$A$1:$G$49,7,FALSE)</f>
        <v>0.90749999999999997</v>
      </c>
      <c r="N828" t="str">
        <f>TEXT(A828,"mmm yyyy")</f>
        <v>Mar 2021</v>
      </c>
      <c r="O828">
        <f t="shared" si="12"/>
        <v>41.25</v>
      </c>
    </row>
    <row r="829" spans="1:15" x14ac:dyDescent="0.25">
      <c r="A829" s="3">
        <v>44540</v>
      </c>
      <c r="B829" t="s">
        <v>6156</v>
      </c>
      <c r="C829" s="2">
        <v>5</v>
      </c>
      <c r="D829" s="2" t="s">
        <v>5166</v>
      </c>
      <c r="E829" s="2" t="s">
        <v>47</v>
      </c>
      <c r="F829" s="2" t="s">
        <v>19</v>
      </c>
      <c r="G829" t="s">
        <v>6191</v>
      </c>
      <c r="H829" t="str">
        <f>VLOOKUP('Combined table'!B829,products!$A$1:$G$49,2,FALSE)</f>
        <v>Exc</v>
      </c>
      <c r="I829" t="str">
        <f>VLOOKUP('Combined table'!B829,products!$A$1:$G$49,3,FALSE)</f>
        <v>M</v>
      </c>
      <c r="J829">
        <f>VLOOKUP('Combined table'!B829,products!$A$1:$G$49,4,FALSE)</f>
        <v>0.2</v>
      </c>
      <c r="K829">
        <f>VLOOKUP('Combined table'!B829,products!$A$1:$G$49,5,FALSE)</f>
        <v>4.125</v>
      </c>
      <c r="L829">
        <f>VLOOKUP('Combined table'!B829,products!$A$1:$G$49,6,FALSE)</f>
        <v>2.0625</v>
      </c>
      <c r="M829">
        <f>VLOOKUP('Combined table'!B829,products!$A$1:$G$49,7,FALSE)</f>
        <v>0.45374999999999999</v>
      </c>
      <c r="N829" t="str">
        <f>TEXT(A829,"mmm yyyy")</f>
        <v>Dec 2021</v>
      </c>
      <c r="O829">
        <f t="shared" si="12"/>
        <v>20.625</v>
      </c>
    </row>
    <row r="830" spans="1:15" x14ac:dyDescent="0.25">
      <c r="A830" s="3">
        <v>44505</v>
      </c>
      <c r="B830" t="s">
        <v>6168</v>
      </c>
      <c r="C830" s="2">
        <v>6</v>
      </c>
      <c r="D830" s="2" t="s">
        <v>5172</v>
      </c>
      <c r="E830" s="2" t="s">
        <v>263</v>
      </c>
      <c r="F830" s="2" t="s">
        <v>19</v>
      </c>
      <c r="G830" t="s">
        <v>6190</v>
      </c>
      <c r="H830" t="str">
        <f>VLOOKUP('Combined table'!B830,products!$A$1:$G$49,2,FALSE)</f>
        <v>Ara</v>
      </c>
      <c r="I830" t="str">
        <f>VLOOKUP('Combined table'!B830,products!$A$1:$G$49,3,FALSE)</f>
        <v>D</v>
      </c>
      <c r="J830">
        <f>VLOOKUP('Combined table'!B830,products!$A$1:$G$49,4,FALSE)</f>
        <v>2.5</v>
      </c>
      <c r="K830">
        <f>VLOOKUP('Combined table'!B830,products!$A$1:$G$49,5,FALSE)</f>
        <v>22.884999999999998</v>
      </c>
      <c r="L830">
        <f>VLOOKUP('Combined table'!B830,products!$A$1:$G$49,6,FALSE)</f>
        <v>0.91539999999999988</v>
      </c>
      <c r="M830">
        <f>VLOOKUP('Combined table'!B830,products!$A$1:$G$49,7,FALSE)</f>
        <v>2.0596499999999995</v>
      </c>
      <c r="N830" t="str">
        <f>TEXT(A830,"mmm yyyy")</f>
        <v>Nov 2021</v>
      </c>
      <c r="O830">
        <f t="shared" si="12"/>
        <v>137.31</v>
      </c>
    </row>
    <row r="831" spans="1:15" x14ac:dyDescent="0.25">
      <c r="A831" s="3">
        <v>43890</v>
      </c>
      <c r="B831" t="s">
        <v>6154</v>
      </c>
      <c r="C831" s="2">
        <v>1</v>
      </c>
      <c r="D831" s="2" t="s">
        <v>5178</v>
      </c>
      <c r="E831" s="2" t="s">
        <v>26</v>
      </c>
      <c r="F831" s="2" t="s">
        <v>19</v>
      </c>
      <c r="G831" t="s">
        <v>6191</v>
      </c>
      <c r="H831" t="str">
        <f>VLOOKUP('Combined table'!B831,products!$A$1:$G$49,2,FALSE)</f>
        <v>Ara</v>
      </c>
      <c r="I831" t="str">
        <f>VLOOKUP('Combined table'!B831,products!$A$1:$G$49,3,FALSE)</f>
        <v>D</v>
      </c>
      <c r="J831">
        <f>VLOOKUP('Combined table'!B831,products!$A$1:$G$49,4,FALSE)</f>
        <v>0.2</v>
      </c>
      <c r="K831">
        <f>VLOOKUP('Combined table'!B831,products!$A$1:$G$49,5,FALSE)</f>
        <v>2.9849999999999999</v>
      </c>
      <c r="L831">
        <f>VLOOKUP('Combined table'!B831,products!$A$1:$G$49,6,FALSE)</f>
        <v>1.4924999999999999</v>
      </c>
      <c r="M831">
        <f>VLOOKUP('Combined table'!B831,products!$A$1:$G$49,7,FALSE)</f>
        <v>0.26865</v>
      </c>
      <c r="N831" t="str">
        <f>TEXT(A831,"mmm yyyy")</f>
        <v>Feb 2020</v>
      </c>
      <c r="O831">
        <f t="shared" si="12"/>
        <v>2.9849999999999999</v>
      </c>
    </row>
    <row r="832" spans="1:15" x14ac:dyDescent="0.25">
      <c r="A832" s="3">
        <v>44414</v>
      </c>
      <c r="B832" t="s">
        <v>6141</v>
      </c>
      <c r="C832" s="2">
        <v>2</v>
      </c>
      <c r="D832" s="2" t="s">
        <v>5184</v>
      </c>
      <c r="E832" s="2" t="s">
        <v>46</v>
      </c>
      <c r="F832" s="2" t="s">
        <v>19</v>
      </c>
      <c r="G832" t="s">
        <v>6191</v>
      </c>
      <c r="H832" t="str">
        <f>VLOOKUP('Combined table'!B832,products!$A$1:$G$49,2,FALSE)</f>
        <v>Exc</v>
      </c>
      <c r="I832" t="str">
        <f>VLOOKUP('Combined table'!B832,products!$A$1:$G$49,3,FALSE)</f>
        <v>M</v>
      </c>
      <c r="J832">
        <f>VLOOKUP('Combined table'!B832,products!$A$1:$G$49,4,FALSE)</f>
        <v>1</v>
      </c>
      <c r="K832">
        <f>VLOOKUP('Combined table'!B832,products!$A$1:$G$49,5,FALSE)</f>
        <v>13.75</v>
      </c>
      <c r="L832">
        <f>VLOOKUP('Combined table'!B832,products!$A$1:$G$49,6,FALSE)</f>
        <v>1.375</v>
      </c>
      <c r="M832">
        <f>VLOOKUP('Combined table'!B832,products!$A$1:$G$49,7,FALSE)</f>
        <v>1.5125</v>
      </c>
      <c r="N832" t="str">
        <f>TEXT(A832,"mmm yyyy")</f>
        <v>Aug 2021</v>
      </c>
      <c r="O832">
        <f t="shared" si="12"/>
        <v>27.5</v>
      </c>
    </row>
    <row r="833" spans="1:15" x14ac:dyDescent="0.25">
      <c r="A833" s="3">
        <v>44414</v>
      </c>
      <c r="B833" t="s">
        <v>6154</v>
      </c>
      <c r="C833" s="2">
        <v>2</v>
      </c>
      <c r="D833" s="2" t="s">
        <v>5189</v>
      </c>
      <c r="E833" s="2" t="s">
        <v>77</v>
      </c>
      <c r="F833" s="2" t="s">
        <v>19</v>
      </c>
      <c r="G833" t="s">
        <v>6190</v>
      </c>
      <c r="H833" t="str">
        <f>VLOOKUP('Combined table'!B833,products!$A$1:$G$49,2,FALSE)</f>
        <v>Ara</v>
      </c>
      <c r="I833" t="str">
        <f>VLOOKUP('Combined table'!B833,products!$A$1:$G$49,3,FALSE)</f>
        <v>D</v>
      </c>
      <c r="J833">
        <f>VLOOKUP('Combined table'!B833,products!$A$1:$G$49,4,FALSE)</f>
        <v>0.2</v>
      </c>
      <c r="K833">
        <f>VLOOKUP('Combined table'!B833,products!$A$1:$G$49,5,FALSE)</f>
        <v>2.9849999999999999</v>
      </c>
      <c r="L833">
        <f>VLOOKUP('Combined table'!B833,products!$A$1:$G$49,6,FALSE)</f>
        <v>1.4924999999999999</v>
      </c>
      <c r="M833">
        <f>VLOOKUP('Combined table'!B833,products!$A$1:$G$49,7,FALSE)</f>
        <v>0.26865</v>
      </c>
      <c r="N833" t="str">
        <f>TEXT(A833,"mmm yyyy")</f>
        <v>Aug 2021</v>
      </c>
      <c r="O833">
        <f t="shared" si="12"/>
        <v>5.97</v>
      </c>
    </row>
    <row r="834" spans="1:15" x14ac:dyDescent="0.25">
      <c r="A834" s="3">
        <v>44274</v>
      </c>
      <c r="B834" t="s">
        <v>6138</v>
      </c>
      <c r="C834" s="2">
        <v>6</v>
      </c>
      <c r="D834" s="2" t="s">
        <v>5195</v>
      </c>
      <c r="E834" s="2" t="s">
        <v>267</v>
      </c>
      <c r="F834" s="2" t="s">
        <v>19</v>
      </c>
      <c r="G834" t="s">
        <v>6191</v>
      </c>
      <c r="H834" t="str">
        <f>VLOOKUP('Combined table'!B834,products!$A$1:$G$49,2,FALSE)</f>
        <v>Rob</v>
      </c>
      <c r="I834" t="str">
        <f>VLOOKUP('Combined table'!B834,products!$A$1:$G$49,3,FALSE)</f>
        <v>M</v>
      </c>
      <c r="J834">
        <f>VLOOKUP('Combined table'!B834,products!$A$1:$G$49,4,FALSE)</f>
        <v>1</v>
      </c>
      <c r="K834">
        <f>VLOOKUP('Combined table'!B834,products!$A$1:$G$49,5,FALSE)</f>
        <v>9.9499999999999993</v>
      </c>
      <c r="L834">
        <f>VLOOKUP('Combined table'!B834,products!$A$1:$G$49,6,FALSE)</f>
        <v>0.99499999999999988</v>
      </c>
      <c r="M834">
        <f>VLOOKUP('Combined table'!B834,products!$A$1:$G$49,7,FALSE)</f>
        <v>0.59699999999999998</v>
      </c>
      <c r="N834" t="str">
        <f>TEXT(A834,"mmm yyyy")</f>
        <v>Mar 2021</v>
      </c>
      <c r="O834">
        <f t="shared" si="12"/>
        <v>59.699999999999996</v>
      </c>
    </row>
    <row r="835" spans="1:15" x14ac:dyDescent="0.25">
      <c r="A835" s="3">
        <v>44302</v>
      </c>
      <c r="B835" t="s">
        <v>6149</v>
      </c>
      <c r="C835" s="2">
        <v>4</v>
      </c>
      <c r="D835" s="2" t="s">
        <v>5201</v>
      </c>
      <c r="E835" s="2" t="s">
        <v>106</v>
      </c>
      <c r="F835" s="2" t="s">
        <v>19</v>
      </c>
      <c r="G835" t="s">
        <v>6190</v>
      </c>
      <c r="H835" t="str">
        <f>VLOOKUP('Combined table'!B835,products!$A$1:$G$49,2,FALSE)</f>
        <v>Rob</v>
      </c>
      <c r="I835" t="str">
        <f>VLOOKUP('Combined table'!B835,products!$A$1:$G$49,3,FALSE)</f>
        <v>D</v>
      </c>
      <c r="J835">
        <f>VLOOKUP('Combined table'!B835,products!$A$1:$G$49,4,FALSE)</f>
        <v>2.5</v>
      </c>
      <c r="K835">
        <f>VLOOKUP('Combined table'!B835,products!$A$1:$G$49,5,FALSE)</f>
        <v>20.584999999999997</v>
      </c>
      <c r="L835">
        <f>VLOOKUP('Combined table'!B835,products!$A$1:$G$49,6,FALSE)</f>
        <v>0.82339999999999991</v>
      </c>
      <c r="M835">
        <f>VLOOKUP('Combined table'!B835,products!$A$1:$G$49,7,FALSE)</f>
        <v>1.2350999999999999</v>
      </c>
      <c r="N835" t="str">
        <f>TEXT(A835,"mmm yyyy")</f>
        <v>Apr 2021</v>
      </c>
      <c r="O835">
        <f t="shared" ref="O835:O898" si="13">C835*K835</f>
        <v>82.339999999999989</v>
      </c>
    </row>
    <row r="836" spans="1:15" x14ac:dyDescent="0.25">
      <c r="A836" s="3">
        <v>44141</v>
      </c>
      <c r="B836" t="s">
        <v>6168</v>
      </c>
      <c r="C836" s="2">
        <v>1</v>
      </c>
      <c r="D836" s="2" t="s">
        <v>5207</v>
      </c>
      <c r="E836" s="2" t="s">
        <v>127</v>
      </c>
      <c r="F836" s="2" t="s">
        <v>19</v>
      </c>
      <c r="G836" t="s">
        <v>6191</v>
      </c>
      <c r="H836" t="str">
        <f>VLOOKUP('Combined table'!B836,products!$A$1:$G$49,2,FALSE)</f>
        <v>Ara</v>
      </c>
      <c r="I836" t="str">
        <f>VLOOKUP('Combined table'!B836,products!$A$1:$G$49,3,FALSE)</f>
        <v>D</v>
      </c>
      <c r="J836">
        <f>VLOOKUP('Combined table'!B836,products!$A$1:$G$49,4,FALSE)</f>
        <v>2.5</v>
      </c>
      <c r="K836">
        <f>VLOOKUP('Combined table'!B836,products!$A$1:$G$49,5,FALSE)</f>
        <v>22.884999999999998</v>
      </c>
      <c r="L836">
        <f>VLOOKUP('Combined table'!B836,products!$A$1:$G$49,6,FALSE)</f>
        <v>0.91539999999999988</v>
      </c>
      <c r="M836">
        <f>VLOOKUP('Combined table'!B836,products!$A$1:$G$49,7,FALSE)</f>
        <v>2.0596499999999995</v>
      </c>
      <c r="N836" t="str">
        <f>TEXT(A836,"mmm yyyy")</f>
        <v>Nov 2020</v>
      </c>
      <c r="O836">
        <f t="shared" si="13"/>
        <v>22.884999999999998</v>
      </c>
    </row>
    <row r="837" spans="1:15" x14ac:dyDescent="0.25">
      <c r="A837" s="3">
        <v>44270</v>
      </c>
      <c r="B837" t="s">
        <v>6176</v>
      </c>
      <c r="C837" s="2">
        <v>1</v>
      </c>
      <c r="D837" s="2" t="s">
        <v>5213</v>
      </c>
      <c r="E837" s="2" t="s">
        <v>126</v>
      </c>
      <c r="F837" s="2" t="s">
        <v>19</v>
      </c>
      <c r="G837" t="s">
        <v>6190</v>
      </c>
      <c r="H837" t="str">
        <f>VLOOKUP('Combined table'!B837,products!$A$1:$G$49,2,FALSE)</f>
        <v>Exc</v>
      </c>
      <c r="I837" t="str">
        <f>VLOOKUP('Combined table'!B837,products!$A$1:$G$49,3,FALSE)</f>
        <v>L</v>
      </c>
      <c r="J837">
        <f>VLOOKUP('Combined table'!B837,products!$A$1:$G$49,4,FALSE)</f>
        <v>0.5</v>
      </c>
      <c r="K837">
        <f>VLOOKUP('Combined table'!B837,products!$A$1:$G$49,5,FALSE)</f>
        <v>8.91</v>
      </c>
      <c r="L837">
        <f>VLOOKUP('Combined table'!B837,products!$A$1:$G$49,6,FALSE)</f>
        <v>1.782</v>
      </c>
      <c r="M837">
        <f>VLOOKUP('Combined table'!B837,products!$A$1:$G$49,7,FALSE)</f>
        <v>0.98009999999999997</v>
      </c>
      <c r="N837" t="str">
        <f>TEXT(A837,"mmm yyyy")</f>
        <v>Mar 2021</v>
      </c>
      <c r="O837">
        <f t="shared" si="13"/>
        <v>8.91</v>
      </c>
    </row>
    <row r="838" spans="1:15" x14ac:dyDescent="0.25">
      <c r="A838" s="3">
        <v>44486</v>
      </c>
      <c r="B838" t="s">
        <v>6154</v>
      </c>
      <c r="C838" s="2">
        <v>4</v>
      </c>
      <c r="D838" s="2" t="s">
        <v>5218</v>
      </c>
      <c r="E838" s="2" t="s">
        <v>351</v>
      </c>
      <c r="F838" s="2" t="s">
        <v>19</v>
      </c>
      <c r="G838" t="s">
        <v>6191</v>
      </c>
      <c r="H838" t="str">
        <f>VLOOKUP('Combined table'!B838,products!$A$1:$G$49,2,FALSE)</f>
        <v>Ara</v>
      </c>
      <c r="I838" t="str">
        <f>VLOOKUP('Combined table'!B838,products!$A$1:$G$49,3,FALSE)</f>
        <v>D</v>
      </c>
      <c r="J838">
        <f>VLOOKUP('Combined table'!B838,products!$A$1:$G$49,4,FALSE)</f>
        <v>0.2</v>
      </c>
      <c r="K838">
        <f>VLOOKUP('Combined table'!B838,products!$A$1:$G$49,5,FALSE)</f>
        <v>2.9849999999999999</v>
      </c>
      <c r="L838">
        <f>VLOOKUP('Combined table'!B838,products!$A$1:$G$49,6,FALSE)</f>
        <v>1.4924999999999999</v>
      </c>
      <c r="M838">
        <f>VLOOKUP('Combined table'!B838,products!$A$1:$G$49,7,FALSE)</f>
        <v>0.26865</v>
      </c>
      <c r="N838" t="str">
        <f>TEXT(A838,"mmm yyyy")</f>
        <v>Oct 2021</v>
      </c>
      <c r="O838">
        <f t="shared" si="13"/>
        <v>11.94</v>
      </c>
    </row>
    <row r="839" spans="1:15" x14ac:dyDescent="0.25">
      <c r="A839" s="3">
        <v>43715</v>
      </c>
      <c r="B839" t="s">
        <v>6181</v>
      </c>
      <c r="C839" s="2">
        <v>3</v>
      </c>
      <c r="D839" s="2" t="s">
        <v>5224</v>
      </c>
      <c r="E839" s="2" t="s">
        <v>80</v>
      </c>
      <c r="F839" s="2" t="s">
        <v>19</v>
      </c>
      <c r="G839" t="s">
        <v>6190</v>
      </c>
      <c r="H839" t="str">
        <f>VLOOKUP('Combined table'!B839,products!$A$1:$G$49,2,FALSE)</f>
        <v>Lib</v>
      </c>
      <c r="I839" t="str">
        <f>VLOOKUP('Combined table'!B839,products!$A$1:$G$49,3,FALSE)</f>
        <v>M</v>
      </c>
      <c r="J839">
        <f>VLOOKUP('Combined table'!B839,products!$A$1:$G$49,4,FALSE)</f>
        <v>2.5</v>
      </c>
      <c r="K839">
        <f>VLOOKUP('Combined table'!B839,products!$A$1:$G$49,5,FALSE)</f>
        <v>33.464999999999996</v>
      </c>
      <c r="L839">
        <f>VLOOKUP('Combined table'!B839,products!$A$1:$G$49,6,FALSE)</f>
        <v>1.3385999999999998</v>
      </c>
      <c r="M839">
        <f>VLOOKUP('Combined table'!B839,products!$A$1:$G$49,7,FALSE)</f>
        <v>4.3504499999999995</v>
      </c>
      <c r="N839" t="str">
        <f>TEXT(A839,"mmm yyyy")</f>
        <v>Sep 2019</v>
      </c>
      <c r="O839">
        <f t="shared" si="13"/>
        <v>100.39499999999998</v>
      </c>
    </row>
    <row r="840" spans="1:15" x14ac:dyDescent="0.25">
      <c r="A840" s="3">
        <v>44755</v>
      </c>
      <c r="B840" t="s">
        <v>6168</v>
      </c>
      <c r="C840" s="2">
        <v>5</v>
      </c>
      <c r="D840" s="2" t="s">
        <v>5230</v>
      </c>
      <c r="E840" s="2" t="s">
        <v>47</v>
      </c>
      <c r="F840" s="2" t="s">
        <v>19</v>
      </c>
      <c r="G840" t="s">
        <v>6191</v>
      </c>
      <c r="H840" t="str">
        <f>VLOOKUP('Combined table'!B840,products!$A$1:$G$49,2,FALSE)</f>
        <v>Ara</v>
      </c>
      <c r="I840" t="str">
        <f>VLOOKUP('Combined table'!B840,products!$A$1:$G$49,3,FALSE)</f>
        <v>D</v>
      </c>
      <c r="J840">
        <f>VLOOKUP('Combined table'!B840,products!$A$1:$G$49,4,FALSE)</f>
        <v>2.5</v>
      </c>
      <c r="K840">
        <f>VLOOKUP('Combined table'!B840,products!$A$1:$G$49,5,FALSE)</f>
        <v>22.884999999999998</v>
      </c>
      <c r="L840">
        <f>VLOOKUP('Combined table'!B840,products!$A$1:$G$49,6,FALSE)</f>
        <v>0.91539999999999988</v>
      </c>
      <c r="M840">
        <f>VLOOKUP('Combined table'!B840,products!$A$1:$G$49,7,FALSE)</f>
        <v>2.0596499999999995</v>
      </c>
      <c r="N840" t="str">
        <f>TEXT(A840,"mmm yyyy")</f>
        <v>Jul 2022</v>
      </c>
      <c r="O840">
        <f t="shared" si="13"/>
        <v>114.42499999999998</v>
      </c>
    </row>
    <row r="841" spans="1:15" x14ac:dyDescent="0.25">
      <c r="A841" s="3">
        <v>44521</v>
      </c>
      <c r="B841" t="s">
        <v>6139</v>
      </c>
      <c r="C841" s="2">
        <v>5</v>
      </c>
      <c r="D841" s="2" t="s">
        <v>5236</v>
      </c>
      <c r="E841" s="2" t="s">
        <v>207</v>
      </c>
      <c r="F841" s="2" t="s">
        <v>19</v>
      </c>
      <c r="G841" t="s">
        <v>6191</v>
      </c>
      <c r="H841" t="str">
        <f>VLOOKUP('Combined table'!B841,products!$A$1:$G$49,2,FALSE)</f>
        <v>Exc</v>
      </c>
      <c r="I841" t="str">
        <f>VLOOKUP('Combined table'!B841,products!$A$1:$G$49,3,FALSE)</f>
        <v>M</v>
      </c>
      <c r="J841">
        <f>VLOOKUP('Combined table'!B841,products!$A$1:$G$49,4,FALSE)</f>
        <v>0.5</v>
      </c>
      <c r="K841">
        <f>VLOOKUP('Combined table'!B841,products!$A$1:$G$49,5,FALSE)</f>
        <v>8.25</v>
      </c>
      <c r="L841">
        <f>VLOOKUP('Combined table'!B841,products!$A$1:$G$49,6,FALSE)</f>
        <v>1.65</v>
      </c>
      <c r="M841">
        <f>VLOOKUP('Combined table'!B841,products!$A$1:$G$49,7,FALSE)</f>
        <v>0.90749999999999997</v>
      </c>
      <c r="N841" t="str">
        <f>TEXT(A841,"mmm yyyy")</f>
        <v>Nov 2021</v>
      </c>
      <c r="O841">
        <f t="shared" si="13"/>
        <v>41.25</v>
      </c>
    </row>
    <row r="842" spans="1:15" x14ac:dyDescent="0.25">
      <c r="A842" s="3">
        <v>44574</v>
      </c>
      <c r="B842" t="s">
        <v>6173</v>
      </c>
      <c r="C842" s="2">
        <v>4</v>
      </c>
      <c r="D842" s="2" t="s">
        <v>5242</v>
      </c>
      <c r="E842" s="2" t="s">
        <v>271</v>
      </c>
      <c r="F842" s="2" t="s">
        <v>19</v>
      </c>
      <c r="G842" t="s">
        <v>6190</v>
      </c>
      <c r="H842" t="str">
        <f>VLOOKUP('Combined table'!B842,products!$A$1:$G$49,2,FALSE)</f>
        <v>Rob</v>
      </c>
      <c r="I842" t="str">
        <f>VLOOKUP('Combined table'!B842,products!$A$1:$G$49,3,FALSE)</f>
        <v>L</v>
      </c>
      <c r="J842">
        <f>VLOOKUP('Combined table'!B842,products!$A$1:$G$49,4,FALSE)</f>
        <v>0.5</v>
      </c>
      <c r="K842">
        <f>VLOOKUP('Combined table'!B842,products!$A$1:$G$49,5,FALSE)</f>
        <v>7.169999999999999</v>
      </c>
      <c r="L842">
        <f>VLOOKUP('Combined table'!B842,products!$A$1:$G$49,6,FALSE)</f>
        <v>1.4339999999999997</v>
      </c>
      <c r="M842">
        <f>VLOOKUP('Combined table'!B842,products!$A$1:$G$49,7,FALSE)</f>
        <v>0.43019999999999992</v>
      </c>
      <c r="N842" t="str">
        <f>TEXT(A842,"mmm yyyy")</f>
        <v>Jan 2022</v>
      </c>
      <c r="O842">
        <f t="shared" si="13"/>
        <v>28.679999999999996</v>
      </c>
    </row>
    <row r="843" spans="1:15" x14ac:dyDescent="0.25">
      <c r="A843" s="3">
        <v>44755</v>
      </c>
      <c r="B843" t="s">
        <v>6159</v>
      </c>
      <c r="C843" s="2">
        <v>1</v>
      </c>
      <c r="D843" s="2" t="s">
        <v>5248</v>
      </c>
      <c r="E843" s="2" t="s">
        <v>50</v>
      </c>
      <c r="F843" s="2" t="s">
        <v>19</v>
      </c>
      <c r="G843" t="s">
        <v>6191</v>
      </c>
      <c r="H843" t="str">
        <f>VLOOKUP('Combined table'!B843,products!$A$1:$G$49,2,FALSE)</f>
        <v>Lib</v>
      </c>
      <c r="I843" t="str">
        <f>VLOOKUP('Combined table'!B843,products!$A$1:$G$49,3,FALSE)</f>
        <v>M</v>
      </c>
      <c r="J843">
        <f>VLOOKUP('Combined table'!B843,products!$A$1:$G$49,4,FALSE)</f>
        <v>0.2</v>
      </c>
      <c r="K843">
        <f>VLOOKUP('Combined table'!B843,products!$A$1:$G$49,5,FALSE)</f>
        <v>4.3650000000000002</v>
      </c>
      <c r="L843">
        <f>VLOOKUP('Combined table'!B843,products!$A$1:$G$49,6,FALSE)</f>
        <v>2.1825000000000001</v>
      </c>
      <c r="M843">
        <f>VLOOKUP('Combined table'!B843,products!$A$1:$G$49,7,FALSE)</f>
        <v>0.56745000000000001</v>
      </c>
      <c r="N843" t="str">
        <f>TEXT(A843,"mmm yyyy")</f>
        <v>Jul 2022</v>
      </c>
      <c r="O843">
        <f t="shared" si="13"/>
        <v>4.3650000000000002</v>
      </c>
    </row>
    <row r="844" spans="1:15" x14ac:dyDescent="0.25">
      <c r="A844" s="3">
        <v>44502</v>
      </c>
      <c r="B844" t="s">
        <v>6156</v>
      </c>
      <c r="C844" s="2">
        <v>2</v>
      </c>
      <c r="D844" s="2" t="s">
        <v>5253</v>
      </c>
      <c r="E844" s="2" t="s">
        <v>446</v>
      </c>
      <c r="F844" s="2" t="s">
        <v>19</v>
      </c>
      <c r="G844" t="s">
        <v>6190</v>
      </c>
      <c r="H844" t="str">
        <f>VLOOKUP('Combined table'!B844,products!$A$1:$G$49,2,FALSE)</f>
        <v>Exc</v>
      </c>
      <c r="I844" t="str">
        <f>VLOOKUP('Combined table'!B844,products!$A$1:$G$49,3,FALSE)</f>
        <v>M</v>
      </c>
      <c r="J844">
        <f>VLOOKUP('Combined table'!B844,products!$A$1:$G$49,4,FALSE)</f>
        <v>0.2</v>
      </c>
      <c r="K844">
        <f>VLOOKUP('Combined table'!B844,products!$A$1:$G$49,5,FALSE)</f>
        <v>4.125</v>
      </c>
      <c r="L844">
        <f>VLOOKUP('Combined table'!B844,products!$A$1:$G$49,6,FALSE)</f>
        <v>2.0625</v>
      </c>
      <c r="M844">
        <f>VLOOKUP('Combined table'!B844,products!$A$1:$G$49,7,FALSE)</f>
        <v>0.45374999999999999</v>
      </c>
      <c r="N844" t="str">
        <f>TEXT(A844,"mmm yyyy")</f>
        <v>Nov 2021</v>
      </c>
      <c r="O844">
        <f t="shared" si="13"/>
        <v>8.25</v>
      </c>
    </row>
    <row r="845" spans="1:15" x14ac:dyDescent="0.25">
      <c r="A845" s="3">
        <v>44387</v>
      </c>
      <c r="B845" t="s">
        <v>6156</v>
      </c>
      <c r="C845" s="2">
        <v>2</v>
      </c>
      <c r="D845" s="2" t="s">
        <v>5258</v>
      </c>
      <c r="E845" s="2" t="s">
        <v>164</v>
      </c>
      <c r="F845" s="2" t="s">
        <v>19</v>
      </c>
      <c r="G845" t="s">
        <v>6190</v>
      </c>
      <c r="H845" t="str">
        <f>VLOOKUP('Combined table'!B845,products!$A$1:$G$49,2,FALSE)</f>
        <v>Exc</v>
      </c>
      <c r="I845" t="str">
        <f>VLOOKUP('Combined table'!B845,products!$A$1:$G$49,3,FALSE)</f>
        <v>M</v>
      </c>
      <c r="J845">
        <f>VLOOKUP('Combined table'!B845,products!$A$1:$G$49,4,FALSE)</f>
        <v>0.2</v>
      </c>
      <c r="K845">
        <f>VLOOKUP('Combined table'!B845,products!$A$1:$G$49,5,FALSE)</f>
        <v>4.125</v>
      </c>
      <c r="L845">
        <f>VLOOKUP('Combined table'!B845,products!$A$1:$G$49,6,FALSE)</f>
        <v>2.0625</v>
      </c>
      <c r="M845">
        <f>VLOOKUP('Combined table'!B845,products!$A$1:$G$49,7,FALSE)</f>
        <v>0.45374999999999999</v>
      </c>
      <c r="N845" t="str">
        <f>TEXT(A845,"mmm yyyy")</f>
        <v>Jul 2021</v>
      </c>
      <c r="O845">
        <f t="shared" si="13"/>
        <v>8.25</v>
      </c>
    </row>
    <row r="846" spans="1:15" x14ac:dyDescent="0.25">
      <c r="A846" s="3">
        <v>44476</v>
      </c>
      <c r="B846" t="s">
        <v>6158</v>
      </c>
      <c r="C846" s="2">
        <v>6</v>
      </c>
      <c r="D846" s="2" t="s">
        <v>5264</v>
      </c>
      <c r="E846" s="2" t="s">
        <v>20</v>
      </c>
      <c r="F846" s="2" t="s">
        <v>19</v>
      </c>
      <c r="G846" t="s">
        <v>6190</v>
      </c>
      <c r="H846" t="str">
        <f>VLOOKUP('Combined table'!B846,products!$A$1:$G$49,2,FALSE)</f>
        <v>Ara</v>
      </c>
      <c r="I846" t="str">
        <f>VLOOKUP('Combined table'!B846,products!$A$1:$G$49,3,FALSE)</f>
        <v>D</v>
      </c>
      <c r="J846">
        <f>VLOOKUP('Combined table'!B846,products!$A$1:$G$49,4,FALSE)</f>
        <v>0.5</v>
      </c>
      <c r="K846">
        <f>VLOOKUP('Combined table'!B846,products!$A$1:$G$49,5,FALSE)</f>
        <v>5.97</v>
      </c>
      <c r="L846">
        <f>VLOOKUP('Combined table'!B846,products!$A$1:$G$49,6,FALSE)</f>
        <v>1.194</v>
      </c>
      <c r="M846">
        <f>VLOOKUP('Combined table'!B846,products!$A$1:$G$49,7,FALSE)</f>
        <v>0.5373</v>
      </c>
      <c r="N846" t="str">
        <f>TEXT(A846,"mmm yyyy")</f>
        <v>Oct 2021</v>
      </c>
      <c r="O846">
        <f t="shared" si="13"/>
        <v>35.82</v>
      </c>
    </row>
    <row r="847" spans="1:15" x14ac:dyDescent="0.25">
      <c r="A847" s="3">
        <v>43889</v>
      </c>
      <c r="B847" t="s">
        <v>6185</v>
      </c>
      <c r="C847" s="2">
        <v>6</v>
      </c>
      <c r="D847" s="2" t="s">
        <v>5270</v>
      </c>
      <c r="E847" s="2" t="s">
        <v>95</v>
      </c>
      <c r="F847" s="2" t="s">
        <v>19</v>
      </c>
      <c r="G847" t="s">
        <v>6191</v>
      </c>
      <c r="H847" t="str">
        <f>VLOOKUP('Combined table'!B847,products!$A$1:$G$49,2,FALSE)</f>
        <v>Exc</v>
      </c>
      <c r="I847" t="str">
        <f>VLOOKUP('Combined table'!B847,products!$A$1:$G$49,3,FALSE)</f>
        <v>D</v>
      </c>
      <c r="J847">
        <f>VLOOKUP('Combined table'!B847,products!$A$1:$G$49,4,FALSE)</f>
        <v>2.5</v>
      </c>
      <c r="K847">
        <f>VLOOKUP('Combined table'!B847,products!$A$1:$G$49,5,FALSE)</f>
        <v>27.945</v>
      </c>
      <c r="L847">
        <f>VLOOKUP('Combined table'!B847,products!$A$1:$G$49,6,FALSE)</f>
        <v>1.1177999999999999</v>
      </c>
      <c r="M847">
        <f>VLOOKUP('Combined table'!B847,products!$A$1:$G$49,7,FALSE)</f>
        <v>3.07395</v>
      </c>
      <c r="N847" t="str">
        <f>TEXT(A847,"mmm yyyy")</f>
        <v>Feb 2020</v>
      </c>
      <c r="O847">
        <f t="shared" si="13"/>
        <v>167.67000000000002</v>
      </c>
    </row>
    <row r="848" spans="1:15" x14ac:dyDescent="0.25">
      <c r="A848" s="3">
        <v>44747</v>
      </c>
      <c r="B848" t="s">
        <v>6175</v>
      </c>
      <c r="C848" s="2">
        <v>2</v>
      </c>
      <c r="D848" s="2" t="s">
        <v>5275</v>
      </c>
      <c r="E848" s="2" t="s">
        <v>259</v>
      </c>
      <c r="F848" s="2" t="s">
        <v>19</v>
      </c>
      <c r="G848" t="s">
        <v>6190</v>
      </c>
      <c r="H848" t="str">
        <f>VLOOKUP('Combined table'!B848,products!$A$1:$G$49,2,FALSE)</f>
        <v>Ara</v>
      </c>
      <c r="I848" t="str">
        <f>VLOOKUP('Combined table'!B848,products!$A$1:$G$49,3,FALSE)</f>
        <v>M</v>
      </c>
      <c r="J848">
        <f>VLOOKUP('Combined table'!B848,products!$A$1:$G$49,4,FALSE)</f>
        <v>2.5</v>
      </c>
      <c r="K848">
        <f>VLOOKUP('Combined table'!B848,products!$A$1:$G$49,5,FALSE)</f>
        <v>25.874999999999996</v>
      </c>
      <c r="L848">
        <f>VLOOKUP('Combined table'!B848,products!$A$1:$G$49,6,FALSE)</f>
        <v>1.0349999999999999</v>
      </c>
      <c r="M848">
        <f>VLOOKUP('Combined table'!B848,products!$A$1:$G$49,7,FALSE)</f>
        <v>2.3287499999999994</v>
      </c>
      <c r="N848" t="str">
        <f>TEXT(A848,"mmm yyyy")</f>
        <v>Jul 2022</v>
      </c>
      <c r="O848">
        <f t="shared" si="13"/>
        <v>51.749999999999993</v>
      </c>
    </row>
    <row r="849" spans="1:15" x14ac:dyDescent="0.25">
      <c r="A849" s="3">
        <v>44460</v>
      </c>
      <c r="B849" t="s">
        <v>6154</v>
      </c>
      <c r="C849" s="2">
        <v>3</v>
      </c>
      <c r="D849" s="2" t="s">
        <v>5280</v>
      </c>
      <c r="E849" s="2" t="s">
        <v>119</v>
      </c>
      <c r="F849" s="2" t="s">
        <v>19</v>
      </c>
      <c r="G849" t="s">
        <v>6190</v>
      </c>
      <c r="H849" t="str">
        <f>VLOOKUP('Combined table'!B849,products!$A$1:$G$49,2,FALSE)</f>
        <v>Ara</v>
      </c>
      <c r="I849" t="str">
        <f>VLOOKUP('Combined table'!B849,products!$A$1:$G$49,3,FALSE)</f>
        <v>D</v>
      </c>
      <c r="J849">
        <f>VLOOKUP('Combined table'!B849,products!$A$1:$G$49,4,FALSE)</f>
        <v>0.2</v>
      </c>
      <c r="K849">
        <f>VLOOKUP('Combined table'!B849,products!$A$1:$G$49,5,FALSE)</f>
        <v>2.9849999999999999</v>
      </c>
      <c r="L849">
        <f>VLOOKUP('Combined table'!B849,products!$A$1:$G$49,6,FALSE)</f>
        <v>1.4924999999999999</v>
      </c>
      <c r="M849">
        <f>VLOOKUP('Combined table'!B849,products!$A$1:$G$49,7,FALSE)</f>
        <v>0.26865</v>
      </c>
      <c r="N849" t="str">
        <f>TEXT(A849,"mmm yyyy")</f>
        <v>Sep 2021</v>
      </c>
      <c r="O849">
        <f t="shared" si="13"/>
        <v>8.9550000000000001</v>
      </c>
    </row>
    <row r="850" spans="1:15" x14ac:dyDescent="0.25">
      <c r="A850" s="3">
        <v>43468</v>
      </c>
      <c r="B850" t="s">
        <v>6176</v>
      </c>
      <c r="C850" s="2">
        <v>6</v>
      </c>
      <c r="D850" s="2" t="s">
        <v>5285</v>
      </c>
      <c r="E850" s="2" t="s">
        <v>212</v>
      </c>
      <c r="F850" s="2" t="s">
        <v>19</v>
      </c>
      <c r="G850" t="s">
        <v>6191</v>
      </c>
      <c r="H850" t="str">
        <f>VLOOKUP('Combined table'!B850,products!$A$1:$G$49,2,FALSE)</f>
        <v>Exc</v>
      </c>
      <c r="I850" t="str">
        <f>VLOOKUP('Combined table'!B850,products!$A$1:$G$49,3,FALSE)</f>
        <v>L</v>
      </c>
      <c r="J850">
        <f>VLOOKUP('Combined table'!B850,products!$A$1:$G$49,4,FALSE)</f>
        <v>0.5</v>
      </c>
      <c r="K850">
        <f>VLOOKUP('Combined table'!B850,products!$A$1:$G$49,5,FALSE)</f>
        <v>8.91</v>
      </c>
      <c r="L850">
        <f>VLOOKUP('Combined table'!B850,products!$A$1:$G$49,6,FALSE)</f>
        <v>1.782</v>
      </c>
      <c r="M850">
        <f>VLOOKUP('Combined table'!B850,products!$A$1:$G$49,7,FALSE)</f>
        <v>0.98009999999999997</v>
      </c>
      <c r="N850" t="str">
        <f>TEXT(A850,"mmm yyyy")</f>
        <v>Jan 2019</v>
      </c>
      <c r="O850">
        <f t="shared" si="13"/>
        <v>53.46</v>
      </c>
    </row>
    <row r="851" spans="1:15" x14ac:dyDescent="0.25">
      <c r="A851" s="3">
        <v>44628</v>
      </c>
      <c r="B851" t="s">
        <v>6167</v>
      </c>
      <c r="C851" s="2">
        <v>6</v>
      </c>
      <c r="D851" s="2" t="s">
        <v>5290</v>
      </c>
      <c r="E851" s="2" t="s">
        <v>136</v>
      </c>
      <c r="F851" s="2" t="s">
        <v>19</v>
      </c>
      <c r="G851" t="s">
        <v>6190</v>
      </c>
      <c r="H851" t="str">
        <f>VLOOKUP('Combined table'!B851,products!$A$1:$G$49,2,FALSE)</f>
        <v>Ara</v>
      </c>
      <c r="I851" t="str">
        <f>VLOOKUP('Combined table'!B851,products!$A$1:$G$49,3,FALSE)</f>
        <v>L</v>
      </c>
      <c r="J851">
        <f>VLOOKUP('Combined table'!B851,products!$A$1:$G$49,4,FALSE)</f>
        <v>0.2</v>
      </c>
      <c r="K851">
        <f>VLOOKUP('Combined table'!B851,products!$A$1:$G$49,5,FALSE)</f>
        <v>3.8849999999999998</v>
      </c>
      <c r="L851">
        <f>VLOOKUP('Combined table'!B851,products!$A$1:$G$49,6,FALSE)</f>
        <v>1.9424999999999999</v>
      </c>
      <c r="M851">
        <f>VLOOKUP('Combined table'!B851,products!$A$1:$G$49,7,FALSE)</f>
        <v>0.34964999999999996</v>
      </c>
      <c r="N851" t="str">
        <f>TEXT(A851,"mmm yyyy")</f>
        <v>Mar 2022</v>
      </c>
      <c r="O851">
        <f t="shared" si="13"/>
        <v>23.31</v>
      </c>
    </row>
    <row r="852" spans="1:15" x14ac:dyDescent="0.25">
      <c r="A852" s="3">
        <v>44628</v>
      </c>
      <c r="B852" t="s">
        <v>6152</v>
      </c>
      <c r="C852" s="2">
        <v>2</v>
      </c>
      <c r="D852" s="2" t="s">
        <v>5295</v>
      </c>
      <c r="E852" s="2" t="s">
        <v>148</v>
      </c>
      <c r="F852" s="2" t="s">
        <v>19</v>
      </c>
      <c r="G852" t="s">
        <v>6190</v>
      </c>
      <c r="H852" t="str">
        <f>VLOOKUP('Combined table'!B852,products!$A$1:$G$49,2,FALSE)</f>
        <v>Ara</v>
      </c>
      <c r="I852" t="str">
        <f>VLOOKUP('Combined table'!B852,products!$A$1:$G$49,3,FALSE)</f>
        <v>M</v>
      </c>
      <c r="J852">
        <f>VLOOKUP('Combined table'!B852,products!$A$1:$G$49,4,FALSE)</f>
        <v>0.2</v>
      </c>
      <c r="K852">
        <f>VLOOKUP('Combined table'!B852,products!$A$1:$G$49,5,FALSE)</f>
        <v>3.375</v>
      </c>
      <c r="L852">
        <f>VLOOKUP('Combined table'!B852,products!$A$1:$G$49,6,FALSE)</f>
        <v>1.6875</v>
      </c>
      <c r="M852">
        <f>VLOOKUP('Combined table'!B852,products!$A$1:$G$49,7,FALSE)</f>
        <v>0.30374999999999996</v>
      </c>
      <c r="N852" t="str">
        <f>TEXT(A852,"mmm yyyy")</f>
        <v>Mar 2022</v>
      </c>
      <c r="O852">
        <f t="shared" si="13"/>
        <v>6.75</v>
      </c>
    </row>
    <row r="853" spans="1:15" x14ac:dyDescent="0.25">
      <c r="A853" s="3">
        <v>43900</v>
      </c>
      <c r="B853" t="s">
        <v>6169</v>
      </c>
      <c r="C853" s="2">
        <v>1</v>
      </c>
      <c r="D853" s="2" t="s">
        <v>5301</v>
      </c>
      <c r="E853" s="2" t="s">
        <v>237</v>
      </c>
      <c r="F853" s="2" t="s">
        <v>19</v>
      </c>
      <c r="G853" t="s">
        <v>6190</v>
      </c>
      <c r="H853" t="str">
        <f>VLOOKUP('Combined table'!B853,products!$A$1:$G$49,2,FALSE)</f>
        <v>Lib</v>
      </c>
      <c r="I853" t="str">
        <f>VLOOKUP('Combined table'!B853,products!$A$1:$G$49,3,FALSE)</f>
        <v>D</v>
      </c>
      <c r="J853">
        <f>VLOOKUP('Combined table'!B853,products!$A$1:$G$49,4,FALSE)</f>
        <v>0.5</v>
      </c>
      <c r="K853">
        <f>VLOOKUP('Combined table'!B853,products!$A$1:$G$49,5,FALSE)</f>
        <v>7.77</v>
      </c>
      <c r="L853">
        <f>VLOOKUP('Combined table'!B853,products!$A$1:$G$49,6,FALSE)</f>
        <v>1.5539999999999998</v>
      </c>
      <c r="M853">
        <f>VLOOKUP('Combined table'!B853,products!$A$1:$G$49,7,FALSE)</f>
        <v>1.0101</v>
      </c>
      <c r="N853" t="str">
        <f>TEXT(A853,"mmm yyyy")</f>
        <v>Mar 2020</v>
      </c>
      <c r="O853">
        <f t="shared" si="13"/>
        <v>7.77</v>
      </c>
    </row>
    <row r="854" spans="1:15" x14ac:dyDescent="0.25">
      <c r="A854" s="3">
        <v>44527</v>
      </c>
      <c r="B854" t="s">
        <v>6165</v>
      </c>
      <c r="C854" s="2">
        <v>4</v>
      </c>
      <c r="D854" s="2" t="s">
        <v>5307</v>
      </c>
      <c r="E854" s="2" t="s">
        <v>123</v>
      </c>
      <c r="F854" s="2" t="s">
        <v>19</v>
      </c>
      <c r="G854" t="s">
        <v>6190</v>
      </c>
      <c r="H854" t="str">
        <f>VLOOKUP('Combined table'!B854,products!$A$1:$G$49,2,FALSE)</f>
        <v>Lib</v>
      </c>
      <c r="I854" t="str">
        <f>VLOOKUP('Combined table'!B854,products!$A$1:$G$49,3,FALSE)</f>
        <v>D</v>
      </c>
      <c r="J854">
        <f>VLOOKUP('Combined table'!B854,products!$A$1:$G$49,4,FALSE)</f>
        <v>2.5</v>
      </c>
      <c r="K854">
        <f>VLOOKUP('Combined table'!B854,products!$A$1:$G$49,5,FALSE)</f>
        <v>29.784999999999997</v>
      </c>
      <c r="L854">
        <f>VLOOKUP('Combined table'!B854,products!$A$1:$G$49,6,FALSE)</f>
        <v>1.1913999999999998</v>
      </c>
      <c r="M854">
        <f>VLOOKUP('Combined table'!B854,products!$A$1:$G$49,7,FALSE)</f>
        <v>3.8720499999999998</v>
      </c>
      <c r="N854" t="str">
        <f>TEXT(A854,"mmm yyyy")</f>
        <v>Nov 2021</v>
      </c>
      <c r="O854">
        <f t="shared" si="13"/>
        <v>119.13999999999999</v>
      </c>
    </row>
    <row r="855" spans="1:15" x14ac:dyDescent="0.25">
      <c r="A855" s="3">
        <v>44259</v>
      </c>
      <c r="B855" t="s">
        <v>6147</v>
      </c>
      <c r="C855" s="2">
        <v>2</v>
      </c>
      <c r="D855" s="2" t="s">
        <v>5312</v>
      </c>
      <c r="E855" s="2" t="s">
        <v>50</v>
      </c>
      <c r="F855" s="2" t="s">
        <v>19</v>
      </c>
      <c r="G855" t="s">
        <v>6191</v>
      </c>
      <c r="H855" t="str">
        <f>VLOOKUP('Combined table'!B855,products!$A$1:$G$49,2,FALSE)</f>
        <v>Ara</v>
      </c>
      <c r="I855" t="str">
        <f>VLOOKUP('Combined table'!B855,products!$A$1:$G$49,3,FALSE)</f>
        <v>D</v>
      </c>
      <c r="J855">
        <f>VLOOKUP('Combined table'!B855,products!$A$1:$G$49,4,FALSE)</f>
        <v>1</v>
      </c>
      <c r="K855">
        <f>VLOOKUP('Combined table'!B855,products!$A$1:$G$49,5,FALSE)</f>
        <v>9.9499999999999993</v>
      </c>
      <c r="L855">
        <f>VLOOKUP('Combined table'!B855,products!$A$1:$G$49,6,FALSE)</f>
        <v>0.99499999999999988</v>
      </c>
      <c r="M855">
        <f>VLOOKUP('Combined table'!B855,products!$A$1:$G$49,7,FALSE)</f>
        <v>0.89549999999999985</v>
      </c>
      <c r="N855" t="str">
        <f>TEXT(A855,"mmm yyyy")</f>
        <v>Mar 2021</v>
      </c>
      <c r="O855">
        <f t="shared" si="13"/>
        <v>19.899999999999999</v>
      </c>
    </row>
    <row r="856" spans="1:15" x14ac:dyDescent="0.25">
      <c r="A856" s="3">
        <v>44516</v>
      </c>
      <c r="B856" t="s">
        <v>6173</v>
      </c>
      <c r="C856" s="2">
        <v>5</v>
      </c>
      <c r="D856" s="2" t="s">
        <v>5317</v>
      </c>
      <c r="E856" s="2" t="s">
        <v>48</v>
      </c>
      <c r="F856" s="2" t="s">
        <v>19</v>
      </c>
      <c r="G856" t="s">
        <v>6190</v>
      </c>
      <c r="H856" t="str">
        <f>VLOOKUP('Combined table'!B856,products!$A$1:$G$49,2,FALSE)</f>
        <v>Rob</v>
      </c>
      <c r="I856" t="str">
        <f>VLOOKUP('Combined table'!B856,products!$A$1:$G$49,3,FALSE)</f>
        <v>L</v>
      </c>
      <c r="J856">
        <f>VLOOKUP('Combined table'!B856,products!$A$1:$G$49,4,FALSE)</f>
        <v>0.5</v>
      </c>
      <c r="K856">
        <f>VLOOKUP('Combined table'!B856,products!$A$1:$G$49,5,FALSE)</f>
        <v>7.169999999999999</v>
      </c>
      <c r="L856">
        <f>VLOOKUP('Combined table'!B856,products!$A$1:$G$49,6,FALSE)</f>
        <v>1.4339999999999997</v>
      </c>
      <c r="M856">
        <f>VLOOKUP('Combined table'!B856,products!$A$1:$G$49,7,FALSE)</f>
        <v>0.43019999999999992</v>
      </c>
      <c r="N856" t="str">
        <f>TEXT(A856,"mmm yyyy")</f>
        <v>Nov 2021</v>
      </c>
      <c r="O856">
        <f t="shared" si="13"/>
        <v>35.849999999999994</v>
      </c>
    </row>
    <row r="857" spans="1:15" x14ac:dyDescent="0.25">
      <c r="A857" s="3">
        <v>43632</v>
      </c>
      <c r="B857" t="s">
        <v>6165</v>
      </c>
      <c r="C857" s="2">
        <v>3</v>
      </c>
      <c r="D857" s="2" t="s">
        <v>5323</v>
      </c>
      <c r="E857" s="2" t="s">
        <v>313</v>
      </c>
      <c r="F857" s="2" t="s">
        <v>19</v>
      </c>
      <c r="G857" t="s">
        <v>6191</v>
      </c>
      <c r="H857" t="str">
        <f>VLOOKUP('Combined table'!B857,products!$A$1:$G$49,2,FALSE)</f>
        <v>Lib</v>
      </c>
      <c r="I857" t="str">
        <f>VLOOKUP('Combined table'!B857,products!$A$1:$G$49,3,FALSE)</f>
        <v>D</v>
      </c>
      <c r="J857">
        <f>VLOOKUP('Combined table'!B857,products!$A$1:$G$49,4,FALSE)</f>
        <v>2.5</v>
      </c>
      <c r="K857">
        <f>VLOOKUP('Combined table'!B857,products!$A$1:$G$49,5,FALSE)</f>
        <v>29.784999999999997</v>
      </c>
      <c r="L857">
        <f>VLOOKUP('Combined table'!B857,products!$A$1:$G$49,6,FALSE)</f>
        <v>1.1913999999999998</v>
      </c>
      <c r="M857">
        <f>VLOOKUP('Combined table'!B857,products!$A$1:$G$49,7,FALSE)</f>
        <v>3.8720499999999998</v>
      </c>
      <c r="N857" t="str">
        <f>TEXT(A857,"mmm yyyy")</f>
        <v>Jun 2019</v>
      </c>
      <c r="O857">
        <f t="shared" si="13"/>
        <v>89.35499999999999</v>
      </c>
    </row>
    <row r="858" spans="1:15" x14ac:dyDescent="0.25">
      <c r="A858" s="3">
        <v>44031</v>
      </c>
      <c r="B858" t="s">
        <v>6159</v>
      </c>
      <c r="C858" s="2">
        <v>2</v>
      </c>
      <c r="D858" s="2" t="s">
        <v>5329</v>
      </c>
      <c r="E858" s="2" t="s">
        <v>180</v>
      </c>
      <c r="F858" s="2" t="s">
        <v>28</v>
      </c>
      <c r="G858" t="s">
        <v>6190</v>
      </c>
      <c r="H858" t="str">
        <f>VLOOKUP('Combined table'!B858,products!$A$1:$G$49,2,FALSE)</f>
        <v>Lib</v>
      </c>
      <c r="I858" t="str">
        <f>VLOOKUP('Combined table'!B858,products!$A$1:$G$49,3,FALSE)</f>
        <v>M</v>
      </c>
      <c r="J858">
        <f>VLOOKUP('Combined table'!B858,products!$A$1:$G$49,4,FALSE)</f>
        <v>0.2</v>
      </c>
      <c r="K858">
        <f>VLOOKUP('Combined table'!B858,products!$A$1:$G$49,5,FALSE)</f>
        <v>4.3650000000000002</v>
      </c>
      <c r="L858">
        <f>VLOOKUP('Combined table'!B858,products!$A$1:$G$49,6,FALSE)</f>
        <v>2.1825000000000001</v>
      </c>
      <c r="M858">
        <f>VLOOKUP('Combined table'!B858,products!$A$1:$G$49,7,FALSE)</f>
        <v>0.56745000000000001</v>
      </c>
      <c r="N858" t="str">
        <f>TEXT(A858,"mmm yyyy")</f>
        <v>Jul 2020</v>
      </c>
      <c r="O858">
        <f t="shared" si="13"/>
        <v>8.73</v>
      </c>
    </row>
    <row r="859" spans="1:15" x14ac:dyDescent="0.25">
      <c r="A859" s="3">
        <v>43889</v>
      </c>
      <c r="B859" t="s">
        <v>6142</v>
      </c>
      <c r="C859" s="2">
        <v>5</v>
      </c>
      <c r="D859" s="2" t="s">
        <v>5335</v>
      </c>
      <c r="E859" s="2" t="s">
        <v>309</v>
      </c>
      <c r="F859" s="2" t="s">
        <v>19</v>
      </c>
      <c r="G859" t="s">
        <v>6191</v>
      </c>
      <c r="H859" t="str">
        <f>VLOOKUP('Combined table'!B859,products!$A$1:$G$49,2,FALSE)</f>
        <v>Rob</v>
      </c>
      <c r="I859" t="str">
        <f>VLOOKUP('Combined table'!B859,products!$A$1:$G$49,3,FALSE)</f>
        <v>L</v>
      </c>
      <c r="J859">
        <f>VLOOKUP('Combined table'!B859,products!$A$1:$G$49,4,FALSE)</f>
        <v>2.5</v>
      </c>
      <c r="K859">
        <f>VLOOKUP('Combined table'!B859,products!$A$1:$G$49,5,FALSE)</f>
        <v>27.484999999999996</v>
      </c>
      <c r="L859">
        <f>VLOOKUP('Combined table'!B859,products!$A$1:$G$49,6,FALSE)</f>
        <v>1.0993999999999999</v>
      </c>
      <c r="M859">
        <f>VLOOKUP('Combined table'!B859,products!$A$1:$G$49,7,FALSE)</f>
        <v>1.6490999999999998</v>
      </c>
      <c r="N859" t="str">
        <f>TEXT(A859,"mmm yyyy")</f>
        <v>Feb 2020</v>
      </c>
      <c r="O859">
        <f t="shared" si="13"/>
        <v>137.42499999999998</v>
      </c>
    </row>
    <row r="860" spans="1:15" x14ac:dyDescent="0.25">
      <c r="A860" s="3">
        <v>43638</v>
      </c>
      <c r="B860" t="s">
        <v>6160</v>
      </c>
      <c r="C860" s="2">
        <v>4</v>
      </c>
      <c r="D860" s="2" t="s">
        <v>5341</v>
      </c>
      <c r="E860" s="2" t="s">
        <v>97</v>
      </c>
      <c r="F860" s="2" t="s">
        <v>19</v>
      </c>
      <c r="G860" t="s">
        <v>6191</v>
      </c>
      <c r="H860" t="str">
        <f>VLOOKUP('Combined table'!B860,products!$A$1:$G$49,2,FALSE)</f>
        <v>Lib</v>
      </c>
      <c r="I860" t="str">
        <f>VLOOKUP('Combined table'!B860,products!$A$1:$G$49,3,FALSE)</f>
        <v>M</v>
      </c>
      <c r="J860">
        <f>VLOOKUP('Combined table'!B860,products!$A$1:$G$49,4,FALSE)</f>
        <v>0.5</v>
      </c>
      <c r="K860">
        <f>VLOOKUP('Combined table'!B860,products!$A$1:$G$49,5,FALSE)</f>
        <v>8.73</v>
      </c>
      <c r="L860">
        <f>VLOOKUP('Combined table'!B860,products!$A$1:$G$49,6,FALSE)</f>
        <v>1.746</v>
      </c>
      <c r="M860">
        <f>VLOOKUP('Combined table'!B860,products!$A$1:$G$49,7,FALSE)</f>
        <v>1.1349</v>
      </c>
      <c r="N860" t="str">
        <f>TEXT(A860,"mmm yyyy")</f>
        <v>Jun 2019</v>
      </c>
      <c r="O860">
        <f t="shared" si="13"/>
        <v>34.92</v>
      </c>
    </row>
    <row r="861" spans="1:15" x14ac:dyDescent="0.25">
      <c r="A861" s="3">
        <v>43716</v>
      </c>
      <c r="B861" t="s">
        <v>6182</v>
      </c>
      <c r="C861" s="2">
        <v>6</v>
      </c>
      <c r="D861" s="2" t="s">
        <v>5347</v>
      </c>
      <c r="E861" s="2" t="s">
        <v>4511</v>
      </c>
      <c r="F861" s="2" t="s">
        <v>19</v>
      </c>
      <c r="G861" t="s">
        <v>6191</v>
      </c>
      <c r="H861" t="str">
        <f>VLOOKUP('Combined table'!B861,products!$A$1:$G$49,2,FALSE)</f>
        <v>Ara</v>
      </c>
      <c r="I861" t="str">
        <f>VLOOKUP('Combined table'!B861,products!$A$1:$G$49,3,FALSE)</f>
        <v>L</v>
      </c>
      <c r="J861">
        <f>VLOOKUP('Combined table'!B861,products!$A$1:$G$49,4,FALSE)</f>
        <v>2.5</v>
      </c>
      <c r="K861">
        <f>VLOOKUP('Combined table'!B861,products!$A$1:$G$49,5,FALSE)</f>
        <v>29.784999999999997</v>
      </c>
      <c r="L861">
        <f>VLOOKUP('Combined table'!B861,products!$A$1:$G$49,6,FALSE)</f>
        <v>1.1913999999999998</v>
      </c>
      <c r="M861">
        <f>VLOOKUP('Combined table'!B861,products!$A$1:$G$49,7,FALSE)</f>
        <v>2.6806499999999995</v>
      </c>
      <c r="N861" t="str">
        <f>TEXT(A861,"mmm yyyy")</f>
        <v>Sep 2019</v>
      </c>
      <c r="O861">
        <f t="shared" si="13"/>
        <v>178.70999999999998</v>
      </c>
    </row>
    <row r="862" spans="1:15" x14ac:dyDescent="0.25">
      <c r="A862" s="3">
        <v>44707</v>
      </c>
      <c r="B862" t="s">
        <v>6175</v>
      </c>
      <c r="C862" s="2">
        <v>1</v>
      </c>
      <c r="D862" s="2" t="s">
        <v>5353</v>
      </c>
      <c r="E862" s="2" t="s">
        <v>319</v>
      </c>
      <c r="F862" s="2" t="s">
        <v>19</v>
      </c>
      <c r="G862" t="s">
        <v>6191</v>
      </c>
      <c r="H862" t="str">
        <f>VLOOKUP('Combined table'!B862,products!$A$1:$G$49,2,FALSE)</f>
        <v>Ara</v>
      </c>
      <c r="I862" t="str">
        <f>VLOOKUP('Combined table'!B862,products!$A$1:$G$49,3,FALSE)</f>
        <v>M</v>
      </c>
      <c r="J862">
        <f>VLOOKUP('Combined table'!B862,products!$A$1:$G$49,4,FALSE)</f>
        <v>2.5</v>
      </c>
      <c r="K862">
        <f>VLOOKUP('Combined table'!B862,products!$A$1:$G$49,5,FALSE)</f>
        <v>25.874999999999996</v>
      </c>
      <c r="L862">
        <f>VLOOKUP('Combined table'!B862,products!$A$1:$G$49,6,FALSE)</f>
        <v>1.0349999999999999</v>
      </c>
      <c r="M862">
        <f>VLOOKUP('Combined table'!B862,products!$A$1:$G$49,7,FALSE)</f>
        <v>2.3287499999999994</v>
      </c>
      <c r="N862" t="str">
        <f>TEXT(A862,"mmm yyyy")</f>
        <v>May 2022</v>
      </c>
      <c r="O862">
        <f t="shared" si="13"/>
        <v>25.874999999999996</v>
      </c>
    </row>
    <row r="863" spans="1:15" x14ac:dyDescent="0.25">
      <c r="A863" s="3">
        <v>43802</v>
      </c>
      <c r="B863" t="s">
        <v>6143</v>
      </c>
      <c r="C863" s="2">
        <v>6</v>
      </c>
      <c r="D863" s="2" t="s">
        <v>5358</v>
      </c>
      <c r="E863" s="2" t="s">
        <v>49</v>
      </c>
      <c r="F863" s="2" t="s">
        <v>19</v>
      </c>
      <c r="G863" t="s">
        <v>6190</v>
      </c>
      <c r="H863" t="str">
        <f>VLOOKUP('Combined table'!B863,products!$A$1:$G$49,2,FALSE)</f>
        <v>Lib</v>
      </c>
      <c r="I863" t="str">
        <f>VLOOKUP('Combined table'!B863,products!$A$1:$G$49,3,FALSE)</f>
        <v>D</v>
      </c>
      <c r="J863">
        <f>VLOOKUP('Combined table'!B863,products!$A$1:$G$49,4,FALSE)</f>
        <v>1</v>
      </c>
      <c r="K863">
        <f>VLOOKUP('Combined table'!B863,products!$A$1:$G$49,5,FALSE)</f>
        <v>12.95</v>
      </c>
      <c r="L863">
        <f>VLOOKUP('Combined table'!B863,products!$A$1:$G$49,6,FALSE)</f>
        <v>1.2949999999999999</v>
      </c>
      <c r="M863">
        <f>VLOOKUP('Combined table'!B863,products!$A$1:$G$49,7,FALSE)</f>
        <v>1.6835</v>
      </c>
      <c r="N863" t="str">
        <f>TEXT(A863,"mmm yyyy")</f>
        <v>Dec 2019</v>
      </c>
      <c r="O863">
        <f t="shared" si="13"/>
        <v>77.699999999999989</v>
      </c>
    </row>
    <row r="864" spans="1:15" x14ac:dyDescent="0.25">
      <c r="A864" s="3">
        <v>43725</v>
      </c>
      <c r="B864" t="s">
        <v>6138</v>
      </c>
      <c r="C864" s="2">
        <v>1</v>
      </c>
      <c r="D864" s="2" t="s">
        <v>5364</v>
      </c>
      <c r="E864" s="2" t="s">
        <v>27</v>
      </c>
      <c r="F864" s="2" t="s">
        <v>19</v>
      </c>
      <c r="G864" t="s">
        <v>6190</v>
      </c>
      <c r="H864" t="str">
        <f>VLOOKUP('Combined table'!B864,products!$A$1:$G$49,2,FALSE)</f>
        <v>Rob</v>
      </c>
      <c r="I864" t="str">
        <f>VLOOKUP('Combined table'!B864,products!$A$1:$G$49,3,FALSE)</f>
        <v>M</v>
      </c>
      <c r="J864">
        <f>VLOOKUP('Combined table'!B864,products!$A$1:$G$49,4,FALSE)</f>
        <v>1</v>
      </c>
      <c r="K864">
        <f>VLOOKUP('Combined table'!B864,products!$A$1:$G$49,5,FALSE)</f>
        <v>9.9499999999999993</v>
      </c>
      <c r="L864">
        <f>VLOOKUP('Combined table'!B864,products!$A$1:$G$49,6,FALSE)</f>
        <v>0.99499999999999988</v>
      </c>
      <c r="M864">
        <f>VLOOKUP('Combined table'!B864,products!$A$1:$G$49,7,FALSE)</f>
        <v>0.59699999999999998</v>
      </c>
      <c r="N864" t="str">
        <f>TEXT(A864,"mmm yyyy")</f>
        <v>Sep 2019</v>
      </c>
      <c r="O864">
        <f t="shared" si="13"/>
        <v>9.9499999999999993</v>
      </c>
    </row>
    <row r="865" spans="1:15" x14ac:dyDescent="0.25">
      <c r="A865" s="3">
        <v>44712</v>
      </c>
      <c r="B865" t="s">
        <v>6162</v>
      </c>
      <c r="C865" s="2">
        <v>2</v>
      </c>
      <c r="D865" s="2" t="s">
        <v>5370</v>
      </c>
      <c r="E865" s="2" t="s">
        <v>92</v>
      </c>
      <c r="F865" s="2" t="s">
        <v>19</v>
      </c>
      <c r="G865" t="s">
        <v>6190</v>
      </c>
      <c r="H865" t="str">
        <f>VLOOKUP('Combined table'!B865,products!$A$1:$G$49,2,FALSE)</f>
        <v>Lib</v>
      </c>
      <c r="I865" t="str">
        <f>VLOOKUP('Combined table'!B865,products!$A$1:$G$49,3,FALSE)</f>
        <v>M</v>
      </c>
      <c r="J865">
        <f>VLOOKUP('Combined table'!B865,products!$A$1:$G$49,4,FALSE)</f>
        <v>1</v>
      </c>
      <c r="K865">
        <f>VLOOKUP('Combined table'!B865,products!$A$1:$G$49,5,FALSE)</f>
        <v>14.55</v>
      </c>
      <c r="L865">
        <f>VLOOKUP('Combined table'!B865,products!$A$1:$G$49,6,FALSE)</f>
        <v>1.4550000000000001</v>
      </c>
      <c r="M865">
        <f>VLOOKUP('Combined table'!B865,products!$A$1:$G$49,7,FALSE)</f>
        <v>1.8915000000000002</v>
      </c>
      <c r="N865" t="str">
        <f>TEXT(A865,"mmm yyyy")</f>
        <v>May 2022</v>
      </c>
      <c r="O865">
        <f t="shared" si="13"/>
        <v>29.1</v>
      </c>
    </row>
    <row r="866" spans="1:15" x14ac:dyDescent="0.25">
      <c r="A866" s="3">
        <v>43759</v>
      </c>
      <c r="B866" t="s">
        <v>6178</v>
      </c>
      <c r="C866" s="2">
        <v>6</v>
      </c>
      <c r="D866" s="2" t="s">
        <v>5376</v>
      </c>
      <c r="E866" s="2" t="s">
        <v>483</v>
      </c>
      <c r="F866" s="2" t="s">
        <v>318</v>
      </c>
      <c r="G866" t="s">
        <v>6191</v>
      </c>
      <c r="H866" t="str">
        <f>VLOOKUP('Combined table'!B866,products!$A$1:$G$49,2,FALSE)</f>
        <v>Rob</v>
      </c>
      <c r="I866" t="str">
        <f>VLOOKUP('Combined table'!B866,products!$A$1:$G$49,3,FALSE)</f>
        <v>L</v>
      </c>
      <c r="J866">
        <f>VLOOKUP('Combined table'!B866,products!$A$1:$G$49,4,FALSE)</f>
        <v>0.2</v>
      </c>
      <c r="K866">
        <f>VLOOKUP('Combined table'!B866,products!$A$1:$G$49,5,FALSE)</f>
        <v>3.5849999999999995</v>
      </c>
      <c r="L866">
        <f>VLOOKUP('Combined table'!B866,products!$A$1:$G$49,6,FALSE)</f>
        <v>1.7924999999999998</v>
      </c>
      <c r="M866">
        <f>VLOOKUP('Combined table'!B866,products!$A$1:$G$49,7,FALSE)</f>
        <v>0.21509999999999996</v>
      </c>
      <c r="N866" t="str">
        <f>TEXT(A866,"mmm yyyy")</f>
        <v>Oct 2019</v>
      </c>
      <c r="O866">
        <f t="shared" si="13"/>
        <v>21.509999999999998</v>
      </c>
    </row>
    <row r="867" spans="1:15" x14ac:dyDescent="0.25">
      <c r="A867" s="3">
        <v>44675</v>
      </c>
      <c r="B867" t="s">
        <v>6157</v>
      </c>
      <c r="C867" s="2">
        <v>1</v>
      </c>
      <c r="D867" s="2" t="s">
        <v>5382</v>
      </c>
      <c r="E867" s="2" t="s">
        <v>56</v>
      </c>
      <c r="F867" s="2" t="s">
        <v>19</v>
      </c>
      <c r="G867" t="s">
        <v>6190</v>
      </c>
      <c r="H867" t="str">
        <f>VLOOKUP('Combined table'!B867,products!$A$1:$G$49,2,FALSE)</f>
        <v>Ara</v>
      </c>
      <c r="I867" t="str">
        <f>VLOOKUP('Combined table'!B867,products!$A$1:$G$49,3,FALSE)</f>
        <v>M</v>
      </c>
      <c r="J867">
        <f>VLOOKUP('Combined table'!B867,products!$A$1:$G$49,4,FALSE)</f>
        <v>0.5</v>
      </c>
      <c r="K867">
        <f>VLOOKUP('Combined table'!B867,products!$A$1:$G$49,5,FALSE)</f>
        <v>6.75</v>
      </c>
      <c r="L867">
        <f>VLOOKUP('Combined table'!B867,products!$A$1:$G$49,6,FALSE)</f>
        <v>1.35</v>
      </c>
      <c r="M867">
        <f>VLOOKUP('Combined table'!B867,products!$A$1:$G$49,7,FALSE)</f>
        <v>0.60749999999999993</v>
      </c>
      <c r="N867" t="str">
        <f>TEXT(A867,"mmm yyyy")</f>
        <v>Apr 2022</v>
      </c>
      <c r="O867">
        <f t="shared" si="13"/>
        <v>6.75</v>
      </c>
    </row>
    <row r="868" spans="1:15" x14ac:dyDescent="0.25">
      <c r="A868" s="3">
        <v>44209</v>
      </c>
      <c r="B868" t="s">
        <v>6158</v>
      </c>
      <c r="C868" s="2">
        <v>3</v>
      </c>
      <c r="D868" s="2" t="s">
        <v>5387</v>
      </c>
      <c r="E868" s="2" t="s">
        <v>445</v>
      </c>
      <c r="F868" s="2" t="s">
        <v>318</v>
      </c>
      <c r="G868" t="s">
        <v>6191</v>
      </c>
      <c r="H868" t="str">
        <f>VLOOKUP('Combined table'!B868,products!$A$1:$G$49,2,FALSE)</f>
        <v>Ara</v>
      </c>
      <c r="I868" t="str">
        <f>VLOOKUP('Combined table'!B868,products!$A$1:$G$49,3,FALSE)</f>
        <v>D</v>
      </c>
      <c r="J868">
        <f>VLOOKUP('Combined table'!B868,products!$A$1:$G$49,4,FALSE)</f>
        <v>0.5</v>
      </c>
      <c r="K868">
        <f>VLOOKUP('Combined table'!B868,products!$A$1:$G$49,5,FALSE)</f>
        <v>5.97</v>
      </c>
      <c r="L868">
        <f>VLOOKUP('Combined table'!B868,products!$A$1:$G$49,6,FALSE)</f>
        <v>1.194</v>
      </c>
      <c r="M868">
        <f>VLOOKUP('Combined table'!B868,products!$A$1:$G$49,7,FALSE)</f>
        <v>0.5373</v>
      </c>
      <c r="N868" t="str">
        <f>TEXT(A868,"mmm yyyy")</f>
        <v>Jan 2021</v>
      </c>
      <c r="O868">
        <f t="shared" si="13"/>
        <v>17.91</v>
      </c>
    </row>
    <row r="869" spans="1:15" x14ac:dyDescent="0.25">
      <c r="A869" s="3">
        <v>44792</v>
      </c>
      <c r="B869" t="s">
        <v>6182</v>
      </c>
      <c r="C869" s="2">
        <v>1</v>
      </c>
      <c r="D869" s="2" t="s">
        <v>5393</v>
      </c>
      <c r="E869" s="2" t="s">
        <v>478</v>
      </c>
      <c r="F869" s="2" t="s">
        <v>318</v>
      </c>
      <c r="G869" t="s">
        <v>6190</v>
      </c>
      <c r="H869" t="str">
        <f>VLOOKUP('Combined table'!B869,products!$A$1:$G$49,2,FALSE)</f>
        <v>Ara</v>
      </c>
      <c r="I869" t="str">
        <f>VLOOKUP('Combined table'!B869,products!$A$1:$G$49,3,FALSE)</f>
        <v>L</v>
      </c>
      <c r="J869">
        <f>VLOOKUP('Combined table'!B869,products!$A$1:$G$49,4,FALSE)</f>
        <v>2.5</v>
      </c>
      <c r="K869">
        <f>VLOOKUP('Combined table'!B869,products!$A$1:$G$49,5,FALSE)</f>
        <v>29.784999999999997</v>
      </c>
      <c r="L869">
        <f>VLOOKUP('Combined table'!B869,products!$A$1:$G$49,6,FALSE)</f>
        <v>1.1913999999999998</v>
      </c>
      <c r="M869">
        <f>VLOOKUP('Combined table'!B869,products!$A$1:$G$49,7,FALSE)</f>
        <v>2.6806499999999995</v>
      </c>
      <c r="N869" t="str">
        <f>TEXT(A869,"mmm yyyy")</f>
        <v>Aug 2022</v>
      </c>
      <c r="O869">
        <f t="shared" si="13"/>
        <v>29.784999999999997</v>
      </c>
    </row>
    <row r="870" spans="1:15" x14ac:dyDescent="0.25">
      <c r="A870" s="3">
        <v>43526</v>
      </c>
      <c r="B870" t="s">
        <v>6139</v>
      </c>
      <c r="C870" s="2">
        <v>5</v>
      </c>
      <c r="D870" s="2" t="s">
        <v>5398</v>
      </c>
      <c r="E870" s="2" t="s">
        <v>121</v>
      </c>
      <c r="F870" s="2" t="s">
        <v>19</v>
      </c>
      <c r="G870" t="s">
        <v>6190</v>
      </c>
      <c r="H870" t="str">
        <f>VLOOKUP('Combined table'!B870,products!$A$1:$G$49,2,FALSE)</f>
        <v>Exc</v>
      </c>
      <c r="I870" t="str">
        <f>VLOOKUP('Combined table'!B870,products!$A$1:$G$49,3,FALSE)</f>
        <v>M</v>
      </c>
      <c r="J870">
        <f>VLOOKUP('Combined table'!B870,products!$A$1:$G$49,4,FALSE)</f>
        <v>0.5</v>
      </c>
      <c r="K870">
        <f>VLOOKUP('Combined table'!B870,products!$A$1:$G$49,5,FALSE)</f>
        <v>8.25</v>
      </c>
      <c r="L870">
        <f>VLOOKUP('Combined table'!B870,products!$A$1:$G$49,6,FALSE)</f>
        <v>1.65</v>
      </c>
      <c r="M870">
        <f>VLOOKUP('Combined table'!B870,products!$A$1:$G$49,7,FALSE)</f>
        <v>0.90749999999999997</v>
      </c>
      <c r="N870" t="str">
        <f>TEXT(A870,"mmm yyyy")</f>
        <v>Mar 2019</v>
      </c>
      <c r="O870">
        <f t="shared" si="13"/>
        <v>41.25</v>
      </c>
    </row>
    <row r="871" spans="1:15" x14ac:dyDescent="0.25">
      <c r="A871" s="3">
        <v>43851</v>
      </c>
      <c r="B871" t="s">
        <v>6146</v>
      </c>
      <c r="C871" s="2">
        <v>3</v>
      </c>
      <c r="D871" s="2" t="s">
        <v>5404</v>
      </c>
      <c r="E871" s="2" t="s">
        <v>131</v>
      </c>
      <c r="F871" s="2" t="s">
        <v>19</v>
      </c>
      <c r="G871" t="s">
        <v>6190</v>
      </c>
      <c r="H871" t="str">
        <f>VLOOKUP('Combined table'!B871,products!$A$1:$G$49,2,FALSE)</f>
        <v>Rob</v>
      </c>
      <c r="I871" t="str">
        <f>VLOOKUP('Combined table'!B871,products!$A$1:$G$49,3,FALSE)</f>
        <v>M</v>
      </c>
      <c r="J871">
        <f>VLOOKUP('Combined table'!B871,products!$A$1:$G$49,4,FALSE)</f>
        <v>0.5</v>
      </c>
      <c r="K871">
        <f>VLOOKUP('Combined table'!B871,products!$A$1:$G$49,5,FALSE)</f>
        <v>5.97</v>
      </c>
      <c r="L871">
        <f>VLOOKUP('Combined table'!B871,products!$A$1:$G$49,6,FALSE)</f>
        <v>1.194</v>
      </c>
      <c r="M871">
        <f>VLOOKUP('Combined table'!B871,products!$A$1:$G$49,7,FALSE)</f>
        <v>0.35819999999999996</v>
      </c>
      <c r="N871" t="str">
        <f>TEXT(A871,"mmm yyyy")</f>
        <v>Jan 2020</v>
      </c>
      <c r="O871">
        <f t="shared" si="13"/>
        <v>17.91</v>
      </c>
    </row>
    <row r="872" spans="1:15" x14ac:dyDescent="0.25">
      <c r="A872" s="3">
        <v>44460</v>
      </c>
      <c r="B872" t="s">
        <v>6144</v>
      </c>
      <c r="C872" s="2">
        <v>1</v>
      </c>
      <c r="D872" s="2" t="s">
        <v>5409</v>
      </c>
      <c r="E872" s="2" t="s">
        <v>347</v>
      </c>
      <c r="F872" s="2" t="s">
        <v>318</v>
      </c>
      <c r="G872" t="s">
        <v>6190</v>
      </c>
      <c r="H872" t="str">
        <f>VLOOKUP('Combined table'!B872,products!$A$1:$G$49,2,FALSE)</f>
        <v>Exc</v>
      </c>
      <c r="I872" t="str">
        <f>VLOOKUP('Combined table'!B872,products!$A$1:$G$49,3,FALSE)</f>
        <v>D</v>
      </c>
      <c r="J872">
        <f>VLOOKUP('Combined table'!B872,products!$A$1:$G$49,4,FALSE)</f>
        <v>0.5</v>
      </c>
      <c r="K872">
        <f>VLOOKUP('Combined table'!B872,products!$A$1:$G$49,5,FALSE)</f>
        <v>7.29</v>
      </c>
      <c r="L872">
        <f>VLOOKUP('Combined table'!B872,products!$A$1:$G$49,6,FALSE)</f>
        <v>1.458</v>
      </c>
      <c r="M872">
        <f>VLOOKUP('Combined table'!B872,products!$A$1:$G$49,7,FALSE)</f>
        <v>0.80190000000000006</v>
      </c>
      <c r="N872" t="str">
        <f>TEXT(A872,"mmm yyyy")</f>
        <v>Sep 2021</v>
      </c>
      <c r="O872">
        <f t="shared" si="13"/>
        <v>7.29</v>
      </c>
    </row>
    <row r="873" spans="1:15" x14ac:dyDescent="0.25">
      <c r="A873" s="3">
        <v>43707</v>
      </c>
      <c r="B873" t="s">
        <v>6171</v>
      </c>
      <c r="C873" s="2">
        <v>2</v>
      </c>
      <c r="D873" s="2" t="s">
        <v>5415</v>
      </c>
      <c r="E873" s="2" t="s">
        <v>5419</v>
      </c>
      <c r="F873" s="2" t="s">
        <v>28</v>
      </c>
      <c r="G873" t="s">
        <v>6190</v>
      </c>
      <c r="H873" t="str">
        <f>VLOOKUP('Combined table'!B873,products!$A$1:$G$49,2,FALSE)</f>
        <v>Exc</v>
      </c>
      <c r="I873" t="str">
        <f>VLOOKUP('Combined table'!B873,products!$A$1:$G$49,3,FALSE)</f>
        <v>L</v>
      </c>
      <c r="J873">
        <f>VLOOKUP('Combined table'!B873,products!$A$1:$G$49,4,FALSE)</f>
        <v>1</v>
      </c>
      <c r="K873">
        <f>VLOOKUP('Combined table'!B873,products!$A$1:$G$49,5,FALSE)</f>
        <v>14.85</v>
      </c>
      <c r="L873">
        <f>VLOOKUP('Combined table'!B873,products!$A$1:$G$49,6,FALSE)</f>
        <v>1.4849999999999999</v>
      </c>
      <c r="M873">
        <f>VLOOKUP('Combined table'!B873,products!$A$1:$G$49,7,FALSE)</f>
        <v>1.6335</v>
      </c>
      <c r="N873" t="str">
        <f>TEXT(A873,"mmm yyyy")</f>
        <v>Aug 2019</v>
      </c>
      <c r="O873">
        <f t="shared" si="13"/>
        <v>29.7</v>
      </c>
    </row>
    <row r="874" spans="1:15" x14ac:dyDescent="0.25">
      <c r="A874" s="3">
        <v>43521</v>
      </c>
      <c r="B874" t="s">
        <v>6155</v>
      </c>
      <c r="C874" s="2">
        <v>2</v>
      </c>
      <c r="D874" s="2" t="s">
        <v>5423</v>
      </c>
      <c r="E874" s="2" t="s">
        <v>171</v>
      </c>
      <c r="F874" s="2" t="s">
        <v>19</v>
      </c>
      <c r="G874" t="s">
        <v>6191</v>
      </c>
      <c r="H874" t="str">
        <f>VLOOKUP('Combined table'!B874,products!$A$1:$G$49,2,FALSE)</f>
        <v>Ara</v>
      </c>
      <c r="I874" t="str">
        <f>VLOOKUP('Combined table'!B874,products!$A$1:$G$49,3,FALSE)</f>
        <v>M</v>
      </c>
      <c r="J874">
        <f>VLOOKUP('Combined table'!B874,products!$A$1:$G$49,4,FALSE)</f>
        <v>1</v>
      </c>
      <c r="K874">
        <f>VLOOKUP('Combined table'!B874,products!$A$1:$G$49,5,FALSE)</f>
        <v>11.25</v>
      </c>
      <c r="L874">
        <f>VLOOKUP('Combined table'!B874,products!$A$1:$G$49,6,FALSE)</f>
        <v>1.125</v>
      </c>
      <c r="M874">
        <f>VLOOKUP('Combined table'!B874,products!$A$1:$G$49,7,FALSE)</f>
        <v>1.0125</v>
      </c>
      <c r="N874" t="str">
        <f>TEXT(A874,"mmm yyyy")</f>
        <v>Feb 2019</v>
      </c>
      <c r="O874">
        <f t="shared" si="13"/>
        <v>22.5</v>
      </c>
    </row>
    <row r="875" spans="1:15" x14ac:dyDescent="0.25">
      <c r="A875" s="3">
        <v>43725</v>
      </c>
      <c r="B875" t="s">
        <v>6174</v>
      </c>
      <c r="C875" s="2">
        <v>4</v>
      </c>
      <c r="D875" s="2" t="s">
        <v>5429</v>
      </c>
      <c r="E875" s="2" t="s">
        <v>48</v>
      </c>
      <c r="F875" s="2" t="s">
        <v>19</v>
      </c>
      <c r="G875" t="s">
        <v>6190</v>
      </c>
      <c r="H875" t="str">
        <f>VLOOKUP('Combined table'!B875,products!$A$1:$G$49,2,FALSE)</f>
        <v>Rob</v>
      </c>
      <c r="I875" t="str">
        <f>VLOOKUP('Combined table'!B875,products!$A$1:$G$49,3,FALSE)</f>
        <v>M</v>
      </c>
      <c r="J875">
        <f>VLOOKUP('Combined table'!B875,products!$A$1:$G$49,4,FALSE)</f>
        <v>0.2</v>
      </c>
      <c r="K875">
        <f>VLOOKUP('Combined table'!B875,products!$A$1:$G$49,5,FALSE)</f>
        <v>2.9849999999999999</v>
      </c>
      <c r="L875">
        <f>VLOOKUP('Combined table'!B875,products!$A$1:$G$49,6,FALSE)</f>
        <v>1.4924999999999999</v>
      </c>
      <c r="M875">
        <f>VLOOKUP('Combined table'!B875,products!$A$1:$G$49,7,FALSE)</f>
        <v>0.17909999999999998</v>
      </c>
      <c r="N875" t="str">
        <f>TEXT(A875,"mmm yyyy")</f>
        <v>Sep 2019</v>
      </c>
      <c r="O875">
        <f t="shared" si="13"/>
        <v>11.94</v>
      </c>
    </row>
    <row r="876" spans="1:15" x14ac:dyDescent="0.25">
      <c r="A876" s="3">
        <v>43680</v>
      </c>
      <c r="B876" t="s">
        <v>6140</v>
      </c>
      <c r="C876" s="2">
        <v>2</v>
      </c>
      <c r="D876" s="2" t="s">
        <v>5435</v>
      </c>
      <c r="E876" s="2" t="s">
        <v>63</v>
      </c>
      <c r="F876" s="2" t="s">
        <v>19</v>
      </c>
      <c r="G876" t="s">
        <v>6191</v>
      </c>
      <c r="H876" t="str">
        <f>VLOOKUP('Combined table'!B876,products!$A$1:$G$49,2,FALSE)</f>
        <v>Ara</v>
      </c>
      <c r="I876" t="str">
        <f>VLOOKUP('Combined table'!B876,products!$A$1:$G$49,3,FALSE)</f>
        <v>L</v>
      </c>
      <c r="J876">
        <f>VLOOKUP('Combined table'!B876,products!$A$1:$G$49,4,FALSE)</f>
        <v>1</v>
      </c>
      <c r="K876">
        <f>VLOOKUP('Combined table'!B876,products!$A$1:$G$49,5,FALSE)</f>
        <v>12.95</v>
      </c>
      <c r="L876">
        <f>VLOOKUP('Combined table'!B876,products!$A$1:$G$49,6,FALSE)</f>
        <v>1.2949999999999999</v>
      </c>
      <c r="M876">
        <f>VLOOKUP('Combined table'!B876,products!$A$1:$G$49,7,FALSE)</f>
        <v>1.1655</v>
      </c>
      <c r="N876" t="str">
        <f>TEXT(A876,"mmm yyyy")</f>
        <v>Aug 2019</v>
      </c>
      <c r="O876">
        <f t="shared" si="13"/>
        <v>25.9</v>
      </c>
    </row>
    <row r="877" spans="1:15" x14ac:dyDescent="0.25">
      <c r="A877" s="3">
        <v>44253</v>
      </c>
      <c r="B877" t="s">
        <v>6160</v>
      </c>
      <c r="C877" s="2">
        <v>5</v>
      </c>
      <c r="D877" s="2" t="s">
        <v>5441</v>
      </c>
      <c r="E877" s="2" t="s">
        <v>384</v>
      </c>
      <c r="F877" s="2" t="s">
        <v>318</v>
      </c>
      <c r="G877" t="s">
        <v>6191</v>
      </c>
      <c r="H877" t="str">
        <f>VLOOKUP('Combined table'!B877,products!$A$1:$G$49,2,FALSE)</f>
        <v>Lib</v>
      </c>
      <c r="I877" t="str">
        <f>VLOOKUP('Combined table'!B877,products!$A$1:$G$49,3,FALSE)</f>
        <v>M</v>
      </c>
      <c r="J877">
        <f>VLOOKUP('Combined table'!B877,products!$A$1:$G$49,4,FALSE)</f>
        <v>0.5</v>
      </c>
      <c r="K877">
        <f>VLOOKUP('Combined table'!B877,products!$A$1:$G$49,5,FALSE)</f>
        <v>8.73</v>
      </c>
      <c r="L877">
        <f>VLOOKUP('Combined table'!B877,products!$A$1:$G$49,6,FALSE)</f>
        <v>1.746</v>
      </c>
      <c r="M877">
        <f>VLOOKUP('Combined table'!B877,products!$A$1:$G$49,7,FALSE)</f>
        <v>1.1349</v>
      </c>
      <c r="N877" t="str">
        <f>TEXT(A877,"mmm yyyy")</f>
        <v>Feb 2021</v>
      </c>
      <c r="O877">
        <f t="shared" si="13"/>
        <v>43.650000000000006</v>
      </c>
    </row>
    <row r="878" spans="1:15" x14ac:dyDescent="0.25">
      <c r="A878" s="3">
        <v>44253</v>
      </c>
      <c r="B878" t="s">
        <v>6180</v>
      </c>
      <c r="C878" s="2">
        <v>6</v>
      </c>
      <c r="D878" s="2" t="s">
        <v>5446</v>
      </c>
      <c r="E878" s="2" t="s">
        <v>47</v>
      </c>
      <c r="F878" s="2" t="s">
        <v>19</v>
      </c>
      <c r="G878" t="s">
        <v>6190</v>
      </c>
      <c r="H878" t="str">
        <f>VLOOKUP('Combined table'!B878,products!$A$1:$G$49,2,FALSE)</f>
        <v>Ara</v>
      </c>
      <c r="I878" t="str">
        <f>VLOOKUP('Combined table'!B878,products!$A$1:$G$49,3,FALSE)</f>
        <v>L</v>
      </c>
      <c r="J878">
        <f>VLOOKUP('Combined table'!B878,products!$A$1:$G$49,4,FALSE)</f>
        <v>0.5</v>
      </c>
      <c r="K878">
        <f>VLOOKUP('Combined table'!B878,products!$A$1:$G$49,5,FALSE)</f>
        <v>7.77</v>
      </c>
      <c r="L878">
        <f>VLOOKUP('Combined table'!B878,products!$A$1:$G$49,6,FALSE)</f>
        <v>1.5539999999999998</v>
      </c>
      <c r="M878">
        <f>VLOOKUP('Combined table'!B878,products!$A$1:$G$49,7,FALSE)</f>
        <v>0.69929999999999992</v>
      </c>
      <c r="N878" t="str">
        <f>TEXT(A878,"mmm yyyy")</f>
        <v>Feb 2021</v>
      </c>
      <c r="O878">
        <f t="shared" si="13"/>
        <v>46.62</v>
      </c>
    </row>
    <row r="879" spans="1:15" x14ac:dyDescent="0.25">
      <c r="A879" s="3">
        <v>44411</v>
      </c>
      <c r="B879" t="s">
        <v>6161</v>
      </c>
      <c r="C879" s="2">
        <v>3</v>
      </c>
      <c r="D879" s="2" t="s">
        <v>5452</v>
      </c>
      <c r="E879" s="2" t="s">
        <v>199</v>
      </c>
      <c r="F879" s="2" t="s">
        <v>19</v>
      </c>
      <c r="G879" t="s">
        <v>6191</v>
      </c>
      <c r="H879" t="str">
        <f>VLOOKUP('Combined table'!B879,products!$A$1:$G$49,2,FALSE)</f>
        <v>Lib</v>
      </c>
      <c r="I879" t="str">
        <f>VLOOKUP('Combined table'!B879,products!$A$1:$G$49,3,FALSE)</f>
        <v>L</v>
      </c>
      <c r="J879">
        <f>VLOOKUP('Combined table'!B879,products!$A$1:$G$49,4,FALSE)</f>
        <v>0.5</v>
      </c>
      <c r="K879">
        <f>VLOOKUP('Combined table'!B879,products!$A$1:$G$49,5,FALSE)</f>
        <v>9.51</v>
      </c>
      <c r="L879">
        <f>VLOOKUP('Combined table'!B879,products!$A$1:$G$49,6,FALSE)</f>
        <v>1.9019999999999999</v>
      </c>
      <c r="M879">
        <f>VLOOKUP('Combined table'!B879,products!$A$1:$G$49,7,FALSE)</f>
        <v>1.2363</v>
      </c>
      <c r="N879" t="str">
        <f>TEXT(A879,"mmm yyyy")</f>
        <v>Aug 2021</v>
      </c>
      <c r="O879">
        <f t="shared" si="13"/>
        <v>28.53</v>
      </c>
    </row>
    <row r="880" spans="1:15" x14ac:dyDescent="0.25">
      <c r="A880" s="3">
        <v>44323</v>
      </c>
      <c r="B880" t="s">
        <v>6142</v>
      </c>
      <c r="C880" s="2">
        <v>1</v>
      </c>
      <c r="D880" s="2" t="s">
        <v>5458</v>
      </c>
      <c r="E880" s="2" t="s">
        <v>105</v>
      </c>
      <c r="F880" s="2" t="s">
        <v>19</v>
      </c>
      <c r="G880" t="s">
        <v>6190</v>
      </c>
      <c r="H880" t="str">
        <f>VLOOKUP('Combined table'!B880,products!$A$1:$G$49,2,FALSE)</f>
        <v>Rob</v>
      </c>
      <c r="I880" t="str">
        <f>VLOOKUP('Combined table'!B880,products!$A$1:$G$49,3,FALSE)</f>
        <v>L</v>
      </c>
      <c r="J880">
        <f>VLOOKUP('Combined table'!B880,products!$A$1:$G$49,4,FALSE)</f>
        <v>2.5</v>
      </c>
      <c r="K880">
        <f>VLOOKUP('Combined table'!B880,products!$A$1:$G$49,5,FALSE)</f>
        <v>27.484999999999996</v>
      </c>
      <c r="L880">
        <f>VLOOKUP('Combined table'!B880,products!$A$1:$G$49,6,FALSE)</f>
        <v>1.0993999999999999</v>
      </c>
      <c r="M880">
        <f>VLOOKUP('Combined table'!B880,products!$A$1:$G$49,7,FALSE)</f>
        <v>1.6490999999999998</v>
      </c>
      <c r="N880" t="str">
        <f>TEXT(A880,"mmm yyyy")</f>
        <v>May 2021</v>
      </c>
      <c r="O880">
        <f t="shared" si="13"/>
        <v>27.484999999999996</v>
      </c>
    </row>
    <row r="881" spans="1:15" x14ac:dyDescent="0.25">
      <c r="A881" s="3">
        <v>43630</v>
      </c>
      <c r="B881" t="s">
        <v>6153</v>
      </c>
      <c r="C881" s="2">
        <v>3</v>
      </c>
      <c r="D881" s="2" t="s">
        <v>5463</v>
      </c>
      <c r="E881" s="2" t="s">
        <v>157</v>
      </c>
      <c r="F881" s="2" t="s">
        <v>19</v>
      </c>
      <c r="G881" t="s">
        <v>6191</v>
      </c>
      <c r="H881" t="str">
        <f>VLOOKUP('Combined table'!B881,products!$A$1:$G$49,2,FALSE)</f>
        <v>Exc</v>
      </c>
      <c r="I881" t="str">
        <f>VLOOKUP('Combined table'!B881,products!$A$1:$G$49,3,FALSE)</f>
        <v>D</v>
      </c>
      <c r="J881">
        <f>VLOOKUP('Combined table'!B881,products!$A$1:$G$49,4,FALSE)</f>
        <v>0.2</v>
      </c>
      <c r="K881">
        <f>VLOOKUP('Combined table'!B881,products!$A$1:$G$49,5,FALSE)</f>
        <v>3.645</v>
      </c>
      <c r="L881">
        <f>VLOOKUP('Combined table'!B881,products!$A$1:$G$49,6,FALSE)</f>
        <v>1.8225</v>
      </c>
      <c r="M881">
        <f>VLOOKUP('Combined table'!B881,products!$A$1:$G$49,7,FALSE)</f>
        <v>0.40095000000000003</v>
      </c>
      <c r="N881" t="str">
        <f>TEXT(A881,"mmm yyyy")</f>
        <v>Jun 2019</v>
      </c>
      <c r="O881">
        <f t="shared" si="13"/>
        <v>10.935</v>
      </c>
    </row>
    <row r="882" spans="1:15" x14ac:dyDescent="0.25">
      <c r="A882" s="3">
        <v>43790</v>
      </c>
      <c r="B882" t="s">
        <v>6178</v>
      </c>
      <c r="C882" s="2">
        <v>2</v>
      </c>
      <c r="D882" s="2" t="s">
        <v>5468</v>
      </c>
      <c r="E882" s="2" t="s">
        <v>156</v>
      </c>
      <c r="F882" s="2" t="s">
        <v>19</v>
      </c>
      <c r="G882" t="s">
        <v>6191</v>
      </c>
      <c r="H882" t="str">
        <f>VLOOKUP('Combined table'!B882,products!$A$1:$G$49,2,FALSE)</f>
        <v>Rob</v>
      </c>
      <c r="I882" t="str">
        <f>VLOOKUP('Combined table'!B882,products!$A$1:$G$49,3,FALSE)</f>
        <v>L</v>
      </c>
      <c r="J882">
        <f>VLOOKUP('Combined table'!B882,products!$A$1:$G$49,4,FALSE)</f>
        <v>0.2</v>
      </c>
      <c r="K882">
        <f>VLOOKUP('Combined table'!B882,products!$A$1:$G$49,5,FALSE)</f>
        <v>3.5849999999999995</v>
      </c>
      <c r="L882">
        <f>VLOOKUP('Combined table'!B882,products!$A$1:$G$49,6,FALSE)</f>
        <v>1.7924999999999998</v>
      </c>
      <c r="M882">
        <f>VLOOKUP('Combined table'!B882,products!$A$1:$G$49,7,FALSE)</f>
        <v>0.21509999999999996</v>
      </c>
      <c r="N882" t="str">
        <f>TEXT(A882,"mmm yyyy")</f>
        <v>Nov 2019</v>
      </c>
      <c r="O882">
        <f t="shared" si="13"/>
        <v>7.169999999999999</v>
      </c>
    </row>
    <row r="883" spans="1:15" x14ac:dyDescent="0.25">
      <c r="A883" s="3">
        <v>44286</v>
      </c>
      <c r="B883" t="s">
        <v>6167</v>
      </c>
      <c r="C883" s="2">
        <v>6</v>
      </c>
      <c r="D883" s="2" t="s">
        <v>5474</v>
      </c>
      <c r="E883" s="2" t="s">
        <v>252</v>
      </c>
      <c r="F883" s="2" t="s">
        <v>19</v>
      </c>
      <c r="G883" t="s">
        <v>6190</v>
      </c>
      <c r="H883" t="str">
        <f>VLOOKUP('Combined table'!B883,products!$A$1:$G$49,2,FALSE)</f>
        <v>Ara</v>
      </c>
      <c r="I883" t="str">
        <f>VLOOKUP('Combined table'!B883,products!$A$1:$G$49,3,FALSE)</f>
        <v>L</v>
      </c>
      <c r="J883">
        <f>VLOOKUP('Combined table'!B883,products!$A$1:$G$49,4,FALSE)</f>
        <v>0.2</v>
      </c>
      <c r="K883">
        <f>VLOOKUP('Combined table'!B883,products!$A$1:$G$49,5,FALSE)</f>
        <v>3.8849999999999998</v>
      </c>
      <c r="L883">
        <f>VLOOKUP('Combined table'!B883,products!$A$1:$G$49,6,FALSE)</f>
        <v>1.9424999999999999</v>
      </c>
      <c r="M883">
        <f>VLOOKUP('Combined table'!B883,products!$A$1:$G$49,7,FALSE)</f>
        <v>0.34964999999999996</v>
      </c>
      <c r="N883" t="str">
        <f>TEXT(A883,"mmm yyyy")</f>
        <v>Mar 2021</v>
      </c>
      <c r="O883">
        <f t="shared" si="13"/>
        <v>23.31</v>
      </c>
    </row>
    <row r="884" spans="1:15" x14ac:dyDescent="0.25">
      <c r="A884" s="3">
        <v>43647</v>
      </c>
      <c r="B884" t="s">
        <v>6168</v>
      </c>
      <c r="C884" s="2">
        <v>5</v>
      </c>
      <c r="D884" s="2" t="s">
        <v>5479</v>
      </c>
      <c r="E884" s="2" t="s">
        <v>84</v>
      </c>
      <c r="F884" s="2" t="s">
        <v>19</v>
      </c>
      <c r="G884" t="s">
        <v>6191</v>
      </c>
      <c r="H884" t="str">
        <f>VLOOKUP('Combined table'!B884,products!$A$1:$G$49,2,FALSE)</f>
        <v>Ara</v>
      </c>
      <c r="I884" t="str">
        <f>VLOOKUP('Combined table'!B884,products!$A$1:$G$49,3,FALSE)</f>
        <v>D</v>
      </c>
      <c r="J884">
        <f>VLOOKUP('Combined table'!B884,products!$A$1:$G$49,4,FALSE)</f>
        <v>2.5</v>
      </c>
      <c r="K884">
        <f>VLOOKUP('Combined table'!B884,products!$A$1:$G$49,5,FALSE)</f>
        <v>22.884999999999998</v>
      </c>
      <c r="L884">
        <f>VLOOKUP('Combined table'!B884,products!$A$1:$G$49,6,FALSE)</f>
        <v>0.91539999999999988</v>
      </c>
      <c r="M884">
        <f>VLOOKUP('Combined table'!B884,products!$A$1:$G$49,7,FALSE)</f>
        <v>2.0596499999999995</v>
      </c>
      <c r="N884" t="str">
        <f>TEXT(A884,"mmm yyyy")</f>
        <v>Jul 2019</v>
      </c>
      <c r="O884">
        <f t="shared" si="13"/>
        <v>114.42499999999998</v>
      </c>
    </row>
    <row r="885" spans="1:15" x14ac:dyDescent="0.25">
      <c r="A885" s="3">
        <v>43956</v>
      </c>
      <c r="B885" t="s">
        <v>6175</v>
      </c>
      <c r="C885" s="2">
        <v>3</v>
      </c>
      <c r="D885" s="2" t="s">
        <v>5485</v>
      </c>
      <c r="E885" s="2" t="s">
        <v>90</v>
      </c>
      <c r="F885" s="2" t="s">
        <v>19</v>
      </c>
      <c r="G885" t="s">
        <v>6190</v>
      </c>
      <c r="H885" t="str">
        <f>VLOOKUP('Combined table'!B885,products!$A$1:$G$49,2,FALSE)</f>
        <v>Ara</v>
      </c>
      <c r="I885" t="str">
        <f>VLOOKUP('Combined table'!B885,products!$A$1:$G$49,3,FALSE)</f>
        <v>M</v>
      </c>
      <c r="J885">
        <f>VLOOKUP('Combined table'!B885,products!$A$1:$G$49,4,FALSE)</f>
        <v>2.5</v>
      </c>
      <c r="K885">
        <f>VLOOKUP('Combined table'!B885,products!$A$1:$G$49,5,FALSE)</f>
        <v>25.874999999999996</v>
      </c>
      <c r="L885">
        <f>VLOOKUP('Combined table'!B885,products!$A$1:$G$49,6,FALSE)</f>
        <v>1.0349999999999999</v>
      </c>
      <c r="M885">
        <f>VLOOKUP('Combined table'!B885,products!$A$1:$G$49,7,FALSE)</f>
        <v>2.3287499999999994</v>
      </c>
      <c r="N885" t="str">
        <f>TEXT(A885,"mmm yyyy")</f>
        <v>May 2020</v>
      </c>
      <c r="O885">
        <f t="shared" si="13"/>
        <v>77.624999999999986</v>
      </c>
    </row>
    <row r="886" spans="1:15" x14ac:dyDescent="0.25">
      <c r="A886" s="3">
        <v>43941</v>
      </c>
      <c r="B886" t="s">
        <v>6172</v>
      </c>
      <c r="C886" s="2">
        <v>1</v>
      </c>
      <c r="D886" s="2" t="s">
        <v>5491</v>
      </c>
      <c r="E886" s="2" t="s">
        <v>30</v>
      </c>
      <c r="F886" s="2" t="s">
        <v>19</v>
      </c>
      <c r="G886" t="s">
        <v>6190</v>
      </c>
      <c r="H886" t="str">
        <f>VLOOKUP('Combined table'!B886,products!$A$1:$G$49,2,FALSE)</f>
        <v>Rob</v>
      </c>
      <c r="I886" t="str">
        <f>VLOOKUP('Combined table'!B886,products!$A$1:$G$49,3,FALSE)</f>
        <v>D</v>
      </c>
      <c r="J886">
        <f>VLOOKUP('Combined table'!B886,products!$A$1:$G$49,4,FALSE)</f>
        <v>0.5</v>
      </c>
      <c r="K886">
        <f>VLOOKUP('Combined table'!B886,products!$A$1:$G$49,5,FALSE)</f>
        <v>5.3699999999999992</v>
      </c>
      <c r="L886">
        <f>VLOOKUP('Combined table'!B886,products!$A$1:$G$49,6,FALSE)</f>
        <v>1.0739999999999998</v>
      </c>
      <c r="M886">
        <f>VLOOKUP('Combined table'!B886,products!$A$1:$G$49,7,FALSE)</f>
        <v>0.32219999999999993</v>
      </c>
      <c r="N886" t="str">
        <f>TEXT(A886,"mmm yyyy")</f>
        <v>Apr 2020</v>
      </c>
      <c r="O886">
        <f t="shared" si="13"/>
        <v>5.3699999999999992</v>
      </c>
    </row>
    <row r="887" spans="1:15" x14ac:dyDescent="0.25">
      <c r="A887" s="3">
        <v>43664</v>
      </c>
      <c r="B887" t="s">
        <v>6149</v>
      </c>
      <c r="C887" s="2">
        <v>6</v>
      </c>
      <c r="D887" s="2" t="s">
        <v>5497</v>
      </c>
      <c r="E887" s="2" t="s">
        <v>464</v>
      </c>
      <c r="F887" s="2" t="s">
        <v>318</v>
      </c>
      <c r="G887" t="s">
        <v>6191</v>
      </c>
      <c r="H887" t="str">
        <f>VLOOKUP('Combined table'!B887,products!$A$1:$G$49,2,FALSE)</f>
        <v>Rob</v>
      </c>
      <c r="I887" t="str">
        <f>VLOOKUP('Combined table'!B887,products!$A$1:$G$49,3,FALSE)</f>
        <v>D</v>
      </c>
      <c r="J887">
        <f>VLOOKUP('Combined table'!B887,products!$A$1:$G$49,4,FALSE)</f>
        <v>2.5</v>
      </c>
      <c r="K887">
        <f>VLOOKUP('Combined table'!B887,products!$A$1:$G$49,5,FALSE)</f>
        <v>20.584999999999997</v>
      </c>
      <c r="L887">
        <f>VLOOKUP('Combined table'!B887,products!$A$1:$G$49,6,FALSE)</f>
        <v>0.82339999999999991</v>
      </c>
      <c r="M887">
        <f>VLOOKUP('Combined table'!B887,products!$A$1:$G$49,7,FALSE)</f>
        <v>1.2350999999999999</v>
      </c>
      <c r="N887" t="str">
        <f>TEXT(A887,"mmm yyyy")</f>
        <v>Jul 2019</v>
      </c>
      <c r="O887">
        <f t="shared" si="13"/>
        <v>123.50999999999999</v>
      </c>
    </row>
    <row r="888" spans="1:15" x14ac:dyDescent="0.25">
      <c r="A888" s="3">
        <v>44518</v>
      </c>
      <c r="B888" t="s">
        <v>6160</v>
      </c>
      <c r="C888" s="2">
        <v>2</v>
      </c>
      <c r="D888" s="2" t="s">
        <v>5503</v>
      </c>
      <c r="E888" s="2" t="s">
        <v>150</v>
      </c>
      <c r="F888" s="2" t="s">
        <v>19</v>
      </c>
      <c r="G888" t="s">
        <v>6191</v>
      </c>
      <c r="H888" t="str">
        <f>VLOOKUP('Combined table'!B888,products!$A$1:$G$49,2,FALSE)</f>
        <v>Lib</v>
      </c>
      <c r="I888" t="str">
        <f>VLOOKUP('Combined table'!B888,products!$A$1:$G$49,3,FALSE)</f>
        <v>M</v>
      </c>
      <c r="J888">
        <f>VLOOKUP('Combined table'!B888,products!$A$1:$G$49,4,FALSE)</f>
        <v>0.5</v>
      </c>
      <c r="K888">
        <f>VLOOKUP('Combined table'!B888,products!$A$1:$G$49,5,FALSE)</f>
        <v>8.73</v>
      </c>
      <c r="L888">
        <f>VLOOKUP('Combined table'!B888,products!$A$1:$G$49,6,FALSE)</f>
        <v>1.746</v>
      </c>
      <c r="M888">
        <f>VLOOKUP('Combined table'!B888,products!$A$1:$G$49,7,FALSE)</f>
        <v>1.1349</v>
      </c>
      <c r="N888" t="str">
        <f>TEXT(A888,"mmm yyyy")</f>
        <v>Nov 2021</v>
      </c>
      <c r="O888">
        <f t="shared" si="13"/>
        <v>17.46</v>
      </c>
    </row>
    <row r="889" spans="1:15" x14ac:dyDescent="0.25">
      <c r="A889" s="3">
        <v>44002</v>
      </c>
      <c r="B889" t="s">
        <v>6184</v>
      </c>
      <c r="C889" s="2">
        <v>3</v>
      </c>
      <c r="D889" s="2" t="s">
        <v>5509</v>
      </c>
      <c r="E889" s="2" t="s">
        <v>119</v>
      </c>
      <c r="F889" s="2" t="s">
        <v>19</v>
      </c>
      <c r="G889" t="s">
        <v>6191</v>
      </c>
      <c r="H889" t="str">
        <f>VLOOKUP('Combined table'!B889,products!$A$1:$G$49,2,FALSE)</f>
        <v>Exc</v>
      </c>
      <c r="I889" t="str">
        <f>VLOOKUP('Combined table'!B889,products!$A$1:$G$49,3,FALSE)</f>
        <v>L</v>
      </c>
      <c r="J889">
        <f>VLOOKUP('Combined table'!B889,products!$A$1:$G$49,4,FALSE)</f>
        <v>0.2</v>
      </c>
      <c r="K889">
        <f>VLOOKUP('Combined table'!B889,products!$A$1:$G$49,5,FALSE)</f>
        <v>4.4550000000000001</v>
      </c>
      <c r="L889">
        <f>VLOOKUP('Combined table'!B889,products!$A$1:$G$49,6,FALSE)</f>
        <v>2.2275</v>
      </c>
      <c r="M889">
        <f>VLOOKUP('Combined table'!B889,products!$A$1:$G$49,7,FALSE)</f>
        <v>0.49004999999999999</v>
      </c>
      <c r="N889" t="str">
        <f>TEXT(A889,"mmm yyyy")</f>
        <v>Jun 2020</v>
      </c>
      <c r="O889">
        <f t="shared" si="13"/>
        <v>13.365</v>
      </c>
    </row>
    <row r="890" spans="1:15" x14ac:dyDescent="0.25">
      <c r="A890" s="3">
        <v>44292</v>
      </c>
      <c r="B890" t="s">
        <v>6167</v>
      </c>
      <c r="C890" s="2">
        <v>2</v>
      </c>
      <c r="D890" s="2" t="s">
        <v>5515</v>
      </c>
      <c r="E890" s="2" t="s">
        <v>150</v>
      </c>
      <c r="F890" s="2" t="s">
        <v>19</v>
      </c>
      <c r="G890" t="s">
        <v>6190</v>
      </c>
      <c r="H890" t="str">
        <f>VLOOKUP('Combined table'!B890,products!$A$1:$G$49,2,FALSE)</f>
        <v>Ara</v>
      </c>
      <c r="I890" t="str">
        <f>VLOOKUP('Combined table'!B890,products!$A$1:$G$49,3,FALSE)</f>
        <v>L</v>
      </c>
      <c r="J890">
        <f>VLOOKUP('Combined table'!B890,products!$A$1:$G$49,4,FALSE)</f>
        <v>0.2</v>
      </c>
      <c r="K890">
        <f>VLOOKUP('Combined table'!B890,products!$A$1:$G$49,5,FALSE)</f>
        <v>3.8849999999999998</v>
      </c>
      <c r="L890">
        <f>VLOOKUP('Combined table'!B890,products!$A$1:$G$49,6,FALSE)</f>
        <v>1.9424999999999999</v>
      </c>
      <c r="M890">
        <f>VLOOKUP('Combined table'!B890,products!$A$1:$G$49,7,FALSE)</f>
        <v>0.34964999999999996</v>
      </c>
      <c r="N890" t="str">
        <f>TEXT(A890,"mmm yyyy")</f>
        <v>Apr 2021</v>
      </c>
      <c r="O890">
        <f t="shared" si="13"/>
        <v>7.77</v>
      </c>
    </row>
    <row r="891" spans="1:15" x14ac:dyDescent="0.25">
      <c r="A891" s="3">
        <v>43633</v>
      </c>
      <c r="B891" t="s">
        <v>6163</v>
      </c>
      <c r="C891" s="2">
        <v>1</v>
      </c>
      <c r="D891" s="2" t="s">
        <v>5521</v>
      </c>
      <c r="E891" s="2" t="s">
        <v>132</v>
      </c>
      <c r="F891" s="2" t="s">
        <v>19</v>
      </c>
      <c r="G891" t="s">
        <v>6190</v>
      </c>
      <c r="H891" t="str">
        <f>VLOOKUP('Combined table'!B891,products!$A$1:$G$49,2,FALSE)</f>
        <v>Rob</v>
      </c>
      <c r="I891" t="str">
        <f>VLOOKUP('Combined table'!B891,products!$A$1:$G$49,3,FALSE)</f>
        <v>D</v>
      </c>
      <c r="J891">
        <f>VLOOKUP('Combined table'!B891,products!$A$1:$G$49,4,FALSE)</f>
        <v>0.2</v>
      </c>
      <c r="K891">
        <f>VLOOKUP('Combined table'!B891,products!$A$1:$G$49,5,FALSE)</f>
        <v>2.6849999999999996</v>
      </c>
      <c r="L891">
        <f>VLOOKUP('Combined table'!B891,products!$A$1:$G$49,6,FALSE)</f>
        <v>1.3424999999999998</v>
      </c>
      <c r="M891">
        <f>VLOOKUP('Combined table'!B891,products!$A$1:$G$49,7,FALSE)</f>
        <v>0.16109999999999997</v>
      </c>
      <c r="N891" t="str">
        <f>TEXT(A891,"mmm yyyy")</f>
        <v>Jun 2019</v>
      </c>
      <c r="O891">
        <f t="shared" si="13"/>
        <v>2.6849999999999996</v>
      </c>
    </row>
    <row r="892" spans="1:15" x14ac:dyDescent="0.25">
      <c r="A892" s="3">
        <v>44646</v>
      </c>
      <c r="B892" t="s">
        <v>6149</v>
      </c>
      <c r="C892" s="2">
        <v>1</v>
      </c>
      <c r="D892" s="2" t="s">
        <v>5527</v>
      </c>
      <c r="E892" s="2" t="s">
        <v>42</v>
      </c>
      <c r="F892" s="2" t="s">
        <v>19</v>
      </c>
      <c r="G892" t="s">
        <v>6190</v>
      </c>
      <c r="H892" t="str">
        <f>VLOOKUP('Combined table'!B892,products!$A$1:$G$49,2,FALSE)</f>
        <v>Rob</v>
      </c>
      <c r="I892" t="str">
        <f>VLOOKUP('Combined table'!B892,products!$A$1:$G$49,3,FALSE)</f>
        <v>D</v>
      </c>
      <c r="J892">
        <f>VLOOKUP('Combined table'!B892,products!$A$1:$G$49,4,FALSE)</f>
        <v>2.5</v>
      </c>
      <c r="K892">
        <f>VLOOKUP('Combined table'!B892,products!$A$1:$G$49,5,FALSE)</f>
        <v>20.584999999999997</v>
      </c>
      <c r="L892">
        <f>VLOOKUP('Combined table'!B892,products!$A$1:$G$49,6,FALSE)</f>
        <v>0.82339999999999991</v>
      </c>
      <c r="M892">
        <f>VLOOKUP('Combined table'!B892,products!$A$1:$G$49,7,FALSE)</f>
        <v>1.2350999999999999</v>
      </c>
      <c r="N892" t="str">
        <f>TEXT(A892,"mmm yyyy")</f>
        <v>Mar 2022</v>
      </c>
      <c r="O892">
        <f t="shared" si="13"/>
        <v>20.584999999999997</v>
      </c>
    </row>
    <row r="893" spans="1:15" x14ac:dyDescent="0.25">
      <c r="A893" s="3">
        <v>44469</v>
      </c>
      <c r="B893" t="s">
        <v>6168</v>
      </c>
      <c r="C893" s="2">
        <v>5</v>
      </c>
      <c r="D893" s="2" t="s">
        <v>5533</v>
      </c>
      <c r="E893" s="2" t="s">
        <v>58</v>
      </c>
      <c r="F893" s="2" t="s">
        <v>19</v>
      </c>
      <c r="G893" t="s">
        <v>6190</v>
      </c>
      <c r="H893" t="str">
        <f>VLOOKUP('Combined table'!B893,products!$A$1:$G$49,2,FALSE)</f>
        <v>Ara</v>
      </c>
      <c r="I893" t="str">
        <f>VLOOKUP('Combined table'!B893,products!$A$1:$G$49,3,FALSE)</f>
        <v>D</v>
      </c>
      <c r="J893">
        <f>VLOOKUP('Combined table'!B893,products!$A$1:$G$49,4,FALSE)</f>
        <v>2.5</v>
      </c>
      <c r="K893">
        <f>VLOOKUP('Combined table'!B893,products!$A$1:$G$49,5,FALSE)</f>
        <v>22.884999999999998</v>
      </c>
      <c r="L893">
        <f>VLOOKUP('Combined table'!B893,products!$A$1:$G$49,6,FALSE)</f>
        <v>0.91539999999999988</v>
      </c>
      <c r="M893">
        <f>VLOOKUP('Combined table'!B893,products!$A$1:$G$49,7,FALSE)</f>
        <v>2.0596499999999995</v>
      </c>
      <c r="N893" t="str">
        <f>TEXT(A893,"mmm yyyy")</f>
        <v>Sep 2021</v>
      </c>
      <c r="O893">
        <f t="shared" si="13"/>
        <v>114.42499999999998</v>
      </c>
    </row>
    <row r="894" spans="1:15" x14ac:dyDescent="0.25">
      <c r="A894" s="3">
        <v>43635</v>
      </c>
      <c r="B894" t="s">
        <v>6156</v>
      </c>
      <c r="C894" s="2">
        <v>5</v>
      </c>
      <c r="D894" s="2" t="s">
        <v>5539</v>
      </c>
      <c r="E894" s="2" t="s">
        <v>305</v>
      </c>
      <c r="F894" s="2" t="s">
        <v>28</v>
      </c>
      <c r="G894" t="s">
        <v>6191</v>
      </c>
      <c r="H894" t="str">
        <f>VLOOKUP('Combined table'!B894,products!$A$1:$G$49,2,FALSE)</f>
        <v>Exc</v>
      </c>
      <c r="I894" t="str">
        <f>VLOOKUP('Combined table'!B894,products!$A$1:$G$49,3,FALSE)</f>
        <v>M</v>
      </c>
      <c r="J894">
        <f>VLOOKUP('Combined table'!B894,products!$A$1:$G$49,4,FALSE)</f>
        <v>0.2</v>
      </c>
      <c r="K894">
        <f>VLOOKUP('Combined table'!B894,products!$A$1:$G$49,5,FALSE)</f>
        <v>4.125</v>
      </c>
      <c r="L894">
        <f>VLOOKUP('Combined table'!B894,products!$A$1:$G$49,6,FALSE)</f>
        <v>2.0625</v>
      </c>
      <c r="M894">
        <f>VLOOKUP('Combined table'!B894,products!$A$1:$G$49,7,FALSE)</f>
        <v>0.45374999999999999</v>
      </c>
      <c r="N894" t="str">
        <f>TEXT(A894,"mmm yyyy")</f>
        <v>Jun 2019</v>
      </c>
      <c r="O894">
        <f t="shared" si="13"/>
        <v>20.625</v>
      </c>
    </row>
    <row r="895" spans="1:15" x14ac:dyDescent="0.25">
      <c r="A895" s="3">
        <v>44651</v>
      </c>
      <c r="B895" t="s">
        <v>6161</v>
      </c>
      <c r="C895" s="2">
        <v>6</v>
      </c>
      <c r="D895" s="2" t="s">
        <v>5545</v>
      </c>
      <c r="E895" s="2" t="s">
        <v>108</v>
      </c>
      <c r="F895" s="2" t="s">
        <v>19</v>
      </c>
      <c r="G895" t="s">
        <v>6190</v>
      </c>
      <c r="H895" t="str">
        <f>VLOOKUP('Combined table'!B895,products!$A$1:$G$49,2,FALSE)</f>
        <v>Lib</v>
      </c>
      <c r="I895" t="str">
        <f>VLOOKUP('Combined table'!B895,products!$A$1:$G$49,3,FALSE)</f>
        <v>L</v>
      </c>
      <c r="J895">
        <f>VLOOKUP('Combined table'!B895,products!$A$1:$G$49,4,FALSE)</f>
        <v>0.5</v>
      </c>
      <c r="K895">
        <f>VLOOKUP('Combined table'!B895,products!$A$1:$G$49,5,FALSE)</f>
        <v>9.51</v>
      </c>
      <c r="L895">
        <f>VLOOKUP('Combined table'!B895,products!$A$1:$G$49,6,FALSE)</f>
        <v>1.9019999999999999</v>
      </c>
      <c r="M895">
        <f>VLOOKUP('Combined table'!B895,products!$A$1:$G$49,7,FALSE)</f>
        <v>1.2363</v>
      </c>
      <c r="N895" t="str">
        <f>TEXT(A895,"mmm yyyy")</f>
        <v>Mar 2022</v>
      </c>
      <c r="O895">
        <f t="shared" si="13"/>
        <v>57.06</v>
      </c>
    </row>
    <row r="896" spans="1:15" x14ac:dyDescent="0.25">
      <c r="A896" s="3">
        <v>44016</v>
      </c>
      <c r="B896" t="s">
        <v>6149</v>
      </c>
      <c r="C896" s="2">
        <v>4</v>
      </c>
      <c r="D896" s="2" t="s">
        <v>5550</v>
      </c>
      <c r="E896" s="2" t="s">
        <v>481</v>
      </c>
      <c r="F896" s="2" t="s">
        <v>318</v>
      </c>
      <c r="G896" t="s">
        <v>6190</v>
      </c>
      <c r="H896" t="str">
        <f>VLOOKUP('Combined table'!B896,products!$A$1:$G$49,2,FALSE)</f>
        <v>Rob</v>
      </c>
      <c r="I896" t="str">
        <f>VLOOKUP('Combined table'!B896,products!$A$1:$G$49,3,FALSE)</f>
        <v>D</v>
      </c>
      <c r="J896">
        <f>VLOOKUP('Combined table'!B896,products!$A$1:$G$49,4,FALSE)</f>
        <v>2.5</v>
      </c>
      <c r="K896">
        <f>VLOOKUP('Combined table'!B896,products!$A$1:$G$49,5,FALSE)</f>
        <v>20.584999999999997</v>
      </c>
      <c r="L896">
        <f>VLOOKUP('Combined table'!B896,products!$A$1:$G$49,6,FALSE)</f>
        <v>0.82339999999999991</v>
      </c>
      <c r="M896">
        <f>VLOOKUP('Combined table'!B896,products!$A$1:$G$49,7,FALSE)</f>
        <v>1.2350999999999999</v>
      </c>
      <c r="N896" t="str">
        <f>TEXT(A896,"mmm yyyy")</f>
        <v>Jul 2020</v>
      </c>
      <c r="O896">
        <f t="shared" si="13"/>
        <v>82.339999999999989</v>
      </c>
    </row>
    <row r="897" spans="1:15" x14ac:dyDescent="0.25">
      <c r="A897" s="3">
        <v>44521</v>
      </c>
      <c r="B897" t="s">
        <v>6166</v>
      </c>
      <c r="C897" s="2">
        <v>5</v>
      </c>
      <c r="D897" s="2" t="s">
        <v>5555</v>
      </c>
      <c r="E897" s="2" t="s">
        <v>57</v>
      </c>
      <c r="F897" s="2" t="s">
        <v>19</v>
      </c>
      <c r="G897" t="s">
        <v>6191</v>
      </c>
      <c r="H897" t="str">
        <f>VLOOKUP('Combined table'!B897,products!$A$1:$G$49,2,FALSE)</f>
        <v>Exc</v>
      </c>
      <c r="I897" t="str">
        <f>VLOOKUP('Combined table'!B897,products!$A$1:$G$49,3,FALSE)</f>
        <v>M</v>
      </c>
      <c r="J897">
        <f>VLOOKUP('Combined table'!B897,products!$A$1:$G$49,4,FALSE)</f>
        <v>2.5</v>
      </c>
      <c r="K897">
        <f>VLOOKUP('Combined table'!B897,products!$A$1:$G$49,5,FALSE)</f>
        <v>31.624999999999996</v>
      </c>
      <c r="L897">
        <f>VLOOKUP('Combined table'!B897,products!$A$1:$G$49,6,FALSE)</f>
        <v>1.2649999999999999</v>
      </c>
      <c r="M897">
        <f>VLOOKUP('Combined table'!B897,products!$A$1:$G$49,7,FALSE)</f>
        <v>3.4787499999999998</v>
      </c>
      <c r="N897" t="str">
        <f>TEXT(A897,"mmm yyyy")</f>
        <v>Nov 2021</v>
      </c>
      <c r="O897">
        <f t="shared" si="13"/>
        <v>158.12499999999997</v>
      </c>
    </row>
    <row r="898" spans="1:15" x14ac:dyDescent="0.25">
      <c r="A898" s="3">
        <v>44347</v>
      </c>
      <c r="B898" t="s">
        <v>6172</v>
      </c>
      <c r="C898" s="2">
        <v>6</v>
      </c>
      <c r="D898" s="2" t="s">
        <v>5560</v>
      </c>
      <c r="E898" s="2" t="s">
        <v>105</v>
      </c>
      <c r="F898" s="2" t="s">
        <v>19</v>
      </c>
      <c r="G898" t="s">
        <v>6190</v>
      </c>
      <c r="H898" t="str">
        <f>VLOOKUP('Combined table'!B898,products!$A$1:$G$49,2,FALSE)</f>
        <v>Rob</v>
      </c>
      <c r="I898" t="str">
        <f>VLOOKUP('Combined table'!B898,products!$A$1:$G$49,3,FALSE)</f>
        <v>D</v>
      </c>
      <c r="J898">
        <f>VLOOKUP('Combined table'!B898,products!$A$1:$G$49,4,FALSE)</f>
        <v>0.5</v>
      </c>
      <c r="K898">
        <f>VLOOKUP('Combined table'!B898,products!$A$1:$G$49,5,FALSE)</f>
        <v>5.3699999999999992</v>
      </c>
      <c r="L898">
        <f>VLOOKUP('Combined table'!B898,products!$A$1:$G$49,6,FALSE)</f>
        <v>1.0739999999999998</v>
      </c>
      <c r="M898">
        <f>VLOOKUP('Combined table'!B898,products!$A$1:$G$49,7,FALSE)</f>
        <v>0.32219999999999993</v>
      </c>
      <c r="N898" t="str">
        <f>TEXT(A898,"mmm yyyy")</f>
        <v>May 2021</v>
      </c>
      <c r="O898">
        <f t="shared" si="13"/>
        <v>32.22</v>
      </c>
    </row>
    <row r="899" spans="1:15" x14ac:dyDescent="0.25">
      <c r="A899" s="3">
        <v>43932</v>
      </c>
      <c r="B899" t="s">
        <v>6183</v>
      </c>
      <c r="C899" s="2">
        <v>2</v>
      </c>
      <c r="D899" s="2" t="s">
        <v>5566</v>
      </c>
      <c r="E899" s="2" t="s">
        <v>144</v>
      </c>
      <c r="F899" s="2" t="s">
        <v>28</v>
      </c>
      <c r="G899" t="s">
        <v>6191</v>
      </c>
      <c r="H899" t="str">
        <f>VLOOKUP('Combined table'!B899,products!$A$1:$G$49,2,FALSE)</f>
        <v>Exc</v>
      </c>
      <c r="I899" t="str">
        <f>VLOOKUP('Combined table'!B899,products!$A$1:$G$49,3,FALSE)</f>
        <v>D</v>
      </c>
      <c r="J899">
        <f>VLOOKUP('Combined table'!B899,products!$A$1:$G$49,4,FALSE)</f>
        <v>1</v>
      </c>
      <c r="K899">
        <f>VLOOKUP('Combined table'!B899,products!$A$1:$G$49,5,FALSE)</f>
        <v>12.15</v>
      </c>
      <c r="L899">
        <f>VLOOKUP('Combined table'!B899,products!$A$1:$G$49,6,FALSE)</f>
        <v>1.2150000000000001</v>
      </c>
      <c r="M899">
        <f>VLOOKUP('Combined table'!B899,products!$A$1:$G$49,7,FALSE)</f>
        <v>1.3365</v>
      </c>
      <c r="N899" t="str">
        <f>TEXT(A899,"mmm yyyy")</f>
        <v>Apr 2020</v>
      </c>
      <c r="O899">
        <f t="shared" ref="O899:O962" si="14">C899*K899</f>
        <v>24.3</v>
      </c>
    </row>
    <row r="900" spans="1:15" x14ac:dyDescent="0.25">
      <c r="A900" s="3">
        <v>44089</v>
      </c>
      <c r="B900" t="s">
        <v>6173</v>
      </c>
      <c r="C900" s="2">
        <v>5</v>
      </c>
      <c r="D900" s="2" t="s">
        <v>5572</v>
      </c>
      <c r="E900" s="2" t="s">
        <v>276</v>
      </c>
      <c r="F900" s="2" t="s">
        <v>19</v>
      </c>
      <c r="G900" t="s">
        <v>6191</v>
      </c>
      <c r="H900" t="str">
        <f>VLOOKUP('Combined table'!B900,products!$A$1:$G$49,2,FALSE)</f>
        <v>Rob</v>
      </c>
      <c r="I900" t="str">
        <f>VLOOKUP('Combined table'!B900,products!$A$1:$G$49,3,FALSE)</f>
        <v>L</v>
      </c>
      <c r="J900">
        <f>VLOOKUP('Combined table'!B900,products!$A$1:$G$49,4,FALSE)</f>
        <v>0.5</v>
      </c>
      <c r="K900">
        <f>VLOOKUP('Combined table'!B900,products!$A$1:$G$49,5,FALSE)</f>
        <v>7.169999999999999</v>
      </c>
      <c r="L900">
        <f>VLOOKUP('Combined table'!B900,products!$A$1:$G$49,6,FALSE)</f>
        <v>1.4339999999999997</v>
      </c>
      <c r="M900">
        <f>VLOOKUP('Combined table'!B900,products!$A$1:$G$49,7,FALSE)</f>
        <v>0.43019999999999992</v>
      </c>
      <c r="N900" t="str">
        <f>TEXT(A900,"mmm yyyy")</f>
        <v>Sep 2020</v>
      </c>
      <c r="O900">
        <f t="shared" si="14"/>
        <v>35.849999999999994</v>
      </c>
    </row>
    <row r="901" spans="1:15" x14ac:dyDescent="0.25">
      <c r="A901" s="3">
        <v>44523</v>
      </c>
      <c r="B901" t="s">
        <v>6162</v>
      </c>
      <c r="C901" s="2">
        <v>5</v>
      </c>
      <c r="D901" s="2" t="s">
        <v>5577</v>
      </c>
      <c r="E901" s="2" t="s">
        <v>437</v>
      </c>
      <c r="F901" s="2" t="s">
        <v>318</v>
      </c>
      <c r="G901" t="s">
        <v>6190</v>
      </c>
      <c r="H901" t="str">
        <f>VLOOKUP('Combined table'!B901,products!$A$1:$G$49,2,FALSE)</f>
        <v>Lib</v>
      </c>
      <c r="I901" t="str">
        <f>VLOOKUP('Combined table'!B901,products!$A$1:$G$49,3,FALSE)</f>
        <v>M</v>
      </c>
      <c r="J901">
        <f>VLOOKUP('Combined table'!B901,products!$A$1:$G$49,4,FALSE)</f>
        <v>1</v>
      </c>
      <c r="K901">
        <f>VLOOKUP('Combined table'!B901,products!$A$1:$G$49,5,FALSE)</f>
        <v>14.55</v>
      </c>
      <c r="L901">
        <f>VLOOKUP('Combined table'!B901,products!$A$1:$G$49,6,FALSE)</f>
        <v>1.4550000000000001</v>
      </c>
      <c r="M901">
        <f>VLOOKUP('Combined table'!B901,products!$A$1:$G$49,7,FALSE)</f>
        <v>1.8915000000000002</v>
      </c>
      <c r="N901" t="str">
        <f>TEXT(A901,"mmm yyyy")</f>
        <v>Nov 2021</v>
      </c>
      <c r="O901">
        <f t="shared" si="14"/>
        <v>72.75</v>
      </c>
    </row>
    <row r="902" spans="1:15" x14ac:dyDescent="0.25">
      <c r="A902" s="3">
        <v>44584</v>
      </c>
      <c r="B902" t="s">
        <v>6170</v>
      </c>
      <c r="C902" s="2">
        <v>3</v>
      </c>
      <c r="D902" s="2" t="s">
        <v>5582</v>
      </c>
      <c r="E902" s="2" t="s">
        <v>409</v>
      </c>
      <c r="F902" s="2" t="s">
        <v>318</v>
      </c>
      <c r="G902" t="s">
        <v>6191</v>
      </c>
      <c r="H902" t="str">
        <f>VLOOKUP('Combined table'!B902,products!$A$1:$G$49,2,FALSE)</f>
        <v>Lib</v>
      </c>
      <c r="I902" t="str">
        <f>VLOOKUP('Combined table'!B902,products!$A$1:$G$49,3,FALSE)</f>
        <v>L</v>
      </c>
      <c r="J902">
        <f>VLOOKUP('Combined table'!B902,products!$A$1:$G$49,4,FALSE)</f>
        <v>1</v>
      </c>
      <c r="K902">
        <f>VLOOKUP('Combined table'!B902,products!$A$1:$G$49,5,FALSE)</f>
        <v>15.85</v>
      </c>
      <c r="L902">
        <f>VLOOKUP('Combined table'!B902,products!$A$1:$G$49,6,FALSE)</f>
        <v>1.585</v>
      </c>
      <c r="M902">
        <f>VLOOKUP('Combined table'!B902,products!$A$1:$G$49,7,FALSE)</f>
        <v>2.0605000000000002</v>
      </c>
      <c r="N902" t="str">
        <f>TEXT(A902,"mmm yyyy")</f>
        <v>Jan 2022</v>
      </c>
      <c r="O902">
        <f t="shared" si="14"/>
        <v>47.55</v>
      </c>
    </row>
    <row r="903" spans="1:15" x14ac:dyDescent="0.25">
      <c r="A903" s="3">
        <v>44223</v>
      </c>
      <c r="B903" t="s">
        <v>6178</v>
      </c>
      <c r="C903" s="2">
        <v>1</v>
      </c>
      <c r="D903" s="2" t="s">
        <v>5587</v>
      </c>
      <c r="E903" s="2" t="s">
        <v>63</v>
      </c>
      <c r="F903" s="2" t="s">
        <v>19</v>
      </c>
      <c r="G903" t="s">
        <v>6190</v>
      </c>
      <c r="H903" t="str">
        <f>VLOOKUP('Combined table'!B903,products!$A$1:$G$49,2,FALSE)</f>
        <v>Rob</v>
      </c>
      <c r="I903" t="str">
        <f>VLOOKUP('Combined table'!B903,products!$A$1:$G$49,3,FALSE)</f>
        <v>L</v>
      </c>
      <c r="J903">
        <f>VLOOKUP('Combined table'!B903,products!$A$1:$G$49,4,FALSE)</f>
        <v>0.2</v>
      </c>
      <c r="K903">
        <f>VLOOKUP('Combined table'!B903,products!$A$1:$G$49,5,FALSE)</f>
        <v>3.5849999999999995</v>
      </c>
      <c r="L903">
        <f>VLOOKUP('Combined table'!B903,products!$A$1:$G$49,6,FALSE)</f>
        <v>1.7924999999999998</v>
      </c>
      <c r="M903">
        <f>VLOOKUP('Combined table'!B903,products!$A$1:$G$49,7,FALSE)</f>
        <v>0.21509999999999996</v>
      </c>
      <c r="N903" t="str">
        <f>TEXT(A903,"mmm yyyy")</f>
        <v>Jan 2021</v>
      </c>
      <c r="O903">
        <f t="shared" si="14"/>
        <v>3.5849999999999995</v>
      </c>
    </row>
    <row r="904" spans="1:15" x14ac:dyDescent="0.25">
      <c r="A904" s="3">
        <v>43640</v>
      </c>
      <c r="B904" t="s">
        <v>6166</v>
      </c>
      <c r="C904" s="2">
        <v>5</v>
      </c>
      <c r="D904" s="2" t="s">
        <v>5593</v>
      </c>
      <c r="E904" s="2" t="s">
        <v>51</v>
      </c>
      <c r="F904" s="2" t="s">
        <v>19</v>
      </c>
      <c r="G904" t="s">
        <v>6191</v>
      </c>
      <c r="H904" t="str">
        <f>VLOOKUP('Combined table'!B904,products!$A$1:$G$49,2,FALSE)</f>
        <v>Exc</v>
      </c>
      <c r="I904" t="str">
        <f>VLOOKUP('Combined table'!B904,products!$A$1:$G$49,3,FALSE)</f>
        <v>M</v>
      </c>
      <c r="J904">
        <f>VLOOKUP('Combined table'!B904,products!$A$1:$G$49,4,FALSE)</f>
        <v>2.5</v>
      </c>
      <c r="K904">
        <f>VLOOKUP('Combined table'!B904,products!$A$1:$G$49,5,FALSE)</f>
        <v>31.624999999999996</v>
      </c>
      <c r="L904">
        <f>VLOOKUP('Combined table'!B904,products!$A$1:$G$49,6,FALSE)</f>
        <v>1.2649999999999999</v>
      </c>
      <c r="M904">
        <f>VLOOKUP('Combined table'!B904,products!$A$1:$G$49,7,FALSE)</f>
        <v>3.4787499999999998</v>
      </c>
      <c r="N904" t="str">
        <f>TEXT(A904,"mmm yyyy")</f>
        <v>Jun 2019</v>
      </c>
      <c r="O904">
        <f t="shared" si="14"/>
        <v>158.12499999999997</v>
      </c>
    </row>
    <row r="905" spans="1:15" x14ac:dyDescent="0.25">
      <c r="A905" s="3">
        <v>43905</v>
      </c>
      <c r="B905" t="s">
        <v>6160</v>
      </c>
      <c r="C905" s="2">
        <v>2</v>
      </c>
      <c r="D905" s="2" t="s">
        <v>5599</v>
      </c>
      <c r="E905" s="2" t="s">
        <v>30</v>
      </c>
      <c r="F905" s="2" t="s">
        <v>19</v>
      </c>
      <c r="G905" t="s">
        <v>6191</v>
      </c>
      <c r="H905" t="str">
        <f>VLOOKUP('Combined table'!B905,products!$A$1:$G$49,2,FALSE)</f>
        <v>Lib</v>
      </c>
      <c r="I905" t="str">
        <f>VLOOKUP('Combined table'!B905,products!$A$1:$G$49,3,FALSE)</f>
        <v>M</v>
      </c>
      <c r="J905">
        <f>VLOOKUP('Combined table'!B905,products!$A$1:$G$49,4,FALSE)</f>
        <v>0.5</v>
      </c>
      <c r="K905">
        <f>VLOOKUP('Combined table'!B905,products!$A$1:$G$49,5,FALSE)</f>
        <v>8.73</v>
      </c>
      <c r="L905">
        <f>VLOOKUP('Combined table'!B905,products!$A$1:$G$49,6,FALSE)</f>
        <v>1.746</v>
      </c>
      <c r="M905">
        <f>VLOOKUP('Combined table'!B905,products!$A$1:$G$49,7,FALSE)</f>
        <v>1.1349</v>
      </c>
      <c r="N905" t="str">
        <f>TEXT(A905,"mmm yyyy")</f>
        <v>Mar 2020</v>
      </c>
      <c r="O905">
        <f t="shared" si="14"/>
        <v>17.46</v>
      </c>
    </row>
    <row r="906" spans="1:15" x14ac:dyDescent="0.25">
      <c r="A906" s="3">
        <v>44463</v>
      </c>
      <c r="B906" t="s">
        <v>6182</v>
      </c>
      <c r="C906" s="2">
        <v>5</v>
      </c>
      <c r="D906" s="2" t="s">
        <v>5605</v>
      </c>
      <c r="E906" s="2" t="s">
        <v>173</v>
      </c>
      <c r="F906" s="2" t="s">
        <v>19</v>
      </c>
      <c r="G906" t="s">
        <v>6191</v>
      </c>
      <c r="H906" t="str">
        <f>VLOOKUP('Combined table'!B906,products!$A$1:$G$49,2,FALSE)</f>
        <v>Ara</v>
      </c>
      <c r="I906" t="str">
        <f>VLOOKUP('Combined table'!B906,products!$A$1:$G$49,3,FALSE)</f>
        <v>L</v>
      </c>
      <c r="J906">
        <f>VLOOKUP('Combined table'!B906,products!$A$1:$G$49,4,FALSE)</f>
        <v>2.5</v>
      </c>
      <c r="K906">
        <f>VLOOKUP('Combined table'!B906,products!$A$1:$G$49,5,FALSE)</f>
        <v>29.784999999999997</v>
      </c>
      <c r="L906">
        <f>VLOOKUP('Combined table'!B906,products!$A$1:$G$49,6,FALSE)</f>
        <v>1.1913999999999998</v>
      </c>
      <c r="M906">
        <f>VLOOKUP('Combined table'!B906,products!$A$1:$G$49,7,FALSE)</f>
        <v>2.6806499999999995</v>
      </c>
      <c r="N906" t="str">
        <f>TEXT(A906,"mmm yyyy")</f>
        <v>Sep 2021</v>
      </c>
      <c r="O906">
        <f t="shared" si="14"/>
        <v>148.92499999999998</v>
      </c>
    </row>
    <row r="907" spans="1:15" x14ac:dyDescent="0.25">
      <c r="A907" s="3">
        <v>43560</v>
      </c>
      <c r="B907" t="s">
        <v>6157</v>
      </c>
      <c r="C907" s="2">
        <v>6</v>
      </c>
      <c r="D907" s="2" t="s">
        <v>5611</v>
      </c>
      <c r="E907" s="2" t="s">
        <v>50</v>
      </c>
      <c r="F907" s="2" t="s">
        <v>19</v>
      </c>
      <c r="G907" t="s">
        <v>6190</v>
      </c>
      <c r="H907" t="str">
        <f>VLOOKUP('Combined table'!B907,products!$A$1:$G$49,2,FALSE)</f>
        <v>Ara</v>
      </c>
      <c r="I907" t="str">
        <f>VLOOKUP('Combined table'!B907,products!$A$1:$G$49,3,FALSE)</f>
        <v>M</v>
      </c>
      <c r="J907">
        <f>VLOOKUP('Combined table'!B907,products!$A$1:$G$49,4,FALSE)</f>
        <v>0.5</v>
      </c>
      <c r="K907">
        <f>VLOOKUP('Combined table'!B907,products!$A$1:$G$49,5,FALSE)</f>
        <v>6.75</v>
      </c>
      <c r="L907">
        <f>VLOOKUP('Combined table'!B907,products!$A$1:$G$49,6,FALSE)</f>
        <v>1.35</v>
      </c>
      <c r="M907">
        <f>VLOOKUP('Combined table'!B907,products!$A$1:$G$49,7,FALSE)</f>
        <v>0.60749999999999993</v>
      </c>
      <c r="N907" t="str">
        <f>TEXT(A907,"mmm yyyy")</f>
        <v>Apr 2019</v>
      </c>
      <c r="O907">
        <f t="shared" si="14"/>
        <v>40.5</v>
      </c>
    </row>
    <row r="908" spans="1:15" x14ac:dyDescent="0.25">
      <c r="A908" s="3">
        <v>44588</v>
      </c>
      <c r="B908" t="s">
        <v>6157</v>
      </c>
      <c r="C908" s="2">
        <v>4</v>
      </c>
      <c r="D908" s="2" t="s">
        <v>5616</v>
      </c>
      <c r="E908" s="2" t="s">
        <v>169</v>
      </c>
      <c r="F908" s="2" t="s">
        <v>19</v>
      </c>
      <c r="G908" t="s">
        <v>6190</v>
      </c>
      <c r="H908" t="str">
        <f>VLOOKUP('Combined table'!B908,products!$A$1:$G$49,2,FALSE)</f>
        <v>Ara</v>
      </c>
      <c r="I908" t="str">
        <f>VLOOKUP('Combined table'!B908,products!$A$1:$G$49,3,FALSE)</f>
        <v>M</v>
      </c>
      <c r="J908">
        <f>VLOOKUP('Combined table'!B908,products!$A$1:$G$49,4,FALSE)</f>
        <v>0.5</v>
      </c>
      <c r="K908">
        <f>VLOOKUP('Combined table'!B908,products!$A$1:$G$49,5,FALSE)</f>
        <v>6.75</v>
      </c>
      <c r="L908">
        <f>VLOOKUP('Combined table'!B908,products!$A$1:$G$49,6,FALSE)</f>
        <v>1.35</v>
      </c>
      <c r="M908">
        <f>VLOOKUP('Combined table'!B908,products!$A$1:$G$49,7,FALSE)</f>
        <v>0.60749999999999993</v>
      </c>
      <c r="N908" t="str">
        <f>TEXT(A908,"mmm yyyy")</f>
        <v>Jan 2022</v>
      </c>
      <c r="O908">
        <f t="shared" si="14"/>
        <v>27</v>
      </c>
    </row>
    <row r="909" spans="1:15" x14ac:dyDescent="0.25">
      <c r="A909" s="3">
        <v>44449</v>
      </c>
      <c r="B909" t="s">
        <v>6143</v>
      </c>
      <c r="C909" s="2">
        <v>3</v>
      </c>
      <c r="D909" s="2" t="s">
        <v>5622</v>
      </c>
      <c r="E909" s="2" t="s">
        <v>189</v>
      </c>
      <c r="F909" s="2" t="s">
        <v>19</v>
      </c>
      <c r="G909" t="s">
        <v>6191</v>
      </c>
      <c r="H909" t="str">
        <f>VLOOKUP('Combined table'!B909,products!$A$1:$G$49,2,FALSE)</f>
        <v>Lib</v>
      </c>
      <c r="I909" t="str">
        <f>VLOOKUP('Combined table'!B909,products!$A$1:$G$49,3,FALSE)</f>
        <v>D</v>
      </c>
      <c r="J909">
        <f>VLOOKUP('Combined table'!B909,products!$A$1:$G$49,4,FALSE)</f>
        <v>1</v>
      </c>
      <c r="K909">
        <f>VLOOKUP('Combined table'!B909,products!$A$1:$G$49,5,FALSE)</f>
        <v>12.95</v>
      </c>
      <c r="L909">
        <f>VLOOKUP('Combined table'!B909,products!$A$1:$G$49,6,FALSE)</f>
        <v>1.2949999999999999</v>
      </c>
      <c r="M909">
        <f>VLOOKUP('Combined table'!B909,products!$A$1:$G$49,7,FALSE)</f>
        <v>1.6835</v>
      </c>
      <c r="N909" t="str">
        <f>TEXT(A909,"mmm yyyy")</f>
        <v>Sep 2021</v>
      </c>
      <c r="O909">
        <f t="shared" si="14"/>
        <v>38.849999999999994</v>
      </c>
    </row>
    <row r="910" spans="1:15" x14ac:dyDescent="0.25">
      <c r="A910" s="3">
        <v>43836</v>
      </c>
      <c r="B910" t="s">
        <v>6179</v>
      </c>
      <c r="C910" s="2">
        <v>5</v>
      </c>
      <c r="D910" s="2" t="s">
        <v>5628</v>
      </c>
      <c r="E910" s="2" t="s">
        <v>63</v>
      </c>
      <c r="F910" s="2" t="s">
        <v>19</v>
      </c>
      <c r="G910" t="s">
        <v>6191</v>
      </c>
      <c r="H910" t="str">
        <f>VLOOKUP('Combined table'!B910,products!$A$1:$G$49,2,FALSE)</f>
        <v>Rob</v>
      </c>
      <c r="I910" t="str">
        <f>VLOOKUP('Combined table'!B910,products!$A$1:$G$49,3,FALSE)</f>
        <v>L</v>
      </c>
      <c r="J910">
        <f>VLOOKUP('Combined table'!B910,products!$A$1:$G$49,4,FALSE)</f>
        <v>1</v>
      </c>
      <c r="K910">
        <f>VLOOKUP('Combined table'!B910,products!$A$1:$G$49,5,FALSE)</f>
        <v>11.95</v>
      </c>
      <c r="L910">
        <f>VLOOKUP('Combined table'!B910,products!$A$1:$G$49,6,FALSE)</f>
        <v>1.1949999999999998</v>
      </c>
      <c r="M910">
        <f>VLOOKUP('Combined table'!B910,products!$A$1:$G$49,7,FALSE)</f>
        <v>0.71699999999999997</v>
      </c>
      <c r="N910" t="str">
        <f>TEXT(A910,"mmm yyyy")</f>
        <v>Jan 2020</v>
      </c>
      <c r="O910">
        <f t="shared" si="14"/>
        <v>59.75</v>
      </c>
    </row>
    <row r="911" spans="1:15" x14ac:dyDescent="0.25">
      <c r="A911" s="3">
        <v>44635</v>
      </c>
      <c r="B911" t="s">
        <v>6178</v>
      </c>
      <c r="C911" s="2">
        <v>3</v>
      </c>
      <c r="D911" s="2" t="s">
        <v>5634</v>
      </c>
      <c r="E911" s="2" t="s">
        <v>31</v>
      </c>
      <c r="F911" s="2" t="s">
        <v>19</v>
      </c>
      <c r="G911" t="s">
        <v>6191</v>
      </c>
      <c r="H911" t="str">
        <f>VLOOKUP('Combined table'!B911,products!$A$1:$G$49,2,FALSE)</f>
        <v>Rob</v>
      </c>
      <c r="I911" t="str">
        <f>VLOOKUP('Combined table'!B911,products!$A$1:$G$49,3,FALSE)</f>
        <v>L</v>
      </c>
      <c r="J911">
        <f>VLOOKUP('Combined table'!B911,products!$A$1:$G$49,4,FALSE)</f>
        <v>0.2</v>
      </c>
      <c r="K911">
        <f>VLOOKUP('Combined table'!B911,products!$A$1:$G$49,5,FALSE)</f>
        <v>3.5849999999999995</v>
      </c>
      <c r="L911">
        <f>VLOOKUP('Combined table'!B911,products!$A$1:$G$49,6,FALSE)</f>
        <v>1.7924999999999998</v>
      </c>
      <c r="M911">
        <f>VLOOKUP('Combined table'!B911,products!$A$1:$G$49,7,FALSE)</f>
        <v>0.21509999999999996</v>
      </c>
      <c r="N911" t="str">
        <f>TEXT(A911,"mmm yyyy")</f>
        <v>Mar 2022</v>
      </c>
      <c r="O911">
        <f t="shared" si="14"/>
        <v>10.754999999999999</v>
      </c>
    </row>
    <row r="912" spans="1:15" x14ac:dyDescent="0.25">
      <c r="A912" s="3">
        <v>44447</v>
      </c>
      <c r="B912" t="s">
        <v>6168</v>
      </c>
      <c r="C912" s="2">
        <v>4</v>
      </c>
      <c r="D912" s="2" t="s">
        <v>5639</v>
      </c>
      <c r="E912" s="2" t="s">
        <v>241</v>
      </c>
      <c r="F912" s="2" t="s">
        <v>19</v>
      </c>
      <c r="G912" t="s">
        <v>6191</v>
      </c>
      <c r="H912" t="str">
        <f>VLOOKUP('Combined table'!B912,products!$A$1:$G$49,2,FALSE)</f>
        <v>Ara</v>
      </c>
      <c r="I912" t="str">
        <f>VLOOKUP('Combined table'!B912,products!$A$1:$G$49,3,FALSE)</f>
        <v>D</v>
      </c>
      <c r="J912">
        <f>VLOOKUP('Combined table'!B912,products!$A$1:$G$49,4,FALSE)</f>
        <v>2.5</v>
      </c>
      <c r="K912">
        <f>VLOOKUP('Combined table'!B912,products!$A$1:$G$49,5,FALSE)</f>
        <v>22.884999999999998</v>
      </c>
      <c r="L912">
        <f>VLOOKUP('Combined table'!B912,products!$A$1:$G$49,6,FALSE)</f>
        <v>0.91539999999999988</v>
      </c>
      <c r="M912">
        <f>VLOOKUP('Combined table'!B912,products!$A$1:$G$49,7,FALSE)</f>
        <v>2.0596499999999995</v>
      </c>
      <c r="N912" t="str">
        <f>TEXT(A912,"mmm yyyy")</f>
        <v>Sep 2021</v>
      </c>
      <c r="O912">
        <f t="shared" si="14"/>
        <v>91.539999999999992</v>
      </c>
    </row>
    <row r="913" spans="1:15" x14ac:dyDescent="0.25">
      <c r="A913" s="3">
        <v>44511</v>
      </c>
      <c r="B913" t="s">
        <v>6155</v>
      </c>
      <c r="C913" s="2">
        <v>4</v>
      </c>
      <c r="D913" s="2" t="s">
        <v>5645</v>
      </c>
      <c r="E913" s="2" t="s">
        <v>47</v>
      </c>
      <c r="F913" s="2" t="s">
        <v>19</v>
      </c>
      <c r="G913" t="s">
        <v>6190</v>
      </c>
      <c r="H913" t="str">
        <f>VLOOKUP('Combined table'!B913,products!$A$1:$G$49,2,FALSE)</f>
        <v>Ara</v>
      </c>
      <c r="I913" t="str">
        <f>VLOOKUP('Combined table'!B913,products!$A$1:$G$49,3,FALSE)</f>
        <v>M</v>
      </c>
      <c r="J913">
        <f>VLOOKUP('Combined table'!B913,products!$A$1:$G$49,4,FALSE)</f>
        <v>1</v>
      </c>
      <c r="K913">
        <f>VLOOKUP('Combined table'!B913,products!$A$1:$G$49,5,FALSE)</f>
        <v>11.25</v>
      </c>
      <c r="L913">
        <f>VLOOKUP('Combined table'!B913,products!$A$1:$G$49,6,FALSE)</f>
        <v>1.125</v>
      </c>
      <c r="M913">
        <f>VLOOKUP('Combined table'!B913,products!$A$1:$G$49,7,FALSE)</f>
        <v>1.0125</v>
      </c>
      <c r="N913" t="str">
        <f>TEXT(A913,"mmm yyyy")</f>
        <v>Nov 2021</v>
      </c>
      <c r="O913">
        <f t="shared" si="14"/>
        <v>45</v>
      </c>
    </row>
    <row r="914" spans="1:15" x14ac:dyDescent="0.25">
      <c r="A914" s="3">
        <v>43726</v>
      </c>
      <c r="B914" t="s">
        <v>6151</v>
      </c>
      <c r="C914" s="2">
        <v>6</v>
      </c>
      <c r="D914" s="2" t="s">
        <v>5651</v>
      </c>
      <c r="E914" s="2" t="s">
        <v>198</v>
      </c>
      <c r="F914" s="2" t="s">
        <v>19</v>
      </c>
      <c r="G914" t="s">
        <v>6190</v>
      </c>
      <c r="H914" t="str">
        <f>VLOOKUP('Combined table'!B914,products!$A$1:$G$49,2,FALSE)</f>
        <v>Rob</v>
      </c>
      <c r="I914" t="str">
        <f>VLOOKUP('Combined table'!B914,products!$A$1:$G$49,3,FALSE)</f>
        <v>M</v>
      </c>
      <c r="J914">
        <f>VLOOKUP('Combined table'!B914,products!$A$1:$G$49,4,FALSE)</f>
        <v>2.5</v>
      </c>
      <c r="K914">
        <f>VLOOKUP('Combined table'!B914,products!$A$1:$G$49,5,FALSE)</f>
        <v>22.884999999999998</v>
      </c>
      <c r="L914">
        <f>VLOOKUP('Combined table'!B914,products!$A$1:$G$49,6,FALSE)</f>
        <v>0.91539999999999988</v>
      </c>
      <c r="M914">
        <f>VLOOKUP('Combined table'!B914,products!$A$1:$G$49,7,FALSE)</f>
        <v>1.3730999999999998</v>
      </c>
      <c r="N914" t="str">
        <f>TEXT(A914,"mmm yyyy")</f>
        <v>Sep 2019</v>
      </c>
      <c r="O914">
        <f t="shared" si="14"/>
        <v>137.31</v>
      </c>
    </row>
    <row r="915" spans="1:15" x14ac:dyDescent="0.25">
      <c r="A915" s="3">
        <v>44406</v>
      </c>
      <c r="B915" t="s">
        <v>6157</v>
      </c>
      <c r="C915" s="2">
        <v>1</v>
      </c>
      <c r="D915" s="2" t="s">
        <v>5656</v>
      </c>
      <c r="E915" s="2" t="s">
        <v>126</v>
      </c>
      <c r="F915" s="2" t="s">
        <v>19</v>
      </c>
      <c r="G915" t="s">
        <v>6191</v>
      </c>
      <c r="H915" t="str">
        <f>VLOOKUP('Combined table'!B915,products!$A$1:$G$49,2,FALSE)</f>
        <v>Ara</v>
      </c>
      <c r="I915" t="str">
        <f>VLOOKUP('Combined table'!B915,products!$A$1:$G$49,3,FALSE)</f>
        <v>M</v>
      </c>
      <c r="J915">
        <f>VLOOKUP('Combined table'!B915,products!$A$1:$G$49,4,FALSE)</f>
        <v>0.5</v>
      </c>
      <c r="K915">
        <f>VLOOKUP('Combined table'!B915,products!$A$1:$G$49,5,FALSE)</f>
        <v>6.75</v>
      </c>
      <c r="L915">
        <f>VLOOKUP('Combined table'!B915,products!$A$1:$G$49,6,FALSE)</f>
        <v>1.35</v>
      </c>
      <c r="M915">
        <f>VLOOKUP('Combined table'!B915,products!$A$1:$G$49,7,FALSE)</f>
        <v>0.60749999999999993</v>
      </c>
      <c r="N915" t="str">
        <f>TEXT(A915,"mmm yyyy")</f>
        <v>Jul 2021</v>
      </c>
      <c r="O915">
        <f t="shared" si="14"/>
        <v>6.75</v>
      </c>
    </row>
    <row r="916" spans="1:15" x14ac:dyDescent="0.25">
      <c r="A916" s="3">
        <v>44640</v>
      </c>
      <c r="B916" t="s">
        <v>6155</v>
      </c>
      <c r="C916" s="2">
        <v>4</v>
      </c>
      <c r="D916" s="2" t="s">
        <v>5662</v>
      </c>
      <c r="E916" s="2" t="s">
        <v>187</v>
      </c>
      <c r="F916" s="2" t="s">
        <v>19</v>
      </c>
      <c r="G916" t="s">
        <v>6191</v>
      </c>
      <c r="H916" t="str">
        <f>VLOOKUP('Combined table'!B916,products!$A$1:$G$49,2,FALSE)</f>
        <v>Ara</v>
      </c>
      <c r="I916" t="str">
        <f>VLOOKUP('Combined table'!B916,products!$A$1:$G$49,3,FALSE)</f>
        <v>M</v>
      </c>
      <c r="J916">
        <f>VLOOKUP('Combined table'!B916,products!$A$1:$G$49,4,FALSE)</f>
        <v>1</v>
      </c>
      <c r="K916">
        <f>VLOOKUP('Combined table'!B916,products!$A$1:$G$49,5,FALSE)</f>
        <v>11.25</v>
      </c>
      <c r="L916">
        <f>VLOOKUP('Combined table'!B916,products!$A$1:$G$49,6,FALSE)</f>
        <v>1.125</v>
      </c>
      <c r="M916">
        <f>VLOOKUP('Combined table'!B916,products!$A$1:$G$49,7,FALSE)</f>
        <v>1.0125</v>
      </c>
      <c r="N916" t="str">
        <f>TEXT(A916,"mmm yyyy")</f>
        <v>Mar 2022</v>
      </c>
      <c r="O916">
        <f t="shared" si="14"/>
        <v>45</v>
      </c>
    </row>
    <row r="917" spans="1:15" x14ac:dyDescent="0.25">
      <c r="A917" s="3">
        <v>43955</v>
      </c>
      <c r="B917" t="s">
        <v>6185</v>
      </c>
      <c r="C917" s="2">
        <v>3</v>
      </c>
      <c r="D917" s="2" t="s">
        <v>5668</v>
      </c>
      <c r="E917" s="2" t="s">
        <v>205</v>
      </c>
      <c r="F917" s="2" t="s">
        <v>19</v>
      </c>
      <c r="G917" t="s">
        <v>6190</v>
      </c>
      <c r="H917" t="str">
        <f>VLOOKUP('Combined table'!B917,products!$A$1:$G$49,2,FALSE)</f>
        <v>Exc</v>
      </c>
      <c r="I917" t="str">
        <f>VLOOKUP('Combined table'!B917,products!$A$1:$G$49,3,FALSE)</f>
        <v>D</v>
      </c>
      <c r="J917">
        <f>VLOOKUP('Combined table'!B917,products!$A$1:$G$49,4,FALSE)</f>
        <v>2.5</v>
      </c>
      <c r="K917">
        <f>VLOOKUP('Combined table'!B917,products!$A$1:$G$49,5,FALSE)</f>
        <v>27.945</v>
      </c>
      <c r="L917">
        <f>VLOOKUP('Combined table'!B917,products!$A$1:$G$49,6,FALSE)</f>
        <v>1.1177999999999999</v>
      </c>
      <c r="M917">
        <f>VLOOKUP('Combined table'!B917,products!$A$1:$G$49,7,FALSE)</f>
        <v>3.07395</v>
      </c>
      <c r="N917" t="str">
        <f>TEXT(A917,"mmm yyyy")</f>
        <v>May 2020</v>
      </c>
      <c r="O917">
        <f t="shared" si="14"/>
        <v>83.835000000000008</v>
      </c>
    </row>
    <row r="918" spans="1:15" x14ac:dyDescent="0.25">
      <c r="A918" s="3">
        <v>44291</v>
      </c>
      <c r="B918" t="s">
        <v>6153</v>
      </c>
      <c r="C918" s="2">
        <v>1</v>
      </c>
      <c r="D918" s="2" t="s">
        <v>5674</v>
      </c>
      <c r="E918" s="2" t="s">
        <v>2998</v>
      </c>
      <c r="F918" s="2" t="s">
        <v>318</v>
      </c>
      <c r="G918" t="s">
        <v>6190</v>
      </c>
      <c r="H918" t="str">
        <f>VLOOKUP('Combined table'!B918,products!$A$1:$G$49,2,FALSE)</f>
        <v>Exc</v>
      </c>
      <c r="I918" t="str">
        <f>VLOOKUP('Combined table'!B918,products!$A$1:$G$49,3,FALSE)</f>
        <v>D</v>
      </c>
      <c r="J918">
        <f>VLOOKUP('Combined table'!B918,products!$A$1:$G$49,4,FALSE)</f>
        <v>0.2</v>
      </c>
      <c r="K918">
        <f>VLOOKUP('Combined table'!B918,products!$A$1:$G$49,5,FALSE)</f>
        <v>3.645</v>
      </c>
      <c r="L918">
        <f>VLOOKUP('Combined table'!B918,products!$A$1:$G$49,6,FALSE)</f>
        <v>1.8225</v>
      </c>
      <c r="M918">
        <f>VLOOKUP('Combined table'!B918,products!$A$1:$G$49,7,FALSE)</f>
        <v>0.40095000000000003</v>
      </c>
      <c r="N918" t="str">
        <f>TEXT(A918,"mmm yyyy")</f>
        <v>Apr 2021</v>
      </c>
      <c r="O918">
        <f t="shared" si="14"/>
        <v>3.645</v>
      </c>
    </row>
    <row r="919" spans="1:15" x14ac:dyDescent="0.25">
      <c r="A919" s="3">
        <v>44573</v>
      </c>
      <c r="B919" t="s">
        <v>6157</v>
      </c>
      <c r="C919" s="2">
        <v>1</v>
      </c>
      <c r="D919" s="2" t="s">
        <v>5678</v>
      </c>
      <c r="E919" s="2" t="s">
        <v>220</v>
      </c>
      <c r="F919" s="2" t="s">
        <v>28</v>
      </c>
      <c r="G919" t="s">
        <v>6191</v>
      </c>
      <c r="H919" t="str">
        <f>VLOOKUP('Combined table'!B919,products!$A$1:$G$49,2,FALSE)</f>
        <v>Ara</v>
      </c>
      <c r="I919" t="str">
        <f>VLOOKUP('Combined table'!B919,products!$A$1:$G$49,3,FALSE)</f>
        <v>M</v>
      </c>
      <c r="J919">
        <f>VLOOKUP('Combined table'!B919,products!$A$1:$G$49,4,FALSE)</f>
        <v>0.5</v>
      </c>
      <c r="K919">
        <f>VLOOKUP('Combined table'!B919,products!$A$1:$G$49,5,FALSE)</f>
        <v>6.75</v>
      </c>
      <c r="L919">
        <f>VLOOKUP('Combined table'!B919,products!$A$1:$G$49,6,FALSE)</f>
        <v>1.35</v>
      </c>
      <c r="M919">
        <f>VLOOKUP('Combined table'!B919,products!$A$1:$G$49,7,FALSE)</f>
        <v>0.60749999999999993</v>
      </c>
      <c r="N919" t="str">
        <f>TEXT(A919,"mmm yyyy")</f>
        <v>Jan 2022</v>
      </c>
      <c r="O919">
        <f t="shared" si="14"/>
        <v>6.75</v>
      </c>
    </row>
    <row r="920" spans="1:15" x14ac:dyDescent="0.25">
      <c r="A920" s="3">
        <v>44573</v>
      </c>
      <c r="B920" t="s">
        <v>6144</v>
      </c>
      <c r="C920" s="2">
        <v>3</v>
      </c>
      <c r="D920" s="2" t="s">
        <v>5683</v>
      </c>
      <c r="E920" s="2" t="s">
        <v>209</v>
      </c>
      <c r="F920" s="2" t="s">
        <v>19</v>
      </c>
      <c r="G920" t="s">
        <v>6191</v>
      </c>
      <c r="H920" t="str">
        <f>VLOOKUP('Combined table'!B920,products!$A$1:$G$49,2,FALSE)</f>
        <v>Exc</v>
      </c>
      <c r="I920" t="str">
        <f>VLOOKUP('Combined table'!B920,products!$A$1:$G$49,3,FALSE)</f>
        <v>D</v>
      </c>
      <c r="J920">
        <f>VLOOKUP('Combined table'!B920,products!$A$1:$G$49,4,FALSE)</f>
        <v>0.5</v>
      </c>
      <c r="K920">
        <f>VLOOKUP('Combined table'!B920,products!$A$1:$G$49,5,FALSE)</f>
        <v>7.29</v>
      </c>
      <c r="L920">
        <f>VLOOKUP('Combined table'!B920,products!$A$1:$G$49,6,FALSE)</f>
        <v>1.458</v>
      </c>
      <c r="M920">
        <f>VLOOKUP('Combined table'!B920,products!$A$1:$G$49,7,FALSE)</f>
        <v>0.80190000000000006</v>
      </c>
      <c r="N920" t="str">
        <f>TEXT(A920,"mmm yyyy")</f>
        <v>Jan 2022</v>
      </c>
      <c r="O920">
        <f t="shared" si="14"/>
        <v>21.87</v>
      </c>
    </row>
    <row r="921" spans="1:15" x14ac:dyDescent="0.25">
      <c r="A921" s="3">
        <v>44181</v>
      </c>
      <c r="B921" t="s">
        <v>6163</v>
      </c>
      <c r="C921" s="2">
        <v>5</v>
      </c>
      <c r="D921" s="2" t="s">
        <v>5689</v>
      </c>
      <c r="E921" s="2" t="s">
        <v>43</v>
      </c>
      <c r="F921" s="2" t="s">
        <v>19</v>
      </c>
      <c r="G921" t="s">
        <v>6190</v>
      </c>
      <c r="H921" t="str">
        <f>VLOOKUP('Combined table'!B921,products!$A$1:$G$49,2,FALSE)</f>
        <v>Rob</v>
      </c>
      <c r="I921" t="str">
        <f>VLOOKUP('Combined table'!B921,products!$A$1:$G$49,3,FALSE)</f>
        <v>D</v>
      </c>
      <c r="J921">
        <f>VLOOKUP('Combined table'!B921,products!$A$1:$G$49,4,FALSE)</f>
        <v>0.2</v>
      </c>
      <c r="K921">
        <f>VLOOKUP('Combined table'!B921,products!$A$1:$G$49,5,FALSE)</f>
        <v>2.6849999999999996</v>
      </c>
      <c r="L921">
        <f>VLOOKUP('Combined table'!B921,products!$A$1:$G$49,6,FALSE)</f>
        <v>1.3424999999999998</v>
      </c>
      <c r="M921">
        <f>VLOOKUP('Combined table'!B921,products!$A$1:$G$49,7,FALSE)</f>
        <v>0.16109999999999997</v>
      </c>
      <c r="N921" t="str">
        <f>TEXT(A921,"mmm yyyy")</f>
        <v>Dec 2020</v>
      </c>
      <c r="O921">
        <f t="shared" si="14"/>
        <v>13.424999999999997</v>
      </c>
    </row>
    <row r="922" spans="1:15" x14ac:dyDescent="0.25">
      <c r="A922" s="3">
        <v>44711</v>
      </c>
      <c r="B922" t="s">
        <v>6149</v>
      </c>
      <c r="C922" s="2">
        <v>6</v>
      </c>
      <c r="D922" s="2" t="s">
        <v>5695</v>
      </c>
      <c r="E922" s="2" t="s">
        <v>183</v>
      </c>
      <c r="F922" s="2" t="s">
        <v>19</v>
      </c>
      <c r="G922" t="s">
        <v>6191</v>
      </c>
      <c r="H922" t="str">
        <f>VLOOKUP('Combined table'!B922,products!$A$1:$G$49,2,FALSE)</f>
        <v>Rob</v>
      </c>
      <c r="I922" t="str">
        <f>VLOOKUP('Combined table'!B922,products!$A$1:$G$49,3,FALSE)</f>
        <v>D</v>
      </c>
      <c r="J922">
        <f>VLOOKUP('Combined table'!B922,products!$A$1:$G$49,4,FALSE)</f>
        <v>2.5</v>
      </c>
      <c r="K922">
        <f>VLOOKUP('Combined table'!B922,products!$A$1:$G$49,5,FALSE)</f>
        <v>20.584999999999997</v>
      </c>
      <c r="L922">
        <f>VLOOKUP('Combined table'!B922,products!$A$1:$G$49,6,FALSE)</f>
        <v>0.82339999999999991</v>
      </c>
      <c r="M922">
        <f>VLOOKUP('Combined table'!B922,products!$A$1:$G$49,7,FALSE)</f>
        <v>1.2350999999999999</v>
      </c>
      <c r="N922" t="str">
        <f>TEXT(A922,"mmm yyyy")</f>
        <v>May 2022</v>
      </c>
      <c r="O922">
        <f t="shared" si="14"/>
        <v>123.50999999999999</v>
      </c>
    </row>
    <row r="923" spans="1:15" x14ac:dyDescent="0.25">
      <c r="A923" s="3">
        <v>44509</v>
      </c>
      <c r="B923" t="s">
        <v>6150</v>
      </c>
      <c r="C923" s="2">
        <v>2</v>
      </c>
      <c r="D923" s="2" t="s">
        <v>5701</v>
      </c>
      <c r="E923" s="2" t="s">
        <v>169</v>
      </c>
      <c r="F923" s="2" t="s">
        <v>19</v>
      </c>
      <c r="G923" t="s">
        <v>6191</v>
      </c>
      <c r="H923" t="str">
        <f>VLOOKUP('Combined table'!B923,products!$A$1:$G$49,2,FALSE)</f>
        <v>Lib</v>
      </c>
      <c r="I923" t="str">
        <f>VLOOKUP('Combined table'!B923,products!$A$1:$G$49,3,FALSE)</f>
        <v>D</v>
      </c>
      <c r="J923">
        <f>VLOOKUP('Combined table'!B923,products!$A$1:$G$49,4,FALSE)</f>
        <v>0.2</v>
      </c>
      <c r="K923">
        <f>VLOOKUP('Combined table'!B923,products!$A$1:$G$49,5,FALSE)</f>
        <v>3.8849999999999998</v>
      </c>
      <c r="L923">
        <f>VLOOKUP('Combined table'!B923,products!$A$1:$G$49,6,FALSE)</f>
        <v>1.9424999999999999</v>
      </c>
      <c r="M923">
        <f>VLOOKUP('Combined table'!B923,products!$A$1:$G$49,7,FALSE)</f>
        <v>0.50505</v>
      </c>
      <c r="N923" t="str">
        <f>TEXT(A923,"mmm yyyy")</f>
        <v>Nov 2021</v>
      </c>
      <c r="O923">
        <f t="shared" si="14"/>
        <v>7.77</v>
      </c>
    </row>
    <row r="924" spans="1:15" x14ac:dyDescent="0.25">
      <c r="A924" s="3">
        <v>44659</v>
      </c>
      <c r="B924" t="s">
        <v>6155</v>
      </c>
      <c r="C924" s="2">
        <v>6</v>
      </c>
      <c r="D924" s="2" t="s">
        <v>5707</v>
      </c>
      <c r="E924" s="2" t="s">
        <v>168</v>
      </c>
      <c r="F924" s="2" t="s">
        <v>19</v>
      </c>
      <c r="G924" t="s">
        <v>6190</v>
      </c>
      <c r="H924" t="str">
        <f>VLOOKUP('Combined table'!B924,products!$A$1:$G$49,2,FALSE)</f>
        <v>Ara</v>
      </c>
      <c r="I924" t="str">
        <f>VLOOKUP('Combined table'!B924,products!$A$1:$G$49,3,FALSE)</f>
        <v>M</v>
      </c>
      <c r="J924">
        <f>VLOOKUP('Combined table'!B924,products!$A$1:$G$49,4,FALSE)</f>
        <v>1</v>
      </c>
      <c r="K924">
        <f>VLOOKUP('Combined table'!B924,products!$A$1:$G$49,5,FALSE)</f>
        <v>11.25</v>
      </c>
      <c r="L924">
        <f>VLOOKUP('Combined table'!B924,products!$A$1:$G$49,6,FALSE)</f>
        <v>1.125</v>
      </c>
      <c r="M924">
        <f>VLOOKUP('Combined table'!B924,products!$A$1:$G$49,7,FALSE)</f>
        <v>1.0125</v>
      </c>
      <c r="N924" t="str">
        <f>TEXT(A924,"mmm yyyy")</f>
        <v>Apr 2022</v>
      </c>
      <c r="O924">
        <f t="shared" si="14"/>
        <v>67.5</v>
      </c>
    </row>
    <row r="925" spans="1:15" x14ac:dyDescent="0.25">
      <c r="A925" s="3">
        <v>43746</v>
      </c>
      <c r="B925" t="s">
        <v>6185</v>
      </c>
      <c r="C925" s="2">
        <v>1</v>
      </c>
      <c r="D925" s="2" t="s">
        <v>5711</v>
      </c>
      <c r="E925" s="2" t="s">
        <v>123</v>
      </c>
      <c r="F925" s="2" t="s">
        <v>19</v>
      </c>
      <c r="G925" t="s">
        <v>6191</v>
      </c>
      <c r="H925" t="str">
        <f>VLOOKUP('Combined table'!B925,products!$A$1:$G$49,2,FALSE)</f>
        <v>Exc</v>
      </c>
      <c r="I925" t="str">
        <f>VLOOKUP('Combined table'!B925,products!$A$1:$G$49,3,FALSE)</f>
        <v>D</v>
      </c>
      <c r="J925">
        <f>VLOOKUP('Combined table'!B925,products!$A$1:$G$49,4,FALSE)</f>
        <v>2.5</v>
      </c>
      <c r="K925">
        <f>VLOOKUP('Combined table'!B925,products!$A$1:$G$49,5,FALSE)</f>
        <v>27.945</v>
      </c>
      <c r="L925">
        <f>VLOOKUP('Combined table'!B925,products!$A$1:$G$49,6,FALSE)</f>
        <v>1.1177999999999999</v>
      </c>
      <c r="M925">
        <f>VLOOKUP('Combined table'!B925,products!$A$1:$G$49,7,FALSE)</f>
        <v>3.07395</v>
      </c>
      <c r="N925" t="str">
        <f>TEXT(A925,"mmm yyyy")</f>
        <v>Oct 2019</v>
      </c>
      <c r="O925">
        <f t="shared" si="14"/>
        <v>27.945</v>
      </c>
    </row>
    <row r="926" spans="1:15" x14ac:dyDescent="0.25">
      <c r="A926" s="3">
        <v>44451</v>
      </c>
      <c r="B926" t="s">
        <v>6182</v>
      </c>
      <c r="C926" s="2">
        <v>3</v>
      </c>
      <c r="D926" s="2" t="s">
        <v>5717</v>
      </c>
      <c r="E926" s="2" t="s">
        <v>80</v>
      </c>
      <c r="F926" s="2" t="s">
        <v>19</v>
      </c>
      <c r="G926" t="s">
        <v>6191</v>
      </c>
      <c r="H926" t="str">
        <f>VLOOKUP('Combined table'!B926,products!$A$1:$G$49,2,FALSE)</f>
        <v>Ara</v>
      </c>
      <c r="I926" t="str">
        <f>VLOOKUP('Combined table'!B926,products!$A$1:$G$49,3,FALSE)</f>
        <v>L</v>
      </c>
      <c r="J926">
        <f>VLOOKUP('Combined table'!B926,products!$A$1:$G$49,4,FALSE)</f>
        <v>2.5</v>
      </c>
      <c r="K926">
        <f>VLOOKUP('Combined table'!B926,products!$A$1:$G$49,5,FALSE)</f>
        <v>29.784999999999997</v>
      </c>
      <c r="L926">
        <f>VLOOKUP('Combined table'!B926,products!$A$1:$G$49,6,FALSE)</f>
        <v>1.1913999999999998</v>
      </c>
      <c r="M926">
        <f>VLOOKUP('Combined table'!B926,products!$A$1:$G$49,7,FALSE)</f>
        <v>2.6806499999999995</v>
      </c>
      <c r="N926" t="str">
        <f>TEXT(A926,"mmm yyyy")</f>
        <v>Sep 2021</v>
      </c>
      <c r="O926">
        <f t="shared" si="14"/>
        <v>89.35499999999999</v>
      </c>
    </row>
    <row r="927" spans="1:15" x14ac:dyDescent="0.25">
      <c r="A927" s="3">
        <v>44770</v>
      </c>
      <c r="B927" t="s">
        <v>6157</v>
      </c>
      <c r="C927" s="2">
        <v>3</v>
      </c>
      <c r="D927" s="2" t="s">
        <v>5722</v>
      </c>
      <c r="E927" s="2" t="s">
        <v>87</v>
      </c>
      <c r="F927" s="2" t="s">
        <v>19</v>
      </c>
      <c r="G927" t="s">
        <v>6190</v>
      </c>
      <c r="H927" t="str">
        <f>VLOOKUP('Combined table'!B927,products!$A$1:$G$49,2,FALSE)</f>
        <v>Ara</v>
      </c>
      <c r="I927" t="str">
        <f>VLOOKUP('Combined table'!B927,products!$A$1:$G$49,3,FALSE)</f>
        <v>M</v>
      </c>
      <c r="J927">
        <f>VLOOKUP('Combined table'!B927,products!$A$1:$G$49,4,FALSE)</f>
        <v>0.5</v>
      </c>
      <c r="K927">
        <f>VLOOKUP('Combined table'!B927,products!$A$1:$G$49,5,FALSE)</f>
        <v>6.75</v>
      </c>
      <c r="L927">
        <f>VLOOKUP('Combined table'!B927,products!$A$1:$G$49,6,FALSE)</f>
        <v>1.35</v>
      </c>
      <c r="M927">
        <f>VLOOKUP('Combined table'!B927,products!$A$1:$G$49,7,FALSE)</f>
        <v>0.60749999999999993</v>
      </c>
      <c r="N927" t="str">
        <f>TEXT(A927,"mmm yyyy")</f>
        <v>Jul 2022</v>
      </c>
      <c r="O927">
        <f t="shared" si="14"/>
        <v>20.25</v>
      </c>
    </row>
    <row r="928" spans="1:15" x14ac:dyDescent="0.25">
      <c r="A928" s="3">
        <v>44012</v>
      </c>
      <c r="B928" t="s">
        <v>6157</v>
      </c>
      <c r="C928" s="2">
        <v>5</v>
      </c>
      <c r="D928" s="2" t="s">
        <v>5727</v>
      </c>
      <c r="E928" s="2" t="s">
        <v>47</v>
      </c>
      <c r="F928" s="2" t="s">
        <v>19</v>
      </c>
      <c r="G928" t="s">
        <v>6190</v>
      </c>
      <c r="H928" t="str">
        <f>VLOOKUP('Combined table'!B928,products!$A$1:$G$49,2,FALSE)</f>
        <v>Ara</v>
      </c>
      <c r="I928" t="str">
        <f>VLOOKUP('Combined table'!B928,products!$A$1:$G$49,3,FALSE)</f>
        <v>M</v>
      </c>
      <c r="J928">
        <f>VLOOKUP('Combined table'!B928,products!$A$1:$G$49,4,FALSE)</f>
        <v>0.5</v>
      </c>
      <c r="K928">
        <f>VLOOKUP('Combined table'!B928,products!$A$1:$G$49,5,FALSE)</f>
        <v>6.75</v>
      </c>
      <c r="L928">
        <f>VLOOKUP('Combined table'!B928,products!$A$1:$G$49,6,FALSE)</f>
        <v>1.35</v>
      </c>
      <c r="M928">
        <f>VLOOKUP('Combined table'!B928,products!$A$1:$G$49,7,FALSE)</f>
        <v>0.60749999999999993</v>
      </c>
      <c r="N928" t="str">
        <f>TEXT(A928,"mmm yyyy")</f>
        <v>Jun 2020</v>
      </c>
      <c r="O928">
        <f t="shared" si="14"/>
        <v>33.75</v>
      </c>
    </row>
    <row r="929" spans="1:15" x14ac:dyDescent="0.25">
      <c r="A929" s="3">
        <v>43474</v>
      </c>
      <c r="B929" t="s">
        <v>6185</v>
      </c>
      <c r="C929" s="2">
        <v>4</v>
      </c>
      <c r="D929" s="2" t="s">
        <v>5733</v>
      </c>
      <c r="E929" s="2" t="s">
        <v>189</v>
      </c>
      <c r="F929" s="2" t="s">
        <v>19</v>
      </c>
      <c r="G929" t="s">
        <v>6191</v>
      </c>
      <c r="H929" t="str">
        <f>VLOOKUP('Combined table'!B929,products!$A$1:$G$49,2,FALSE)</f>
        <v>Exc</v>
      </c>
      <c r="I929" t="str">
        <f>VLOOKUP('Combined table'!B929,products!$A$1:$G$49,3,FALSE)</f>
        <v>D</v>
      </c>
      <c r="J929">
        <f>VLOOKUP('Combined table'!B929,products!$A$1:$G$49,4,FALSE)</f>
        <v>2.5</v>
      </c>
      <c r="K929">
        <f>VLOOKUP('Combined table'!B929,products!$A$1:$G$49,5,FALSE)</f>
        <v>27.945</v>
      </c>
      <c r="L929">
        <f>VLOOKUP('Combined table'!B929,products!$A$1:$G$49,6,FALSE)</f>
        <v>1.1177999999999999</v>
      </c>
      <c r="M929">
        <f>VLOOKUP('Combined table'!B929,products!$A$1:$G$49,7,FALSE)</f>
        <v>3.07395</v>
      </c>
      <c r="N929" t="str">
        <f>TEXT(A929,"mmm yyyy")</f>
        <v>Jan 2019</v>
      </c>
      <c r="O929">
        <f t="shared" si="14"/>
        <v>111.78</v>
      </c>
    </row>
    <row r="930" spans="1:15" x14ac:dyDescent="0.25">
      <c r="A930" s="3">
        <v>44754</v>
      </c>
      <c r="B930" t="s">
        <v>6166</v>
      </c>
      <c r="C930" s="2">
        <v>2</v>
      </c>
      <c r="D930" s="2" t="s">
        <v>5739</v>
      </c>
      <c r="E930" s="2" t="s">
        <v>57</v>
      </c>
      <c r="F930" s="2" t="s">
        <v>19</v>
      </c>
      <c r="G930" t="s">
        <v>6190</v>
      </c>
      <c r="H930" t="str">
        <f>VLOOKUP('Combined table'!B930,products!$A$1:$G$49,2,FALSE)</f>
        <v>Exc</v>
      </c>
      <c r="I930" t="str">
        <f>VLOOKUP('Combined table'!B930,products!$A$1:$G$49,3,FALSE)</f>
        <v>M</v>
      </c>
      <c r="J930">
        <f>VLOOKUP('Combined table'!B930,products!$A$1:$G$49,4,FALSE)</f>
        <v>2.5</v>
      </c>
      <c r="K930">
        <f>VLOOKUP('Combined table'!B930,products!$A$1:$G$49,5,FALSE)</f>
        <v>31.624999999999996</v>
      </c>
      <c r="L930">
        <f>VLOOKUP('Combined table'!B930,products!$A$1:$G$49,6,FALSE)</f>
        <v>1.2649999999999999</v>
      </c>
      <c r="M930">
        <f>VLOOKUP('Combined table'!B930,products!$A$1:$G$49,7,FALSE)</f>
        <v>3.4787499999999998</v>
      </c>
      <c r="N930" t="str">
        <f>TEXT(A930,"mmm yyyy")</f>
        <v>Jul 2022</v>
      </c>
      <c r="O930">
        <f t="shared" si="14"/>
        <v>63.249999999999993</v>
      </c>
    </row>
    <row r="931" spans="1:15" x14ac:dyDescent="0.25">
      <c r="A931" s="3">
        <v>44165</v>
      </c>
      <c r="B931" t="s">
        <v>6184</v>
      </c>
      <c r="C931" s="2">
        <v>2</v>
      </c>
      <c r="D931" s="2" t="s">
        <v>5744</v>
      </c>
      <c r="E931" s="2" t="s">
        <v>47</v>
      </c>
      <c r="F931" s="2" t="s">
        <v>19</v>
      </c>
      <c r="G931" t="s">
        <v>6190</v>
      </c>
      <c r="H931" t="str">
        <f>VLOOKUP('Combined table'!B931,products!$A$1:$G$49,2,FALSE)</f>
        <v>Exc</v>
      </c>
      <c r="I931" t="str">
        <f>VLOOKUP('Combined table'!B931,products!$A$1:$G$49,3,FALSE)</f>
        <v>L</v>
      </c>
      <c r="J931">
        <f>VLOOKUP('Combined table'!B931,products!$A$1:$G$49,4,FALSE)</f>
        <v>0.2</v>
      </c>
      <c r="K931">
        <f>VLOOKUP('Combined table'!B931,products!$A$1:$G$49,5,FALSE)</f>
        <v>4.4550000000000001</v>
      </c>
      <c r="L931">
        <f>VLOOKUP('Combined table'!B931,products!$A$1:$G$49,6,FALSE)</f>
        <v>2.2275</v>
      </c>
      <c r="M931">
        <f>VLOOKUP('Combined table'!B931,products!$A$1:$G$49,7,FALSE)</f>
        <v>0.49004999999999999</v>
      </c>
      <c r="N931" t="str">
        <f>TEXT(A931,"mmm yyyy")</f>
        <v>Nov 2020</v>
      </c>
      <c r="O931">
        <f t="shared" si="14"/>
        <v>8.91</v>
      </c>
    </row>
    <row r="932" spans="1:15" x14ac:dyDescent="0.25">
      <c r="A932" s="3">
        <v>43546</v>
      </c>
      <c r="B932" t="s">
        <v>6183</v>
      </c>
      <c r="C932" s="2">
        <v>1</v>
      </c>
      <c r="D932" s="2" t="s">
        <v>5750</v>
      </c>
      <c r="E932" s="2" t="s">
        <v>47</v>
      </c>
      <c r="F932" s="2" t="s">
        <v>19</v>
      </c>
      <c r="G932" t="s">
        <v>6190</v>
      </c>
      <c r="H932" t="str">
        <f>VLOOKUP('Combined table'!B932,products!$A$1:$G$49,2,FALSE)</f>
        <v>Exc</v>
      </c>
      <c r="I932" t="str">
        <f>VLOOKUP('Combined table'!B932,products!$A$1:$G$49,3,FALSE)</f>
        <v>D</v>
      </c>
      <c r="J932">
        <f>VLOOKUP('Combined table'!B932,products!$A$1:$G$49,4,FALSE)</f>
        <v>1</v>
      </c>
      <c r="K932">
        <f>VLOOKUP('Combined table'!B932,products!$A$1:$G$49,5,FALSE)</f>
        <v>12.15</v>
      </c>
      <c r="L932">
        <f>VLOOKUP('Combined table'!B932,products!$A$1:$G$49,6,FALSE)</f>
        <v>1.2150000000000001</v>
      </c>
      <c r="M932">
        <f>VLOOKUP('Combined table'!B932,products!$A$1:$G$49,7,FALSE)</f>
        <v>1.3365</v>
      </c>
      <c r="N932" t="str">
        <f>TEXT(A932,"mmm yyyy")</f>
        <v>Mar 2019</v>
      </c>
      <c r="O932">
        <f t="shared" si="14"/>
        <v>12.15</v>
      </c>
    </row>
    <row r="933" spans="1:15" x14ac:dyDescent="0.25">
      <c r="A933" s="3">
        <v>44607</v>
      </c>
      <c r="B933" t="s">
        <v>6158</v>
      </c>
      <c r="C933" s="2">
        <v>4</v>
      </c>
      <c r="D933" s="2" t="s">
        <v>5755</v>
      </c>
      <c r="E933" s="2" t="s">
        <v>313</v>
      </c>
      <c r="F933" s="2" t="s">
        <v>19</v>
      </c>
      <c r="G933" t="s">
        <v>6190</v>
      </c>
      <c r="H933" t="str">
        <f>VLOOKUP('Combined table'!B933,products!$A$1:$G$49,2,FALSE)</f>
        <v>Ara</v>
      </c>
      <c r="I933" t="str">
        <f>VLOOKUP('Combined table'!B933,products!$A$1:$G$49,3,FALSE)</f>
        <v>D</v>
      </c>
      <c r="J933">
        <f>VLOOKUP('Combined table'!B933,products!$A$1:$G$49,4,FALSE)</f>
        <v>0.5</v>
      </c>
      <c r="K933">
        <f>VLOOKUP('Combined table'!B933,products!$A$1:$G$49,5,FALSE)</f>
        <v>5.97</v>
      </c>
      <c r="L933">
        <f>VLOOKUP('Combined table'!B933,products!$A$1:$G$49,6,FALSE)</f>
        <v>1.194</v>
      </c>
      <c r="M933">
        <f>VLOOKUP('Combined table'!B933,products!$A$1:$G$49,7,FALSE)</f>
        <v>0.5373</v>
      </c>
      <c r="N933" t="str">
        <f>TEXT(A933,"mmm yyyy")</f>
        <v>Feb 2022</v>
      </c>
      <c r="O933">
        <f t="shared" si="14"/>
        <v>23.88</v>
      </c>
    </row>
    <row r="934" spans="1:15" x14ac:dyDescent="0.25">
      <c r="A934" s="3">
        <v>44117</v>
      </c>
      <c r="B934" t="s">
        <v>6141</v>
      </c>
      <c r="C934" s="2">
        <v>4</v>
      </c>
      <c r="D934" s="2" t="s">
        <v>5759</v>
      </c>
      <c r="E934" s="2" t="s">
        <v>92</v>
      </c>
      <c r="F934" s="2" t="s">
        <v>19</v>
      </c>
      <c r="G934" t="s">
        <v>6191</v>
      </c>
      <c r="H934" t="str">
        <f>VLOOKUP('Combined table'!B934,products!$A$1:$G$49,2,FALSE)</f>
        <v>Exc</v>
      </c>
      <c r="I934" t="str">
        <f>VLOOKUP('Combined table'!B934,products!$A$1:$G$49,3,FALSE)</f>
        <v>M</v>
      </c>
      <c r="J934">
        <f>VLOOKUP('Combined table'!B934,products!$A$1:$G$49,4,FALSE)</f>
        <v>1</v>
      </c>
      <c r="K934">
        <f>VLOOKUP('Combined table'!B934,products!$A$1:$G$49,5,FALSE)</f>
        <v>13.75</v>
      </c>
      <c r="L934">
        <f>VLOOKUP('Combined table'!B934,products!$A$1:$G$49,6,FALSE)</f>
        <v>1.375</v>
      </c>
      <c r="M934">
        <f>VLOOKUP('Combined table'!B934,products!$A$1:$G$49,7,FALSE)</f>
        <v>1.5125</v>
      </c>
      <c r="N934" t="str">
        <f>TEXT(A934,"mmm yyyy")</f>
        <v>Oct 2020</v>
      </c>
      <c r="O934">
        <f t="shared" si="14"/>
        <v>55</v>
      </c>
    </row>
    <row r="935" spans="1:15" x14ac:dyDescent="0.25">
      <c r="A935" s="3">
        <v>44557</v>
      </c>
      <c r="B935" t="s">
        <v>6177</v>
      </c>
      <c r="C935" s="2">
        <v>3</v>
      </c>
      <c r="D935" s="2" t="s">
        <v>5765</v>
      </c>
      <c r="E935" s="2" t="s">
        <v>77</v>
      </c>
      <c r="F935" s="2" t="s">
        <v>19</v>
      </c>
      <c r="G935" t="s">
        <v>6190</v>
      </c>
      <c r="H935" t="str">
        <f>VLOOKUP('Combined table'!B935,products!$A$1:$G$49,2,FALSE)</f>
        <v>Rob</v>
      </c>
      <c r="I935" t="str">
        <f>VLOOKUP('Combined table'!B935,products!$A$1:$G$49,3,FALSE)</f>
        <v>D</v>
      </c>
      <c r="J935">
        <f>VLOOKUP('Combined table'!B935,products!$A$1:$G$49,4,FALSE)</f>
        <v>1</v>
      </c>
      <c r="K935">
        <f>VLOOKUP('Combined table'!B935,products!$A$1:$G$49,5,FALSE)</f>
        <v>8.9499999999999993</v>
      </c>
      <c r="L935">
        <f>VLOOKUP('Combined table'!B935,products!$A$1:$G$49,6,FALSE)</f>
        <v>0.89499999999999991</v>
      </c>
      <c r="M935">
        <f>VLOOKUP('Combined table'!B935,products!$A$1:$G$49,7,FALSE)</f>
        <v>0.53699999999999992</v>
      </c>
      <c r="N935" t="str">
        <f>TEXT(A935,"mmm yyyy")</f>
        <v>Dec 2021</v>
      </c>
      <c r="O935">
        <f t="shared" si="14"/>
        <v>26.849999999999998</v>
      </c>
    </row>
    <row r="936" spans="1:15" x14ac:dyDescent="0.25">
      <c r="A936" s="3">
        <v>44409</v>
      </c>
      <c r="B936" t="s">
        <v>6151</v>
      </c>
      <c r="C936" s="2">
        <v>5</v>
      </c>
      <c r="D936" s="2" t="s">
        <v>5770</v>
      </c>
      <c r="E936" s="2" t="s">
        <v>156</v>
      </c>
      <c r="F936" s="2" t="s">
        <v>19</v>
      </c>
      <c r="G936" t="s">
        <v>6191</v>
      </c>
      <c r="H936" t="str">
        <f>VLOOKUP('Combined table'!B936,products!$A$1:$G$49,2,FALSE)</f>
        <v>Rob</v>
      </c>
      <c r="I936" t="str">
        <f>VLOOKUP('Combined table'!B936,products!$A$1:$G$49,3,FALSE)</f>
        <v>M</v>
      </c>
      <c r="J936">
        <f>VLOOKUP('Combined table'!B936,products!$A$1:$G$49,4,FALSE)</f>
        <v>2.5</v>
      </c>
      <c r="K936">
        <f>VLOOKUP('Combined table'!B936,products!$A$1:$G$49,5,FALSE)</f>
        <v>22.884999999999998</v>
      </c>
      <c r="L936">
        <f>VLOOKUP('Combined table'!B936,products!$A$1:$G$49,6,FALSE)</f>
        <v>0.91539999999999988</v>
      </c>
      <c r="M936">
        <f>VLOOKUP('Combined table'!B936,products!$A$1:$G$49,7,FALSE)</f>
        <v>1.3730999999999998</v>
      </c>
      <c r="N936" t="str">
        <f>TEXT(A936,"mmm yyyy")</f>
        <v>Aug 2021</v>
      </c>
      <c r="O936">
        <f t="shared" si="14"/>
        <v>114.42499999999998</v>
      </c>
    </row>
    <row r="937" spans="1:15" x14ac:dyDescent="0.25">
      <c r="A937" s="3">
        <v>44153</v>
      </c>
      <c r="B937" t="s">
        <v>6175</v>
      </c>
      <c r="C937" s="2">
        <v>6</v>
      </c>
      <c r="D937" s="2" t="s">
        <v>5776</v>
      </c>
      <c r="E937" s="2" t="s">
        <v>187</v>
      </c>
      <c r="F937" s="2" t="s">
        <v>19</v>
      </c>
      <c r="G937" t="s">
        <v>6190</v>
      </c>
      <c r="H937" t="str">
        <f>VLOOKUP('Combined table'!B937,products!$A$1:$G$49,2,FALSE)</f>
        <v>Ara</v>
      </c>
      <c r="I937" t="str">
        <f>VLOOKUP('Combined table'!B937,products!$A$1:$G$49,3,FALSE)</f>
        <v>M</v>
      </c>
      <c r="J937">
        <f>VLOOKUP('Combined table'!B937,products!$A$1:$G$49,4,FALSE)</f>
        <v>2.5</v>
      </c>
      <c r="K937">
        <f>VLOOKUP('Combined table'!B937,products!$A$1:$G$49,5,FALSE)</f>
        <v>25.874999999999996</v>
      </c>
      <c r="L937">
        <f>VLOOKUP('Combined table'!B937,products!$A$1:$G$49,6,FALSE)</f>
        <v>1.0349999999999999</v>
      </c>
      <c r="M937">
        <f>VLOOKUP('Combined table'!B937,products!$A$1:$G$49,7,FALSE)</f>
        <v>2.3287499999999994</v>
      </c>
      <c r="N937" t="str">
        <f>TEXT(A937,"mmm yyyy")</f>
        <v>Nov 2020</v>
      </c>
      <c r="O937">
        <f t="shared" si="14"/>
        <v>155.24999999999997</v>
      </c>
    </row>
    <row r="938" spans="1:15" x14ac:dyDescent="0.25">
      <c r="A938" s="3">
        <v>44493</v>
      </c>
      <c r="B938" t="s">
        <v>6169</v>
      </c>
      <c r="C938" s="2">
        <v>3</v>
      </c>
      <c r="D938" s="2" t="s">
        <v>5782</v>
      </c>
      <c r="E938" s="2" t="s">
        <v>87</v>
      </c>
      <c r="F938" s="2" t="s">
        <v>19</v>
      </c>
      <c r="G938" t="s">
        <v>6190</v>
      </c>
      <c r="H938" t="str">
        <f>VLOOKUP('Combined table'!B938,products!$A$1:$G$49,2,FALSE)</f>
        <v>Lib</v>
      </c>
      <c r="I938" t="str">
        <f>VLOOKUP('Combined table'!B938,products!$A$1:$G$49,3,FALSE)</f>
        <v>D</v>
      </c>
      <c r="J938">
        <f>VLOOKUP('Combined table'!B938,products!$A$1:$G$49,4,FALSE)</f>
        <v>0.5</v>
      </c>
      <c r="K938">
        <f>VLOOKUP('Combined table'!B938,products!$A$1:$G$49,5,FALSE)</f>
        <v>7.77</v>
      </c>
      <c r="L938">
        <f>VLOOKUP('Combined table'!B938,products!$A$1:$G$49,6,FALSE)</f>
        <v>1.5539999999999998</v>
      </c>
      <c r="M938">
        <f>VLOOKUP('Combined table'!B938,products!$A$1:$G$49,7,FALSE)</f>
        <v>1.0101</v>
      </c>
      <c r="N938" t="str">
        <f>TEXT(A938,"mmm yyyy")</f>
        <v>Oct 2021</v>
      </c>
      <c r="O938">
        <f t="shared" si="14"/>
        <v>23.31</v>
      </c>
    </row>
    <row r="939" spans="1:15" x14ac:dyDescent="0.25">
      <c r="A939" s="3">
        <v>44493</v>
      </c>
      <c r="B939" t="s">
        <v>6151</v>
      </c>
      <c r="C939" s="2">
        <v>4</v>
      </c>
      <c r="D939" s="2" t="s">
        <v>5787</v>
      </c>
      <c r="E939" s="2" t="s">
        <v>56</v>
      </c>
      <c r="F939" s="2" t="s">
        <v>19</v>
      </c>
      <c r="G939" t="s">
        <v>6191</v>
      </c>
      <c r="H939" t="str">
        <f>VLOOKUP('Combined table'!B939,products!$A$1:$G$49,2,FALSE)</f>
        <v>Rob</v>
      </c>
      <c r="I939" t="str">
        <f>VLOOKUP('Combined table'!B939,products!$A$1:$G$49,3,FALSE)</f>
        <v>M</v>
      </c>
      <c r="J939">
        <f>VLOOKUP('Combined table'!B939,products!$A$1:$G$49,4,FALSE)</f>
        <v>2.5</v>
      </c>
      <c r="K939">
        <f>VLOOKUP('Combined table'!B939,products!$A$1:$G$49,5,FALSE)</f>
        <v>22.884999999999998</v>
      </c>
      <c r="L939">
        <f>VLOOKUP('Combined table'!B939,products!$A$1:$G$49,6,FALSE)</f>
        <v>0.91539999999999988</v>
      </c>
      <c r="M939">
        <f>VLOOKUP('Combined table'!B939,products!$A$1:$G$49,7,FALSE)</f>
        <v>1.3730999999999998</v>
      </c>
      <c r="N939" t="str">
        <f>TEXT(A939,"mmm yyyy")</f>
        <v>Oct 2021</v>
      </c>
      <c r="O939">
        <f t="shared" si="14"/>
        <v>91.539999999999992</v>
      </c>
    </row>
    <row r="940" spans="1:15" x14ac:dyDescent="0.25">
      <c r="A940" s="3">
        <v>43829</v>
      </c>
      <c r="B940" t="s">
        <v>6171</v>
      </c>
      <c r="C940" s="2">
        <v>5</v>
      </c>
      <c r="D940" s="2" t="s">
        <v>5793</v>
      </c>
      <c r="E940" s="2" t="s">
        <v>63</v>
      </c>
      <c r="F940" s="2" t="s">
        <v>19</v>
      </c>
      <c r="G940" t="s">
        <v>6190</v>
      </c>
      <c r="H940" t="str">
        <f>VLOOKUP('Combined table'!B940,products!$A$1:$G$49,2,FALSE)</f>
        <v>Exc</v>
      </c>
      <c r="I940" t="str">
        <f>VLOOKUP('Combined table'!B940,products!$A$1:$G$49,3,FALSE)</f>
        <v>L</v>
      </c>
      <c r="J940">
        <f>VLOOKUP('Combined table'!B940,products!$A$1:$G$49,4,FALSE)</f>
        <v>1</v>
      </c>
      <c r="K940">
        <f>VLOOKUP('Combined table'!B940,products!$A$1:$G$49,5,FALSE)</f>
        <v>14.85</v>
      </c>
      <c r="L940">
        <f>VLOOKUP('Combined table'!B940,products!$A$1:$G$49,6,FALSE)</f>
        <v>1.4849999999999999</v>
      </c>
      <c r="M940">
        <f>VLOOKUP('Combined table'!B940,products!$A$1:$G$49,7,FALSE)</f>
        <v>1.6335</v>
      </c>
      <c r="N940" t="str">
        <f>TEXT(A940,"mmm yyyy")</f>
        <v>Dec 2019</v>
      </c>
      <c r="O940">
        <f t="shared" si="14"/>
        <v>74.25</v>
      </c>
    </row>
    <row r="941" spans="1:15" x14ac:dyDescent="0.25">
      <c r="A941" s="3">
        <v>44229</v>
      </c>
      <c r="B941" t="s">
        <v>6145</v>
      </c>
      <c r="C941" s="2">
        <v>6</v>
      </c>
      <c r="D941" s="2" t="s">
        <v>5799</v>
      </c>
      <c r="E941" s="2" t="s">
        <v>227</v>
      </c>
      <c r="F941" s="2" t="s">
        <v>19</v>
      </c>
      <c r="G941" t="s">
        <v>6191</v>
      </c>
      <c r="H941" t="str">
        <f>VLOOKUP('Combined table'!B941,products!$A$1:$G$49,2,FALSE)</f>
        <v>Lib</v>
      </c>
      <c r="I941" t="str">
        <f>VLOOKUP('Combined table'!B941,products!$A$1:$G$49,3,FALSE)</f>
        <v>L</v>
      </c>
      <c r="J941">
        <f>VLOOKUP('Combined table'!B941,products!$A$1:$G$49,4,FALSE)</f>
        <v>0.2</v>
      </c>
      <c r="K941">
        <f>VLOOKUP('Combined table'!B941,products!$A$1:$G$49,5,FALSE)</f>
        <v>4.7549999999999999</v>
      </c>
      <c r="L941">
        <f>VLOOKUP('Combined table'!B941,products!$A$1:$G$49,6,FALSE)</f>
        <v>2.3774999999999999</v>
      </c>
      <c r="M941">
        <f>VLOOKUP('Combined table'!B941,products!$A$1:$G$49,7,FALSE)</f>
        <v>0.61814999999999998</v>
      </c>
      <c r="N941" t="str">
        <f>TEXT(A941,"mmm yyyy")</f>
        <v>Feb 2021</v>
      </c>
      <c r="O941">
        <f t="shared" si="14"/>
        <v>28.53</v>
      </c>
    </row>
    <row r="942" spans="1:15" x14ac:dyDescent="0.25">
      <c r="A942" s="3">
        <v>44332</v>
      </c>
      <c r="B942" t="s">
        <v>6173</v>
      </c>
      <c r="C942" s="2">
        <v>2</v>
      </c>
      <c r="D942" s="2" t="s">
        <v>5805</v>
      </c>
      <c r="E942" s="2" t="s">
        <v>47</v>
      </c>
      <c r="F942" s="2" t="s">
        <v>19</v>
      </c>
      <c r="G942" t="s">
        <v>6190</v>
      </c>
      <c r="H942" t="str">
        <f>VLOOKUP('Combined table'!B942,products!$A$1:$G$49,2,FALSE)</f>
        <v>Rob</v>
      </c>
      <c r="I942" t="str">
        <f>VLOOKUP('Combined table'!B942,products!$A$1:$G$49,3,FALSE)</f>
        <v>L</v>
      </c>
      <c r="J942">
        <f>VLOOKUP('Combined table'!B942,products!$A$1:$G$49,4,FALSE)</f>
        <v>0.5</v>
      </c>
      <c r="K942">
        <f>VLOOKUP('Combined table'!B942,products!$A$1:$G$49,5,FALSE)</f>
        <v>7.169999999999999</v>
      </c>
      <c r="L942">
        <f>VLOOKUP('Combined table'!B942,products!$A$1:$G$49,6,FALSE)</f>
        <v>1.4339999999999997</v>
      </c>
      <c r="M942">
        <f>VLOOKUP('Combined table'!B942,products!$A$1:$G$49,7,FALSE)</f>
        <v>0.43019999999999992</v>
      </c>
      <c r="N942" t="str">
        <f>TEXT(A942,"mmm yyyy")</f>
        <v>May 2021</v>
      </c>
      <c r="O942">
        <f t="shared" si="14"/>
        <v>14.339999999999998</v>
      </c>
    </row>
    <row r="943" spans="1:15" x14ac:dyDescent="0.25">
      <c r="A943" s="3">
        <v>44674</v>
      </c>
      <c r="B943" t="s">
        <v>6180</v>
      </c>
      <c r="C943" s="2">
        <v>2</v>
      </c>
      <c r="D943" s="2" t="s">
        <v>5811</v>
      </c>
      <c r="E943" s="2" t="s">
        <v>5815</v>
      </c>
      <c r="F943" s="2" t="s">
        <v>318</v>
      </c>
      <c r="G943" t="s">
        <v>6190</v>
      </c>
      <c r="H943" t="str">
        <f>VLOOKUP('Combined table'!B943,products!$A$1:$G$49,2,FALSE)</f>
        <v>Ara</v>
      </c>
      <c r="I943" t="str">
        <f>VLOOKUP('Combined table'!B943,products!$A$1:$G$49,3,FALSE)</f>
        <v>L</v>
      </c>
      <c r="J943">
        <f>VLOOKUP('Combined table'!B943,products!$A$1:$G$49,4,FALSE)</f>
        <v>0.5</v>
      </c>
      <c r="K943">
        <f>VLOOKUP('Combined table'!B943,products!$A$1:$G$49,5,FALSE)</f>
        <v>7.77</v>
      </c>
      <c r="L943">
        <f>VLOOKUP('Combined table'!B943,products!$A$1:$G$49,6,FALSE)</f>
        <v>1.5539999999999998</v>
      </c>
      <c r="M943">
        <f>VLOOKUP('Combined table'!B943,products!$A$1:$G$49,7,FALSE)</f>
        <v>0.69929999999999992</v>
      </c>
      <c r="N943" t="str">
        <f>TEXT(A943,"mmm yyyy")</f>
        <v>Apr 2022</v>
      </c>
      <c r="O943">
        <f t="shared" si="14"/>
        <v>15.54</v>
      </c>
    </row>
    <row r="944" spans="1:15" x14ac:dyDescent="0.25">
      <c r="A944" s="3">
        <v>44464</v>
      </c>
      <c r="B944" t="s">
        <v>6179</v>
      </c>
      <c r="C944" s="2">
        <v>3</v>
      </c>
      <c r="D944" s="2" t="s">
        <v>5818</v>
      </c>
      <c r="E944" s="2" t="s">
        <v>167</v>
      </c>
      <c r="F944" s="2" t="s">
        <v>19</v>
      </c>
      <c r="G944" t="s">
        <v>6191</v>
      </c>
      <c r="H944" t="str">
        <f>VLOOKUP('Combined table'!B944,products!$A$1:$G$49,2,FALSE)</f>
        <v>Rob</v>
      </c>
      <c r="I944" t="str">
        <f>VLOOKUP('Combined table'!B944,products!$A$1:$G$49,3,FALSE)</f>
        <v>L</v>
      </c>
      <c r="J944">
        <f>VLOOKUP('Combined table'!B944,products!$A$1:$G$49,4,FALSE)</f>
        <v>1</v>
      </c>
      <c r="K944">
        <f>VLOOKUP('Combined table'!B944,products!$A$1:$G$49,5,FALSE)</f>
        <v>11.95</v>
      </c>
      <c r="L944">
        <f>VLOOKUP('Combined table'!B944,products!$A$1:$G$49,6,FALSE)</f>
        <v>1.1949999999999998</v>
      </c>
      <c r="M944">
        <f>VLOOKUP('Combined table'!B944,products!$A$1:$G$49,7,FALSE)</f>
        <v>0.71699999999999997</v>
      </c>
      <c r="N944" t="str">
        <f>TEXT(A944,"mmm yyyy")</f>
        <v>Sep 2021</v>
      </c>
      <c r="O944">
        <f t="shared" si="14"/>
        <v>35.849999999999994</v>
      </c>
    </row>
    <row r="945" spans="1:15" x14ac:dyDescent="0.25">
      <c r="A945" s="3">
        <v>44719</v>
      </c>
      <c r="B945" t="s">
        <v>6180</v>
      </c>
      <c r="C945" s="2">
        <v>6</v>
      </c>
      <c r="D945" s="2" t="s">
        <v>5824</v>
      </c>
      <c r="E945" s="2" t="s">
        <v>175</v>
      </c>
      <c r="F945" s="2" t="s">
        <v>19</v>
      </c>
      <c r="G945" t="s">
        <v>6191</v>
      </c>
      <c r="H945" t="str">
        <f>VLOOKUP('Combined table'!B945,products!$A$1:$G$49,2,FALSE)</f>
        <v>Ara</v>
      </c>
      <c r="I945" t="str">
        <f>VLOOKUP('Combined table'!B945,products!$A$1:$G$49,3,FALSE)</f>
        <v>L</v>
      </c>
      <c r="J945">
        <f>VLOOKUP('Combined table'!B945,products!$A$1:$G$49,4,FALSE)</f>
        <v>0.5</v>
      </c>
      <c r="K945">
        <f>VLOOKUP('Combined table'!B945,products!$A$1:$G$49,5,FALSE)</f>
        <v>7.77</v>
      </c>
      <c r="L945">
        <f>VLOOKUP('Combined table'!B945,products!$A$1:$G$49,6,FALSE)</f>
        <v>1.5539999999999998</v>
      </c>
      <c r="M945">
        <f>VLOOKUP('Combined table'!B945,products!$A$1:$G$49,7,FALSE)</f>
        <v>0.69929999999999992</v>
      </c>
      <c r="N945" t="str">
        <f>TEXT(A945,"mmm yyyy")</f>
        <v>Jun 2022</v>
      </c>
      <c r="O945">
        <f t="shared" si="14"/>
        <v>46.62</v>
      </c>
    </row>
    <row r="946" spans="1:15" x14ac:dyDescent="0.25">
      <c r="A946" s="3">
        <v>44054</v>
      </c>
      <c r="B946" t="s">
        <v>6173</v>
      </c>
      <c r="C946" s="2">
        <v>5</v>
      </c>
      <c r="D946" s="2" t="s">
        <v>5830</v>
      </c>
      <c r="E946" s="2" t="s">
        <v>134</v>
      </c>
      <c r="F946" s="2" t="s">
        <v>19</v>
      </c>
      <c r="G946" t="s">
        <v>6191</v>
      </c>
      <c r="H946" t="str">
        <f>VLOOKUP('Combined table'!B946,products!$A$1:$G$49,2,FALSE)</f>
        <v>Rob</v>
      </c>
      <c r="I946" t="str">
        <f>VLOOKUP('Combined table'!B946,products!$A$1:$G$49,3,FALSE)</f>
        <v>L</v>
      </c>
      <c r="J946">
        <f>VLOOKUP('Combined table'!B946,products!$A$1:$G$49,4,FALSE)</f>
        <v>0.5</v>
      </c>
      <c r="K946">
        <f>VLOOKUP('Combined table'!B946,products!$A$1:$G$49,5,FALSE)</f>
        <v>7.169999999999999</v>
      </c>
      <c r="L946">
        <f>VLOOKUP('Combined table'!B946,products!$A$1:$G$49,6,FALSE)</f>
        <v>1.4339999999999997</v>
      </c>
      <c r="M946">
        <f>VLOOKUP('Combined table'!B946,products!$A$1:$G$49,7,FALSE)</f>
        <v>0.43019999999999992</v>
      </c>
      <c r="N946" t="str">
        <f>TEXT(A946,"mmm yyyy")</f>
        <v>Aug 2020</v>
      </c>
      <c r="O946">
        <f t="shared" si="14"/>
        <v>35.849999999999994</v>
      </c>
    </row>
    <row r="947" spans="1:15" x14ac:dyDescent="0.25">
      <c r="A947" s="3">
        <v>43524</v>
      </c>
      <c r="B947" t="s">
        <v>6165</v>
      </c>
      <c r="C947" s="2">
        <v>4</v>
      </c>
      <c r="D947" s="2" t="s">
        <v>5836</v>
      </c>
      <c r="E947" s="2" t="s">
        <v>50</v>
      </c>
      <c r="F947" s="2" t="s">
        <v>19</v>
      </c>
      <c r="G947" t="s">
        <v>6191</v>
      </c>
      <c r="H947" t="str">
        <f>VLOOKUP('Combined table'!B947,products!$A$1:$G$49,2,FALSE)</f>
        <v>Lib</v>
      </c>
      <c r="I947" t="str">
        <f>VLOOKUP('Combined table'!B947,products!$A$1:$G$49,3,FALSE)</f>
        <v>D</v>
      </c>
      <c r="J947">
        <f>VLOOKUP('Combined table'!B947,products!$A$1:$G$49,4,FALSE)</f>
        <v>2.5</v>
      </c>
      <c r="K947">
        <f>VLOOKUP('Combined table'!B947,products!$A$1:$G$49,5,FALSE)</f>
        <v>29.784999999999997</v>
      </c>
      <c r="L947">
        <f>VLOOKUP('Combined table'!B947,products!$A$1:$G$49,6,FALSE)</f>
        <v>1.1913999999999998</v>
      </c>
      <c r="M947">
        <f>VLOOKUP('Combined table'!B947,products!$A$1:$G$49,7,FALSE)</f>
        <v>3.8720499999999998</v>
      </c>
      <c r="N947" t="str">
        <f>TEXT(A947,"mmm yyyy")</f>
        <v>Feb 2019</v>
      </c>
      <c r="O947">
        <f t="shared" si="14"/>
        <v>119.13999999999999</v>
      </c>
    </row>
    <row r="948" spans="1:15" x14ac:dyDescent="0.25">
      <c r="A948" s="3">
        <v>43719</v>
      </c>
      <c r="B948" t="s">
        <v>6169</v>
      </c>
      <c r="C948" s="2">
        <v>3</v>
      </c>
      <c r="D948" s="2" t="s">
        <v>5841</v>
      </c>
      <c r="E948" s="2" t="s">
        <v>144</v>
      </c>
      <c r="F948" s="2" t="s">
        <v>19</v>
      </c>
      <c r="G948" t="s">
        <v>6191</v>
      </c>
      <c r="H948" t="str">
        <f>VLOOKUP('Combined table'!B948,products!$A$1:$G$49,2,FALSE)</f>
        <v>Lib</v>
      </c>
      <c r="I948" t="str">
        <f>VLOOKUP('Combined table'!B948,products!$A$1:$G$49,3,FALSE)</f>
        <v>D</v>
      </c>
      <c r="J948">
        <f>VLOOKUP('Combined table'!B948,products!$A$1:$G$49,4,FALSE)</f>
        <v>0.5</v>
      </c>
      <c r="K948">
        <f>VLOOKUP('Combined table'!B948,products!$A$1:$G$49,5,FALSE)</f>
        <v>7.77</v>
      </c>
      <c r="L948">
        <f>VLOOKUP('Combined table'!B948,products!$A$1:$G$49,6,FALSE)</f>
        <v>1.5539999999999998</v>
      </c>
      <c r="M948">
        <f>VLOOKUP('Combined table'!B948,products!$A$1:$G$49,7,FALSE)</f>
        <v>1.0101</v>
      </c>
      <c r="N948" t="str">
        <f>TEXT(A948,"mmm yyyy")</f>
        <v>Sep 2019</v>
      </c>
      <c r="O948">
        <f t="shared" si="14"/>
        <v>23.31</v>
      </c>
    </row>
    <row r="949" spans="1:15" x14ac:dyDescent="0.25">
      <c r="A949" s="3">
        <v>44294</v>
      </c>
      <c r="B949" t="s">
        <v>6155</v>
      </c>
      <c r="C949" s="2">
        <v>1</v>
      </c>
      <c r="D949" s="2" t="s">
        <v>5846</v>
      </c>
      <c r="E949" s="2" t="s">
        <v>320</v>
      </c>
      <c r="F949" s="2" t="s">
        <v>318</v>
      </c>
      <c r="G949" t="s">
        <v>6191</v>
      </c>
      <c r="H949" t="str">
        <f>VLOOKUP('Combined table'!B949,products!$A$1:$G$49,2,FALSE)</f>
        <v>Ara</v>
      </c>
      <c r="I949" t="str">
        <f>VLOOKUP('Combined table'!B949,products!$A$1:$G$49,3,FALSE)</f>
        <v>M</v>
      </c>
      <c r="J949">
        <f>VLOOKUP('Combined table'!B949,products!$A$1:$G$49,4,FALSE)</f>
        <v>1</v>
      </c>
      <c r="K949">
        <f>VLOOKUP('Combined table'!B949,products!$A$1:$G$49,5,FALSE)</f>
        <v>11.25</v>
      </c>
      <c r="L949">
        <f>VLOOKUP('Combined table'!B949,products!$A$1:$G$49,6,FALSE)</f>
        <v>1.125</v>
      </c>
      <c r="M949">
        <f>VLOOKUP('Combined table'!B949,products!$A$1:$G$49,7,FALSE)</f>
        <v>1.0125</v>
      </c>
      <c r="N949" t="str">
        <f>TEXT(A949,"mmm yyyy")</f>
        <v>Apr 2021</v>
      </c>
      <c r="O949">
        <f t="shared" si="14"/>
        <v>11.25</v>
      </c>
    </row>
    <row r="950" spans="1:15" x14ac:dyDescent="0.25">
      <c r="A950" s="3">
        <v>44445</v>
      </c>
      <c r="B950" t="s">
        <v>6185</v>
      </c>
      <c r="C950" s="2">
        <v>3</v>
      </c>
      <c r="D950" s="2" t="s">
        <v>5851</v>
      </c>
      <c r="E950" s="2" t="s">
        <v>180</v>
      </c>
      <c r="F950" s="2" t="s">
        <v>28</v>
      </c>
      <c r="G950" t="s">
        <v>6190</v>
      </c>
      <c r="H950" t="str">
        <f>VLOOKUP('Combined table'!B950,products!$A$1:$G$49,2,FALSE)</f>
        <v>Exc</v>
      </c>
      <c r="I950" t="str">
        <f>VLOOKUP('Combined table'!B950,products!$A$1:$G$49,3,FALSE)</f>
        <v>D</v>
      </c>
      <c r="J950">
        <f>VLOOKUP('Combined table'!B950,products!$A$1:$G$49,4,FALSE)</f>
        <v>2.5</v>
      </c>
      <c r="K950">
        <f>VLOOKUP('Combined table'!B950,products!$A$1:$G$49,5,FALSE)</f>
        <v>27.945</v>
      </c>
      <c r="L950">
        <f>VLOOKUP('Combined table'!B950,products!$A$1:$G$49,6,FALSE)</f>
        <v>1.1177999999999999</v>
      </c>
      <c r="M950">
        <f>VLOOKUP('Combined table'!B950,products!$A$1:$G$49,7,FALSE)</f>
        <v>3.07395</v>
      </c>
      <c r="N950" t="str">
        <f>TEXT(A950,"mmm yyyy")</f>
        <v>Sep 2021</v>
      </c>
      <c r="O950">
        <f t="shared" si="14"/>
        <v>83.835000000000008</v>
      </c>
    </row>
    <row r="951" spans="1:15" x14ac:dyDescent="0.25">
      <c r="A951" s="3">
        <v>44449</v>
      </c>
      <c r="B951" t="s">
        <v>6142</v>
      </c>
      <c r="C951" s="2">
        <v>4</v>
      </c>
      <c r="D951" s="2" t="s">
        <v>5857</v>
      </c>
      <c r="E951" s="2" t="s">
        <v>489</v>
      </c>
      <c r="F951" s="2" t="s">
        <v>318</v>
      </c>
      <c r="G951" t="s">
        <v>6191</v>
      </c>
      <c r="H951" t="str">
        <f>VLOOKUP('Combined table'!B951,products!$A$1:$G$49,2,FALSE)</f>
        <v>Rob</v>
      </c>
      <c r="I951" t="str">
        <f>VLOOKUP('Combined table'!B951,products!$A$1:$G$49,3,FALSE)</f>
        <v>L</v>
      </c>
      <c r="J951">
        <f>VLOOKUP('Combined table'!B951,products!$A$1:$G$49,4,FALSE)</f>
        <v>2.5</v>
      </c>
      <c r="K951">
        <f>VLOOKUP('Combined table'!B951,products!$A$1:$G$49,5,FALSE)</f>
        <v>27.484999999999996</v>
      </c>
      <c r="L951">
        <f>VLOOKUP('Combined table'!B951,products!$A$1:$G$49,6,FALSE)</f>
        <v>1.0993999999999999</v>
      </c>
      <c r="M951">
        <f>VLOOKUP('Combined table'!B951,products!$A$1:$G$49,7,FALSE)</f>
        <v>1.6490999999999998</v>
      </c>
      <c r="N951" t="str">
        <f>TEXT(A951,"mmm yyyy")</f>
        <v>Sep 2021</v>
      </c>
      <c r="O951">
        <f t="shared" si="14"/>
        <v>109.93999999999998</v>
      </c>
    </row>
    <row r="952" spans="1:15" x14ac:dyDescent="0.25">
      <c r="A952" s="3">
        <v>44703</v>
      </c>
      <c r="B952" t="s">
        <v>6178</v>
      </c>
      <c r="C952" s="2">
        <v>4</v>
      </c>
      <c r="D952" s="2" t="s">
        <v>5863</v>
      </c>
      <c r="E952" s="2" t="s">
        <v>168</v>
      </c>
      <c r="F952" s="2" t="s">
        <v>19</v>
      </c>
      <c r="G952" t="s">
        <v>6190</v>
      </c>
      <c r="H952" t="str">
        <f>VLOOKUP('Combined table'!B952,products!$A$1:$G$49,2,FALSE)</f>
        <v>Rob</v>
      </c>
      <c r="I952" t="str">
        <f>VLOOKUP('Combined table'!B952,products!$A$1:$G$49,3,FALSE)</f>
        <v>L</v>
      </c>
      <c r="J952">
        <f>VLOOKUP('Combined table'!B952,products!$A$1:$G$49,4,FALSE)</f>
        <v>0.2</v>
      </c>
      <c r="K952">
        <f>VLOOKUP('Combined table'!B952,products!$A$1:$G$49,5,FALSE)</f>
        <v>3.5849999999999995</v>
      </c>
      <c r="L952">
        <f>VLOOKUP('Combined table'!B952,products!$A$1:$G$49,6,FALSE)</f>
        <v>1.7924999999999998</v>
      </c>
      <c r="M952">
        <f>VLOOKUP('Combined table'!B952,products!$A$1:$G$49,7,FALSE)</f>
        <v>0.21509999999999996</v>
      </c>
      <c r="N952" t="str">
        <f>TEXT(A952,"mmm yyyy")</f>
        <v>May 2022</v>
      </c>
      <c r="O952">
        <f t="shared" si="14"/>
        <v>14.339999999999998</v>
      </c>
    </row>
    <row r="953" spans="1:15" x14ac:dyDescent="0.25">
      <c r="A953" s="3">
        <v>44092</v>
      </c>
      <c r="B953" t="s">
        <v>6178</v>
      </c>
      <c r="C953" s="2">
        <v>6</v>
      </c>
      <c r="D953" s="2" t="s">
        <v>5868</v>
      </c>
      <c r="E953" s="2" t="s">
        <v>172</v>
      </c>
      <c r="F953" s="2" t="s">
        <v>19</v>
      </c>
      <c r="G953" t="s">
        <v>6191</v>
      </c>
      <c r="H953" t="str">
        <f>VLOOKUP('Combined table'!B953,products!$A$1:$G$49,2,FALSE)</f>
        <v>Rob</v>
      </c>
      <c r="I953" t="str">
        <f>VLOOKUP('Combined table'!B953,products!$A$1:$G$49,3,FALSE)</f>
        <v>L</v>
      </c>
      <c r="J953">
        <f>VLOOKUP('Combined table'!B953,products!$A$1:$G$49,4,FALSE)</f>
        <v>0.2</v>
      </c>
      <c r="K953">
        <f>VLOOKUP('Combined table'!B953,products!$A$1:$G$49,5,FALSE)</f>
        <v>3.5849999999999995</v>
      </c>
      <c r="L953">
        <f>VLOOKUP('Combined table'!B953,products!$A$1:$G$49,6,FALSE)</f>
        <v>1.7924999999999998</v>
      </c>
      <c r="M953">
        <f>VLOOKUP('Combined table'!B953,products!$A$1:$G$49,7,FALSE)</f>
        <v>0.21509999999999996</v>
      </c>
      <c r="N953" t="str">
        <f>TEXT(A953,"mmm yyyy")</f>
        <v>Sep 2020</v>
      </c>
      <c r="O953">
        <f t="shared" si="14"/>
        <v>21.509999999999998</v>
      </c>
    </row>
    <row r="954" spans="1:15" x14ac:dyDescent="0.25">
      <c r="A954" s="3">
        <v>44439</v>
      </c>
      <c r="B954" t="s">
        <v>6155</v>
      </c>
      <c r="C954" s="2">
        <v>2</v>
      </c>
      <c r="D954" s="2" t="s">
        <v>5874</v>
      </c>
      <c r="E954" s="2" t="s">
        <v>5815</v>
      </c>
      <c r="F954" s="2" t="s">
        <v>318</v>
      </c>
      <c r="G954" t="s">
        <v>6190</v>
      </c>
      <c r="H954" t="str">
        <f>VLOOKUP('Combined table'!B954,products!$A$1:$G$49,2,FALSE)</f>
        <v>Ara</v>
      </c>
      <c r="I954" t="str">
        <f>VLOOKUP('Combined table'!B954,products!$A$1:$G$49,3,FALSE)</f>
        <v>M</v>
      </c>
      <c r="J954">
        <f>VLOOKUP('Combined table'!B954,products!$A$1:$G$49,4,FALSE)</f>
        <v>1</v>
      </c>
      <c r="K954">
        <f>VLOOKUP('Combined table'!B954,products!$A$1:$G$49,5,FALSE)</f>
        <v>11.25</v>
      </c>
      <c r="L954">
        <f>VLOOKUP('Combined table'!B954,products!$A$1:$G$49,6,FALSE)</f>
        <v>1.125</v>
      </c>
      <c r="M954">
        <f>VLOOKUP('Combined table'!B954,products!$A$1:$G$49,7,FALSE)</f>
        <v>1.0125</v>
      </c>
      <c r="N954" t="str">
        <f>TEXT(A954,"mmm yyyy")</f>
        <v>Aug 2021</v>
      </c>
      <c r="O954">
        <f t="shared" si="14"/>
        <v>22.5</v>
      </c>
    </row>
    <row r="955" spans="1:15" x14ac:dyDescent="0.25">
      <c r="A955" s="3">
        <v>44582</v>
      </c>
      <c r="B955" t="s">
        <v>6167</v>
      </c>
      <c r="C955" s="2">
        <v>1</v>
      </c>
      <c r="D955" s="2" t="s">
        <v>5880</v>
      </c>
      <c r="E955" s="2" t="s">
        <v>50</v>
      </c>
      <c r="F955" s="2" t="s">
        <v>19</v>
      </c>
      <c r="G955" t="s">
        <v>6190</v>
      </c>
      <c r="H955" t="str">
        <f>VLOOKUP('Combined table'!B955,products!$A$1:$G$49,2,FALSE)</f>
        <v>Ara</v>
      </c>
      <c r="I955" t="str">
        <f>VLOOKUP('Combined table'!B955,products!$A$1:$G$49,3,FALSE)</f>
        <v>L</v>
      </c>
      <c r="J955">
        <f>VLOOKUP('Combined table'!B955,products!$A$1:$G$49,4,FALSE)</f>
        <v>0.2</v>
      </c>
      <c r="K955">
        <f>VLOOKUP('Combined table'!B955,products!$A$1:$G$49,5,FALSE)</f>
        <v>3.8849999999999998</v>
      </c>
      <c r="L955">
        <f>VLOOKUP('Combined table'!B955,products!$A$1:$G$49,6,FALSE)</f>
        <v>1.9424999999999999</v>
      </c>
      <c r="M955">
        <f>VLOOKUP('Combined table'!B955,products!$A$1:$G$49,7,FALSE)</f>
        <v>0.34964999999999996</v>
      </c>
      <c r="N955" t="str">
        <f>TEXT(A955,"mmm yyyy")</f>
        <v>Jan 2022</v>
      </c>
      <c r="O955">
        <f t="shared" si="14"/>
        <v>3.8849999999999998</v>
      </c>
    </row>
    <row r="956" spans="1:15" x14ac:dyDescent="0.25">
      <c r="A956" s="3">
        <v>44722</v>
      </c>
      <c r="B956" t="s">
        <v>6185</v>
      </c>
      <c r="C956" s="2">
        <v>1</v>
      </c>
      <c r="D956" s="2" t="s">
        <v>5886</v>
      </c>
      <c r="E956" s="2" t="s">
        <v>104</v>
      </c>
      <c r="F956" s="2" t="s">
        <v>19</v>
      </c>
      <c r="G956" t="s">
        <v>6190</v>
      </c>
      <c r="H956" t="str">
        <f>VLOOKUP('Combined table'!B956,products!$A$1:$G$49,2,FALSE)</f>
        <v>Exc</v>
      </c>
      <c r="I956" t="str">
        <f>VLOOKUP('Combined table'!B956,products!$A$1:$G$49,3,FALSE)</f>
        <v>D</v>
      </c>
      <c r="J956">
        <f>VLOOKUP('Combined table'!B956,products!$A$1:$G$49,4,FALSE)</f>
        <v>2.5</v>
      </c>
      <c r="K956">
        <f>VLOOKUP('Combined table'!B956,products!$A$1:$G$49,5,FALSE)</f>
        <v>27.945</v>
      </c>
      <c r="L956">
        <f>VLOOKUP('Combined table'!B956,products!$A$1:$G$49,6,FALSE)</f>
        <v>1.1177999999999999</v>
      </c>
      <c r="M956">
        <f>VLOOKUP('Combined table'!B956,products!$A$1:$G$49,7,FALSE)</f>
        <v>3.07395</v>
      </c>
      <c r="N956" t="str">
        <f>TEXT(A956,"mmm yyyy")</f>
        <v>Jun 2022</v>
      </c>
      <c r="O956">
        <f t="shared" si="14"/>
        <v>27.945</v>
      </c>
    </row>
    <row r="957" spans="1:15" x14ac:dyDescent="0.25">
      <c r="A957" s="3">
        <v>43582</v>
      </c>
      <c r="B957" t="s">
        <v>6148</v>
      </c>
      <c r="C957" s="2">
        <v>5</v>
      </c>
      <c r="D957" s="2" t="s">
        <v>5892</v>
      </c>
      <c r="E957" s="2" t="s">
        <v>4511</v>
      </c>
      <c r="F957" s="2" t="s">
        <v>19</v>
      </c>
      <c r="G957" t="s">
        <v>6190</v>
      </c>
      <c r="H957" t="str">
        <f>VLOOKUP('Combined table'!B957,products!$A$1:$G$49,2,FALSE)</f>
        <v>Exc</v>
      </c>
      <c r="I957" t="str">
        <f>VLOOKUP('Combined table'!B957,products!$A$1:$G$49,3,FALSE)</f>
        <v>L</v>
      </c>
      <c r="J957">
        <f>VLOOKUP('Combined table'!B957,products!$A$1:$G$49,4,FALSE)</f>
        <v>2.5</v>
      </c>
      <c r="K957">
        <f>VLOOKUP('Combined table'!B957,products!$A$1:$G$49,5,FALSE)</f>
        <v>34.154999999999994</v>
      </c>
      <c r="L957">
        <f>VLOOKUP('Combined table'!B957,products!$A$1:$G$49,6,FALSE)</f>
        <v>1.3661999999999999</v>
      </c>
      <c r="M957">
        <f>VLOOKUP('Combined table'!B957,products!$A$1:$G$49,7,FALSE)</f>
        <v>3.7570499999999996</v>
      </c>
      <c r="N957" t="str">
        <f>TEXT(A957,"mmm yyyy")</f>
        <v>Apr 2019</v>
      </c>
      <c r="O957">
        <f t="shared" si="14"/>
        <v>170.77499999999998</v>
      </c>
    </row>
    <row r="958" spans="1:15" x14ac:dyDescent="0.25">
      <c r="A958" s="3">
        <v>43582</v>
      </c>
      <c r="B958" t="s">
        <v>6142</v>
      </c>
      <c r="C958" s="2">
        <v>2</v>
      </c>
      <c r="D958" s="2" t="s">
        <v>5897</v>
      </c>
      <c r="E958" s="2" t="s">
        <v>130</v>
      </c>
      <c r="F958" s="2" t="s">
        <v>19</v>
      </c>
      <c r="G958" t="s">
        <v>6191</v>
      </c>
      <c r="H958" t="str">
        <f>VLOOKUP('Combined table'!B958,products!$A$1:$G$49,2,FALSE)</f>
        <v>Rob</v>
      </c>
      <c r="I958" t="str">
        <f>VLOOKUP('Combined table'!B958,products!$A$1:$G$49,3,FALSE)</f>
        <v>L</v>
      </c>
      <c r="J958">
        <f>VLOOKUP('Combined table'!B958,products!$A$1:$G$49,4,FALSE)</f>
        <v>2.5</v>
      </c>
      <c r="K958">
        <f>VLOOKUP('Combined table'!B958,products!$A$1:$G$49,5,FALSE)</f>
        <v>27.484999999999996</v>
      </c>
      <c r="L958">
        <f>VLOOKUP('Combined table'!B958,products!$A$1:$G$49,6,FALSE)</f>
        <v>1.0993999999999999</v>
      </c>
      <c r="M958">
        <f>VLOOKUP('Combined table'!B958,products!$A$1:$G$49,7,FALSE)</f>
        <v>1.6490999999999998</v>
      </c>
      <c r="N958" t="str">
        <f>TEXT(A958,"mmm yyyy")</f>
        <v>Apr 2019</v>
      </c>
      <c r="O958">
        <f t="shared" si="14"/>
        <v>54.969999999999992</v>
      </c>
    </row>
    <row r="959" spans="1:15" x14ac:dyDescent="0.25">
      <c r="A959" s="3">
        <v>43582</v>
      </c>
      <c r="B959" t="s">
        <v>6171</v>
      </c>
      <c r="C959" s="2">
        <v>1</v>
      </c>
      <c r="D959" s="2" t="s">
        <v>5902</v>
      </c>
      <c r="E959" s="2" t="s">
        <v>47</v>
      </c>
      <c r="F959" s="2" t="s">
        <v>19</v>
      </c>
      <c r="G959" t="s">
        <v>6190</v>
      </c>
      <c r="H959" t="str">
        <f>VLOOKUP('Combined table'!B959,products!$A$1:$G$49,2,FALSE)</f>
        <v>Exc</v>
      </c>
      <c r="I959" t="str">
        <f>VLOOKUP('Combined table'!B959,products!$A$1:$G$49,3,FALSE)</f>
        <v>L</v>
      </c>
      <c r="J959">
        <f>VLOOKUP('Combined table'!B959,products!$A$1:$G$49,4,FALSE)</f>
        <v>1</v>
      </c>
      <c r="K959">
        <f>VLOOKUP('Combined table'!B959,products!$A$1:$G$49,5,FALSE)</f>
        <v>14.85</v>
      </c>
      <c r="L959">
        <f>VLOOKUP('Combined table'!B959,products!$A$1:$G$49,6,FALSE)</f>
        <v>1.4849999999999999</v>
      </c>
      <c r="M959">
        <f>VLOOKUP('Combined table'!B959,products!$A$1:$G$49,7,FALSE)</f>
        <v>1.6335</v>
      </c>
      <c r="N959" t="str">
        <f>TEXT(A959,"mmm yyyy")</f>
        <v>Apr 2019</v>
      </c>
      <c r="O959">
        <f t="shared" si="14"/>
        <v>14.85</v>
      </c>
    </row>
    <row r="960" spans="1:15" x14ac:dyDescent="0.25">
      <c r="A960" s="3">
        <v>43582</v>
      </c>
      <c r="B960" t="s">
        <v>6167</v>
      </c>
      <c r="C960" s="2">
        <v>2</v>
      </c>
      <c r="D960" s="2" t="s">
        <v>5907</v>
      </c>
      <c r="E960" s="2" t="s">
        <v>182</v>
      </c>
      <c r="F960" s="2" t="s">
        <v>19</v>
      </c>
      <c r="G960" t="s">
        <v>6190</v>
      </c>
      <c r="H960" t="str">
        <f>VLOOKUP('Combined table'!B960,products!$A$1:$G$49,2,FALSE)</f>
        <v>Ara</v>
      </c>
      <c r="I960" t="str">
        <f>VLOOKUP('Combined table'!B960,products!$A$1:$G$49,3,FALSE)</f>
        <v>L</v>
      </c>
      <c r="J960">
        <f>VLOOKUP('Combined table'!B960,products!$A$1:$G$49,4,FALSE)</f>
        <v>0.2</v>
      </c>
      <c r="K960">
        <f>VLOOKUP('Combined table'!B960,products!$A$1:$G$49,5,FALSE)</f>
        <v>3.8849999999999998</v>
      </c>
      <c r="L960">
        <f>VLOOKUP('Combined table'!B960,products!$A$1:$G$49,6,FALSE)</f>
        <v>1.9424999999999999</v>
      </c>
      <c r="M960">
        <f>VLOOKUP('Combined table'!B960,products!$A$1:$G$49,7,FALSE)</f>
        <v>0.34964999999999996</v>
      </c>
      <c r="N960" t="str">
        <f>TEXT(A960,"mmm yyyy")</f>
        <v>Apr 2019</v>
      </c>
      <c r="O960">
        <f t="shared" si="14"/>
        <v>7.77</v>
      </c>
    </row>
    <row r="961" spans="1:15" x14ac:dyDescent="0.25">
      <c r="A961" s="3">
        <v>44598</v>
      </c>
      <c r="B961" t="s">
        <v>6145</v>
      </c>
      <c r="C961" s="2">
        <v>5</v>
      </c>
      <c r="D961" s="2" t="s">
        <v>5912</v>
      </c>
      <c r="E961" s="2" t="s">
        <v>88</v>
      </c>
      <c r="F961" s="2" t="s">
        <v>19</v>
      </c>
      <c r="G961" t="s">
        <v>6190</v>
      </c>
      <c r="H961" t="str">
        <f>VLOOKUP('Combined table'!B961,products!$A$1:$G$49,2,FALSE)</f>
        <v>Lib</v>
      </c>
      <c r="I961" t="str">
        <f>VLOOKUP('Combined table'!B961,products!$A$1:$G$49,3,FALSE)</f>
        <v>L</v>
      </c>
      <c r="J961">
        <f>VLOOKUP('Combined table'!B961,products!$A$1:$G$49,4,FALSE)</f>
        <v>0.2</v>
      </c>
      <c r="K961">
        <f>VLOOKUP('Combined table'!B961,products!$A$1:$G$49,5,FALSE)</f>
        <v>4.7549999999999999</v>
      </c>
      <c r="L961">
        <f>VLOOKUP('Combined table'!B961,products!$A$1:$G$49,6,FALSE)</f>
        <v>2.3774999999999999</v>
      </c>
      <c r="M961">
        <f>VLOOKUP('Combined table'!B961,products!$A$1:$G$49,7,FALSE)</f>
        <v>0.61814999999999998</v>
      </c>
      <c r="N961" t="str">
        <f>TEXT(A961,"mmm yyyy")</f>
        <v>Feb 2022</v>
      </c>
      <c r="O961">
        <f t="shared" si="14"/>
        <v>23.774999999999999</v>
      </c>
    </row>
    <row r="962" spans="1:15" x14ac:dyDescent="0.25">
      <c r="A962" s="3">
        <v>44591</v>
      </c>
      <c r="B962" t="s">
        <v>6170</v>
      </c>
      <c r="C962" s="2">
        <v>5</v>
      </c>
      <c r="D962" s="2" t="s">
        <v>5917</v>
      </c>
      <c r="E962" s="2" t="s">
        <v>261</v>
      </c>
      <c r="F962" s="2" t="s">
        <v>19</v>
      </c>
      <c r="G962" t="s">
        <v>6190</v>
      </c>
      <c r="H962" t="str">
        <f>VLOOKUP('Combined table'!B962,products!$A$1:$G$49,2,FALSE)</f>
        <v>Lib</v>
      </c>
      <c r="I962" t="str">
        <f>VLOOKUP('Combined table'!B962,products!$A$1:$G$49,3,FALSE)</f>
        <v>L</v>
      </c>
      <c r="J962">
        <f>VLOOKUP('Combined table'!B962,products!$A$1:$G$49,4,FALSE)</f>
        <v>1</v>
      </c>
      <c r="K962">
        <f>VLOOKUP('Combined table'!B962,products!$A$1:$G$49,5,FALSE)</f>
        <v>15.85</v>
      </c>
      <c r="L962">
        <f>VLOOKUP('Combined table'!B962,products!$A$1:$G$49,6,FALSE)</f>
        <v>1.585</v>
      </c>
      <c r="M962">
        <f>VLOOKUP('Combined table'!B962,products!$A$1:$G$49,7,FALSE)</f>
        <v>2.0605000000000002</v>
      </c>
      <c r="N962" t="str">
        <f>TEXT(A962,"mmm yyyy")</f>
        <v>Jan 2022</v>
      </c>
      <c r="O962">
        <f t="shared" si="14"/>
        <v>79.25</v>
      </c>
    </row>
    <row r="963" spans="1:15" x14ac:dyDescent="0.25">
      <c r="A963" s="3">
        <v>44158</v>
      </c>
      <c r="B963" t="s">
        <v>6168</v>
      </c>
      <c r="C963" s="2">
        <v>2</v>
      </c>
      <c r="D963" s="2" t="s">
        <v>5923</v>
      </c>
      <c r="E963" s="2" t="s">
        <v>198</v>
      </c>
      <c r="F963" s="2" t="s">
        <v>19</v>
      </c>
      <c r="G963" t="s">
        <v>6190</v>
      </c>
      <c r="H963" t="str">
        <f>VLOOKUP('Combined table'!B963,products!$A$1:$G$49,2,FALSE)</f>
        <v>Ara</v>
      </c>
      <c r="I963" t="str">
        <f>VLOOKUP('Combined table'!B963,products!$A$1:$G$49,3,FALSE)</f>
        <v>D</v>
      </c>
      <c r="J963">
        <f>VLOOKUP('Combined table'!B963,products!$A$1:$G$49,4,FALSE)</f>
        <v>2.5</v>
      </c>
      <c r="K963">
        <f>VLOOKUP('Combined table'!B963,products!$A$1:$G$49,5,FALSE)</f>
        <v>22.884999999999998</v>
      </c>
      <c r="L963">
        <f>VLOOKUP('Combined table'!B963,products!$A$1:$G$49,6,FALSE)</f>
        <v>0.91539999999999988</v>
      </c>
      <c r="M963">
        <f>VLOOKUP('Combined table'!B963,products!$A$1:$G$49,7,FALSE)</f>
        <v>2.0596499999999995</v>
      </c>
      <c r="N963" t="str">
        <f>TEXT(A963,"mmm yyyy")</f>
        <v>Nov 2020</v>
      </c>
      <c r="O963">
        <f t="shared" ref="O963:O1001" si="15">C963*K963</f>
        <v>45.769999999999996</v>
      </c>
    </row>
    <row r="964" spans="1:15" x14ac:dyDescent="0.25">
      <c r="A964" s="3">
        <v>44664</v>
      </c>
      <c r="B964" t="s">
        <v>6177</v>
      </c>
      <c r="C964" s="2">
        <v>1</v>
      </c>
      <c r="D964" s="2" t="s">
        <v>5928</v>
      </c>
      <c r="E964" s="2" t="s">
        <v>453</v>
      </c>
      <c r="F964" s="2" t="s">
        <v>318</v>
      </c>
      <c r="G964" t="s">
        <v>6190</v>
      </c>
      <c r="H964" t="str">
        <f>VLOOKUP('Combined table'!B964,products!$A$1:$G$49,2,FALSE)</f>
        <v>Rob</v>
      </c>
      <c r="I964" t="str">
        <f>VLOOKUP('Combined table'!B964,products!$A$1:$G$49,3,FALSE)</f>
        <v>D</v>
      </c>
      <c r="J964">
        <f>VLOOKUP('Combined table'!B964,products!$A$1:$G$49,4,FALSE)</f>
        <v>1</v>
      </c>
      <c r="K964">
        <f>VLOOKUP('Combined table'!B964,products!$A$1:$G$49,5,FALSE)</f>
        <v>8.9499999999999993</v>
      </c>
      <c r="L964">
        <f>VLOOKUP('Combined table'!B964,products!$A$1:$G$49,6,FALSE)</f>
        <v>0.89499999999999991</v>
      </c>
      <c r="M964">
        <f>VLOOKUP('Combined table'!B964,products!$A$1:$G$49,7,FALSE)</f>
        <v>0.53699999999999992</v>
      </c>
      <c r="N964" t="str">
        <f>TEXT(A964,"mmm yyyy")</f>
        <v>Apr 2022</v>
      </c>
      <c r="O964">
        <f t="shared" si="15"/>
        <v>8.9499999999999993</v>
      </c>
    </row>
    <row r="965" spans="1:15" x14ac:dyDescent="0.25">
      <c r="A965" s="3">
        <v>44203</v>
      </c>
      <c r="B965" t="s">
        <v>6146</v>
      </c>
      <c r="C965" s="2">
        <v>4</v>
      </c>
      <c r="D965" s="2" t="s">
        <v>5934</v>
      </c>
      <c r="E965" s="2" t="s">
        <v>43</v>
      </c>
      <c r="F965" s="2" t="s">
        <v>19</v>
      </c>
      <c r="G965" t="s">
        <v>6190</v>
      </c>
      <c r="H965" t="str">
        <f>VLOOKUP('Combined table'!B965,products!$A$1:$G$49,2,FALSE)</f>
        <v>Rob</v>
      </c>
      <c r="I965" t="str">
        <f>VLOOKUP('Combined table'!B965,products!$A$1:$G$49,3,FALSE)</f>
        <v>M</v>
      </c>
      <c r="J965">
        <f>VLOOKUP('Combined table'!B965,products!$A$1:$G$49,4,FALSE)</f>
        <v>0.5</v>
      </c>
      <c r="K965">
        <f>VLOOKUP('Combined table'!B965,products!$A$1:$G$49,5,FALSE)</f>
        <v>5.97</v>
      </c>
      <c r="L965">
        <f>VLOOKUP('Combined table'!B965,products!$A$1:$G$49,6,FALSE)</f>
        <v>1.194</v>
      </c>
      <c r="M965">
        <f>VLOOKUP('Combined table'!B965,products!$A$1:$G$49,7,FALSE)</f>
        <v>0.35819999999999996</v>
      </c>
      <c r="N965" t="str">
        <f>TEXT(A965,"mmm yyyy")</f>
        <v>Jan 2021</v>
      </c>
      <c r="O965">
        <f t="shared" si="15"/>
        <v>23.88</v>
      </c>
    </row>
    <row r="966" spans="1:15" x14ac:dyDescent="0.25">
      <c r="A966" s="3">
        <v>43865</v>
      </c>
      <c r="B966" t="s">
        <v>6184</v>
      </c>
      <c r="C966" s="2">
        <v>5</v>
      </c>
      <c r="D966" s="2" t="s">
        <v>5940</v>
      </c>
      <c r="E966" s="2" t="s">
        <v>58</v>
      </c>
      <c r="F966" s="2" t="s">
        <v>19</v>
      </c>
      <c r="G966" t="s">
        <v>6191</v>
      </c>
      <c r="H966" t="str">
        <f>VLOOKUP('Combined table'!B966,products!$A$1:$G$49,2,FALSE)</f>
        <v>Exc</v>
      </c>
      <c r="I966" t="str">
        <f>VLOOKUP('Combined table'!B966,products!$A$1:$G$49,3,FALSE)</f>
        <v>L</v>
      </c>
      <c r="J966">
        <f>VLOOKUP('Combined table'!B966,products!$A$1:$G$49,4,FALSE)</f>
        <v>0.2</v>
      </c>
      <c r="K966">
        <f>VLOOKUP('Combined table'!B966,products!$A$1:$G$49,5,FALSE)</f>
        <v>4.4550000000000001</v>
      </c>
      <c r="L966">
        <f>VLOOKUP('Combined table'!B966,products!$A$1:$G$49,6,FALSE)</f>
        <v>2.2275</v>
      </c>
      <c r="M966">
        <f>VLOOKUP('Combined table'!B966,products!$A$1:$G$49,7,FALSE)</f>
        <v>0.49004999999999999</v>
      </c>
      <c r="N966" t="str">
        <f>TEXT(A966,"mmm yyyy")</f>
        <v>Feb 2020</v>
      </c>
      <c r="O966">
        <f t="shared" si="15"/>
        <v>22.274999999999999</v>
      </c>
    </row>
    <row r="967" spans="1:15" x14ac:dyDescent="0.25">
      <c r="A967" s="3">
        <v>43724</v>
      </c>
      <c r="B967" t="s">
        <v>6138</v>
      </c>
      <c r="C967" s="2">
        <v>3</v>
      </c>
      <c r="D967" s="2" t="s">
        <v>5946</v>
      </c>
      <c r="E967" s="2" t="s">
        <v>27</v>
      </c>
      <c r="F967" s="2" t="s">
        <v>19</v>
      </c>
      <c r="G967" t="s">
        <v>6190</v>
      </c>
      <c r="H967" t="str">
        <f>VLOOKUP('Combined table'!B967,products!$A$1:$G$49,2,FALSE)</f>
        <v>Rob</v>
      </c>
      <c r="I967" t="str">
        <f>VLOOKUP('Combined table'!B967,products!$A$1:$G$49,3,FALSE)</f>
        <v>M</v>
      </c>
      <c r="J967">
        <f>VLOOKUP('Combined table'!B967,products!$A$1:$G$49,4,FALSE)</f>
        <v>1</v>
      </c>
      <c r="K967">
        <f>VLOOKUP('Combined table'!B967,products!$A$1:$G$49,5,FALSE)</f>
        <v>9.9499999999999993</v>
      </c>
      <c r="L967">
        <f>VLOOKUP('Combined table'!B967,products!$A$1:$G$49,6,FALSE)</f>
        <v>0.99499999999999988</v>
      </c>
      <c r="M967">
        <f>VLOOKUP('Combined table'!B967,products!$A$1:$G$49,7,FALSE)</f>
        <v>0.59699999999999998</v>
      </c>
      <c r="N967" t="str">
        <f>TEXT(A967,"mmm yyyy")</f>
        <v>Sep 2019</v>
      </c>
      <c r="O967">
        <f t="shared" si="15"/>
        <v>29.849999999999998</v>
      </c>
    </row>
    <row r="968" spans="1:15" x14ac:dyDescent="0.25">
      <c r="A968" s="3">
        <v>43491</v>
      </c>
      <c r="B968" t="s">
        <v>6176</v>
      </c>
      <c r="C968" s="2">
        <v>6</v>
      </c>
      <c r="D968" s="2" t="s">
        <v>5951</v>
      </c>
      <c r="E968" s="2" t="s">
        <v>139</v>
      </c>
      <c r="F968" s="2" t="s">
        <v>19</v>
      </c>
      <c r="G968" t="s">
        <v>6190</v>
      </c>
      <c r="H968" t="str">
        <f>VLOOKUP('Combined table'!B968,products!$A$1:$G$49,2,FALSE)</f>
        <v>Exc</v>
      </c>
      <c r="I968" t="str">
        <f>VLOOKUP('Combined table'!B968,products!$A$1:$G$49,3,FALSE)</f>
        <v>L</v>
      </c>
      <c r="J968">
        <f>VLOOKUP('Combined table'!B968,products!$A$1:$G$49,4,FALSE)</f>
        <v>0.5</v>
      </c>
      <c r="K968">
        <f>VLOOKUP('Combined table'!B968,products!$A$1:$G$49,5,FALSE)</f>
        <v>8.91</v>
      </c>
      <c r="L968">
        <f>VLOOKUP('Combined table'!B968,products!$A$1:$G$49,6,FALSE)</f>
        <v>1.782</v>
      </c>
      <c r="M968">
        <f>VLOOKUP('Combined table'!B968,products!$A$1:$G$49,7,FALSE)</f>
        <v>0.98009999999999997</v>
      </c>
      <c r="N968" t="str">
        <f>TEXT(A968,"mmm yyyy")</f>
        <v>Jan 2019</v>
      </c>
      <c r="O968">
        <f t="shared" si="15"/>
        <v>53.46</v>
      </c>
    </row>
    <row r="969" spans="1:15" x14ac:dyDescent="0.25">
      <c r="A969" s="3">
        <v>44246</v>
      </c>
      <c r="B969" t="s">
        <v>6163</v>
      </c>
      <c r="C969" s="2">
        <v>1</v>
      </c>
      <c r="D969" s="2" t="s">
        <v>5957</v>
      </c>
      <c r="E969" s="2" t="s">
        <v>353</v>
      </c>
      <c r="F969" s="2" t="s">
        <v>318</v>
      </c>
      <c r="G969" t="s">
        <v>6190</v>
      </c>
      <c r="H969" t="str">
        <f>VLOOKUP('Combined table'!B969,products!$A$1:$G$49,2,FALSE)</f>
        <v>Rob</v>
      </c>
      <c r="I969" t="str">
        <f>VLOOKUP('Combined table'!B969,products!$A$1:$G$49,3,FALSE)</f>
        <v>D</v>
      </c>
      <c r="J969">
        <f>VLOOKUP('Combined table'!B969,products!$A$1:$G$49,4,FALSE)</f>
        <v>0.2</v>
      </c>
      <c r="K969">
        <f>VLOOKUP('Combined table'!B969,products!$A$1:$G$49,5,FALSE)</f>
        <v>2.6849999999999996</v>
      </c>
      <c r="L969">
        <f>VLOOKUP('Combined table'!B969,products!$A$1:$G$49,6,FALSE)</f>
        <v>1.3424999999999998</v>
      </c>
      <c r="M969">
        <f>VLOOKUP('Combined table'!B969,products!$A$1:$G$49,7,FALSE)</f>
        <v>0.16109999999999997</v>
      </c>
      <c r="N969" t="str">
        <f>TEXT(A969,"mmm yyyy")</f>
        <v>Feb 2021</v>
      </c>
      <c r="O969">
        <f t="shared" si="15"/>
        <v>2.6849999999999996</v>
      </c>
    </row>
    <row r="970" spans="1:15" x14ac:dyDescent="0.25">
      <c r="A970" s="3">
        <v>44642</v>
      </c>
      <c r="B970" t="s">
        <v>6174</v>
      </c>
      <c r="C970" s="2">
        <v>2</v>
      </c>
      <c r="D970" s="2" t="s">
        <v>5963</v>
      </c>
      <c r="E970" s="2" t="s">
        <v>293</v>
      </c>
      <c r="F970" s="2" t="s">
        <v>19</v>
      </c>
      <c r="G970" t="s">
        <v>6191</v>
      </c>
      <c r="H970" t="str">
        <f>VLOOKUP('Combined table'!B970,products!$A$1:$G$49,2,FALSE)</f>
        <v>Rob</v>
      </c>
      <c r="I970" t="str">
        <f>VLOOKUP('Combined table'!B970,products!$A$1:$G$49,3,FALSE)</f>
        <v>M</v>
      </c>
      <c r="J970">
        <f>VLOOKUP('Combined table'!B970,products!$A$1:$G$49,4,FALSE)</f>
        <v>0.2</v>
      </c>
      <c r="K970">
        <f>VLOOKUP('Combined table'!B970,products!$A$1:$G$49,5,FALSE)</f>
        <v>2.9849999999999999</v>
      </c>
      <c r="L970">
        <f>VLOOKUP('Combined table'!B970,products!$A$1:$G$49,6,FALSE)</f>
        <v>1.4924999999999999</v>
      </c>
      <c r="M970">
        <f>VLOOKUP('Combined table'!B970,products!$A$1:$G$49,7,FALSE)</f>
        <v>0.17909999999999998</v>
      </c>
      <c r="N970" t="str">
        <f>TEXT(A970,"mmm yyyy")</f>
        <v>Mar 2022</v>
      </c>
      <c r="O970">
        <f t="shared" si="15"/>
        <v>5.97</v>
      </c>
    </row>
    <row r="971" spans="1:15" x14ac:dyDescent="0.25">
      <c r="A971" s="3">
        <v>43649</v>
      </c>
      <c r="B971" t="s">
        <v>6143</v>
      </c>
      <c r="C971" s="2">
        <v>1</v>
      </c>
      <c r="D971" s="2" t="s">
        <v>5969</v>
      </c>
      <c r="E971" s="2" t="s">
        <v>209</v>
      </c>
      <c r="F971" s="2" t="s">
        <v>19</v>
      </c>
      <c r="G971" t="s">
        <v>6190</v>
      </c>
      <c r="H971" t="str">
        <f>VLOOKUP('Combined table'!B971,products!$A$1:$G$49,2,FALSE)</f>
        <v>Lib</v>
      </c>
      <c r="I971" t="str">
        <f>VLOOKUP('Combined table'!B971,products!$A$1:$G$49,3,FALSE)</f>
        <v>D</v>
      </c>
      <c r="J971">
        <f>VLOOKUP('Combined table'!B971,products!$A$1:$G$49,4,FALSE)</f>
        <v>1</v>
      </c>
      <c r="K971">
        <f>VLOOKUP('Combined table'!B971,products!$A$1:$G$49,5,FALSE)</f>
        <v>12.95</v>
      </c>
      <c r="L971">
        <f>VLOOKUP('Combined table'!B971,products!$A$1:$G$49,6,FALSE)</f>
        <v>1.2949999999999999</v>
      </c>
      <c r="M971">
        <f>VLOOKUP('Combined table'!B971,products!$A$1:$G$49,7,FALSE)</f>
        <v>1.6835</v>
      </c>
      <c r="N971" t="str">
        <f>TEXT(A971,"mmm yyyy")</f>
        <v>Jul 2019</v>
      </c>
      <c r="O971">
        <f t="shared" si="15"/>
        <v>12.95</v>
      </c>
    </row>
    <row r="972" spans="1:15" x14ac:dyDescent="0.25">
      <c r="A972" s="3">
        <v>43729</v>
      </c>
      <c r="B972" t="s">
        <v>6139</v>
      </c>
      <c r="C972" s="2">
        <v>1</v>
      </c>
      <c r="D972" s="2" t="s">
        <v>5975</v>
      </c>
      <c r="E972" s="2" t="s">
        <v>240</v>
      </c>
      <c r="F972" s="2" t="s">
        <v>19</v>
      </c>
      <c r="G972" t="s">
        <v>6191</v>
      </c>
      <c r="H972" t="str">
        <f>VLOOKUP('Combined table'!B972,products!$A$1:$G$49,2,FALSE)</f>
        <v>Exc</v>
      </c>
      <c r="I972" t="str">
        <f>VLOOKUP('Combined table'!B972,products!$A$1:$G$49,3,FALSE)</f>
        <v>M</v>
      </c>
      <c r="J972">
        <f>VLOOKUP('Combined table'!B972,products!$A$1:$G$49,4,FALSE)</f>
        <v>0.5</v>
      </c>
      <c r="K972">
        <f>VLOOKUP('Combined table'!B972,products!$A$1:$G$49,5,FALSE)</f>
        <v>8.25</v>
      </c>
      <c r="L972">
        <f>VLOOKUP('Combined table'!B972,products!$A$1:$G$49,6,FALSE)</f>
        <v>1.65</v>
      </c>
      <c r="M972">
        <f>VLOOKUP('Combined table'!B972,products!$A$1:$G$49,7,FALSE)</f>
        <v>0.90749999999999997</v>
      </c>
      <c r="N972" t="str">
        <f>TEXT(A972,"mmm yyyy")</f>
        <v>Sep 2019</v>
      </c>
      <c r="O972">
        <f t="shared" si="15"/>
        <v>8.25</v>
      </c>
    </row>
    <row r="973" spans="1:15" x14ac:dyDescent="0.25">
      <c r="A973" s="3">
        <v>43703</v>
      </c>
      <c r="B973" t="s">
        <v>6182</v>
      </c>
      <c r="C973" s="2">
        <v>5</v>
      </c>
      <c r="D973" s="2" t="s">
        <v>5980</v>
      </c>
      <c r="E973" s="2" t="s">
        <v>106</v>
      </c>
      <c r="F973" s="2" t="s">
        <v>19</v>
      </c>
      <c r="G973" t="s">
        <v>6191</v>
      </c>
      <c r="H973" t="str">
        <f>VLOOKUP('Combined table'!B973,products!$A$1:$G$49,2,FALSE)</f>
        <v>Ara</v>
      </c>
      <c r="I973" t="str">
        <f>VLOOKUP('Combined table'!B973,products!$A$1:$G$49,3,FALSE)</f>
        <v>L</v>
      </c>
      <c r="J973">
        <f>VLOOKUP('Combined table'!B973,products!$A$1:$G$49,4,FALSE)</f>
        <v>2.5</v>
      </c>
      <c r="K973">
        <f>VLOOKUP('Combined table'!B973,products!$A$1:$G$49,5,FALSE)</f>
        <v>29.784999999999997</v>
      </c>
      <c r="L973">
        <f>VLOOKUP('Combined table'!B973,products!$A$1:$G$49,6,FALSE)</f>
        <v>1.1913999999999998</v>
      </c>
      <c r="M973">
        <f>VLOOKUP('Combined table'!B973,products!$A$1:$G$49,7,FALSE)</f>
        <v>2.6806499999999995</v>
      </c>
      <c r="N973" t="str">
        <f>TEXT(A973,"mmm yyyy")</f>
        <v>Aug 2019</v>
      </c>
      <c r="O973">
        <f t="shared" si="15"/>
        <v>148.92499999999998</v>
      </c>
    </row>
    <row r="974" spans="1:15" x14ac:dyDescent="0.25">
      <c r="A974" s="3">
        <v>44411</v>
      </c>
      <c r="B974" t="s">
        <v>6182</v>
      </c>
      <c r="C974" s="2">
        <v>3</v>
      </c>
      <c r="D974" s="2" t="s">
        <v>5986</v>
      </c>
      <c r="E974" s="2" t="s">
        <v>331</v>
      </c>
      <c r="F974" s="2" t="s">
        <v>318</v>
      </c>
      <c r="G974" t="s">
        <v>6190</v>
      </c>
      <c r="H974" t="str">
        <f>VLOOKUP('Combined table'!B974,products!$A$1:$G$49,2,FALSE)</f>
        <v>Ara</v>
      </c>
      <c r="I974" t="str">
        <f>VLOOKUP('Combined table'!B974,products!$A$1:$G$49,3,FALSE)</f>
        <v>L</v>
      </c>
      <c r="J974">
        <f>VLOOKUP('Combined table'!B974,products!$A$1:$G$49,4,FALSE)</f>
        <v>2.5</v>
      </c>
      <c r="K974">
        <f>VLOOKUP('Combined table'!B974,products!$A$1:$G$49,5,FALSE)</f>
        <v>29.784999999999997</v>
      </c>
      <c r="L974">
        <f>VLOOKUP('Combined table'!B974,products!$A$1:$G$49,6,FALSE)</f>
        <v>1.1913999999999998</v>
      </c>
      <c r="M974">
        <f>VLOOKUP('Combined table'!B974,products!$A$1:$G$49,7,FALSE)</f>
        <v>2.6806499999999995</v>
      </c>
      <c r="N974" t="str">
        <f>TEXT(A974,"mmm yyyy")</f>
        <v>Aug 2021</v>
      </c>
      <c r="O974">
        <f t="shared" si="15"/>
        <v>89.35499999999999</v>
      </c>
    </row>
    <row r="975" spans="1:15" x14ac:dyDescent="0.25">
      <c r="A975" s="3">
        <v>44493</v>
      </c>
      <c r="B975" t="s">
        <v>6162</v>
      </c>
      <c r="C975" s="2">
        <v>6</v>
      </c>
      <c r="D975" s="2" t="s">
        <v>5991</v>
      </c>
      <c r="E975" s="2" t="s">
        <v>250</v>
      </c>
      <c r="F975" s="2" t="s">
        <v>19</v>
      </c>
      <c r="G975" t="s">
        <v>6191</v>
      </c>
      <c r="H975" t="str">
        <f>VLOOKUP('Combined table'!B975,products!$A$1:$G$49,2,FALSE)</f>
        <v>Lib</v>
      </c>
      <c r="I975" t="str">
        <f>VLOOKUP('Combined table'!B975,products!$A$1:$G$49,3,FALSE)</f>
        <v>M</v>
      </c>
      <c r="J975">
        <f>VLOOKUP('Combined table'!B975,products!$A$1:$G$49,4,FALSE)</f>
        <v>1</v>
      </c>
      <c r="K975">
        <f>VLOOKUP('Combined table'!B975,products!$A$1:$G$49,5,FALSE)</f>
        <v>14.55</v>
      </c>
      <c r="L975">
        <f>VLOOKUP('Combined table'!B975,products!$A$1:$G$49,6,FALSE)</f>
        <v>1.4550000000000001</v>
      </c>
      <c r="M975">
        <f>VLOOKUP('Combined table'!B975,products!$A$1:$G$49,7,FALSE)</f>
        <v>1.8915000000000002</v>
      </c>
      <c r="N975" t="str">
        <f>TEXT(A975,"mmm yyyy")</f>
        <v>Oct 2021</v>
      </c>
      <c r="O975">
        <f t="shared" si="15"/>
        <v>87.300000000000011</v>
      </c>
    </row>
    <row r="976" spans="1:15" x14ac:dyDescent="0.25">
      <c r="A976" s="3">
        <v>43556</v>
      </c>
      <c r="B976" t="s">
        <v>6172</v>
      </c>
      <c r="C976" s="2">
        <v>1</v>
      </c>
      <c r="D976" s="2" t="s">
        <v>5997</v>
      </c>
      <c r="E976" s="2" t="s">
        <v>134</v>
      </c>
      <c r="F976" s="2" t="s">
        <v>19</v>
      </c>
      <c r="G976" t="s">
        <v>6190</v>
      </c>
      <c r="H976" t="str">
        <f>VLOOKUP('Combined table'!B976,products!$A$1:$G$49,2,FALSE)</f>
        <v>Rob</v>
      </c>
      <c r="I976" t="str">
        <f>VLOOKUP('Combined table'!B976,products!$A$1:$G$49,3,FALSE)</f>
        <v>D</v>
      </c>
      <c r="J976">
        <f>VLOOKUP('Combined table'!B976,products!$A$1:$G$49,4,FALSE)</f>
        <v>0.5</v>
      </c>
      <c r="K976">
        <f>VLOOKUP('Combined table'!B976,products!$A$1:$G$49,5,FALSE)</f>
        <v>5.3699999999999992</v>
      </c>
      <c r="L976">
        <f>VLOOKUP('Combined table'!B976,products!$A$1:$G$49,6,FALSE)</f>
        <v>1.0739999999999998</v>
      </c>
      <c r="M976">
        <f>VLOOKUP('Combined table'!B976,products!$A$1:$G$49,7,FALSE)</f>
        <v>0.32219999999999993</v>
      </c>
      <c r="N976" t="str">
        <f>TEXT(A976,"mmm yyyy")</f>
        <v>Apr 2019</v>
      </c>
      <c r="O976">
        <f t="shared" si="15"/>
        <v>5.3699999999999992</v>
      </c>
    </row>
    <row r="977" spans="1:15" x14ac:dyDescent="0.25">
      <c r="A977" s="3">
        <v>44538</v>
      </c>
      <c r="B977" t="s">
        <v>6154</v>
      </c>
      <c r="C977" s="2">
        <v>3</v>
      </c>
      <c r="D977" s="2" t="s">
        <v>6003</v>
      </c>
      <c r="E977" s="2" t="s">
        <v>485</v>
      </c>
      <c r="F977" s="2" t="s">
        <v>318</v>
      </c>
      <c r="G977" t="s">
        <v>6190</v>
      </c>
      <c r="H977" t="str">
        <f>VLOOKUP('Combined table'!B977,products!$A$1:$G$49,2,FALSE)</f>
        <v>Ara</v>
      </c>
      <c r="I977" t="str">
        <f>VLOOKUP('Combined table'!B977,products!$A$1:$G$49,3,FALSE)</f>
        <v>D</v>
      </c>
      <c r="J977">
        <f>VLOOKUP('Combined table'!B977,products!$A$1:$G$49,4,FALSE)</f>
        <v>0.2</v>
      </c>
      <c r="K977">
        <f>VLOOKUP('Combined table'!B977,products!$A$1:$G$49,5,FALSE)</f>
        <v>2.9849999999999999</v>
      </c>
      <c r="L977">
        <f>VLOOKUP('Combined table'!B977,products!$A$1:$G$49,6,FALSE)</f>
        <v>1.4924999999999999</v>
      </c>
      <c r="M977">
        <f>VLOOKUP('Combined table'!B977,products!$A$1:$G$49,7,FALSE)</f>
        <v>0.26865</v>
      </c>
      <c r="N977" t="str">
        <f>TEXT(A977,"mmm yyyy")</f>
        <v>Dec 2021</v>
      </c>
      <c r="O977">
        <f t="shared" si="15"/>
        <v>8.9550000000000001</v>
      </c>
    </row>
    <row r="978" spans="1:15" x14ac:dyDescent="0.25">
      <c r="A978" s="3">
        <v>43643</v>
      </c>
      <c r="B978" t="s">
        <v>6142</v>
      </c>
      <c r="C978" s="2">
        <v>5</v>
      </c>
      <c r="D978" s="2" t="s">
        <v>6009</v>
      </c>
      <c r="E978" s="2" t="s">
        <v>66</v>
      </c>
      <c r="F978" s="2" t="s">
        <v>19</v>
      </c>
      <c r="G978" t="s">
        <v>6190</v>
      </c>
      <c r="H978" t="str">
        <f>VLOOKUP('Combined table'!B978,products!$A$1:$G$49,2,FALSE)</f>
        <v>Rob</v>
      </c>
      <c r="I978" t="str">
        <f>VLOOKUP('Combined table'!B978,products!$A$1:$G$49,3,FALSE)</f>
        <v>L</v>
      </c>
      <c r="J978">
        <f>VLOOKUP('Combined table'!B978,products!$A$1:$G$49,4,FALSE)</f>
        <v>2.5</v>
      </c>
      <c r="K978">
        <f>VLOOKUP('Combined table'!B978,products!$A$1:$G$49,5,FALSE)</f>
        <v>27.484999999999996</v>
      </c>
      <c r="L978">
        <f>VLOOKUP('Combined table'!B978,products!$A$1:$G$49,6,FALSE)</f>
        <v>1.0993999999999999</v>
      </c>
      <c r="M978">
        <f>VLOOKUP('Combined table'!B978,products!$A$1:$G$49,7,FALSE)</f>
        <v>1.6490999999999998</v>
      </c>
      <c r="N978" t="str">
        <f>TEXT(A978,"mmm yyyy")</f>
        <v>Jun 2019</v>
      </c>
      <c r="O978">
        <f t="shared" si="15"/>
        <v>137.42499999999998</v>
      </c>
    </row>
    <row r="979" spans="1:15" x14ac:dyDescent="0.25">
      <c r="A979" s="3">
        <v>44026</v>
      </c>
      <c r="B979" t="s">
        <v>6179</v>
      </c>
      <c r="C979" s="2">
        <v>5</v>
      </c>
      <c r="D979" s="2" t="s">
        <v>6015</v>
      </c>
      <c r="E979" s="2" t="s">
        <v>240</v>
      </c>
      <c r="F979" s="2" t="s">
        <v>19</v>
      </c>
      <c r="G979" t="s">
        <v>6191</v>
      </c>
      <c r="H979" t="str">
        <f>VLOOKUP('Combined table'!B979,products!$A$1:$G$49,2,FALSE)</f>
        <v>Rob</v>
      </c>
      <c r="I979" t="str">
        <f>VLOOKUP('Combined table'!B979,products!$A$1:$G$49,3,FALSE)</f>
        <v>L</v>
      </c>
      <c r="J979">
        <f>VLOOKUP('Combined table'!B979,products!$A$1:$G$49,4,FALSE)</f>
        <v>1</v>
      </c>
      <c r="K979">
        <f>VLOOKUP('Combined table'!B979,products!$A$1:$G$49,5,FALSE)</f>
        <v>11.95</v>
      </c>
      <c r="L979">
        <f>VLOOKUP('Combined table'!B979,products!$A$1:$G$49,6,FALSE)</f>
        <v>1.1949999999999998</v>
      </c>
      <c r="M979">
        <f>VLOOKUP('Combined table'!B979,products!$A$1:$G$49,7,FALSE)</f>
        <v>0.71699999999999997</v>
      </c>
      <c r="N979" t="str">
        <f>TEXT(A979,"mmm yyyy")</f>
        <v>Jul 2020</v>
      </c>
      <c r="O979">
        <f t="shared" si="15"/>
        <v>59.75</v>
      </c>
    </row>
    <row r="980" spans="1:15" x14ac:dyDescent="0.25">
      <c r="A980" s="3">
        <v>43913</v>
      </c>
      <c r="B980" t="s">
        <v>6180</v>
      </c>
      <c r="C980" s="2">
        <v>3</v>
      </c>
      <c r="D980" s="2" t="s">
        <v>6021</v>
      </c>
      <c r="E980" s="2" t="s">
        <v>47</v>
      </c>
      <c r="F980" s="2" t="s">
        <v>19</v>
      </c>
      <c r="G980" t="s">
        <v>6190</v>
      </c>
      <c r="H980" t="str">
        <f>VLOOKUP('Combined table'!B980,products!$A$1:$G$49,2,FALSE)</f>
        <v>Ara</v>
      </c>
      <c r="I980" t="str">
        <f>VLOOKUP('Combined table'!B980,products!$A$1:$G$49,3,FALSE)</f>
        <v>L</v>
      </c>
      <c r="J980">
        <f>VLOOKUP('Combined table'!B980,products!$A$1:$G$49,4,FALSE)</f>
        <v>0.5</v>
      </c>
      <c r="K980">
        <f>VLOOKUP('Combined table'!B980,products!$A$1:$G$49,5,FALSE)</f>
        <v>7.77</v>
      </c>
      <c r="L980">
        <f>VLOOKUP('Combined table'!B980,products!$A$1:$G$49,6,FALSE)</f>
        <v>1.5539999999999998</v>
      </c>
      <c r="M980">
        <f>VLOOKUP('Combined table'!B980,products!$A$1:$G$49,7,FALSE)</f>
        <v>0.69929999999999992</v>
      </c>
      <c r="N980" t="str">
        <f>TEXT(A980,"mmm yyyy")</f>
        <v>Mar 2020</v>
      </c>
      <c r="O980">
        <f t="shared" si="15"/>
        <v>23.31</v>
      </c>
    </row>
    <row r="981" spans="1:15" x14ac:dyDescent="0.25">
      <c r="A981" s="3">
        <v>43856</v>
      </c>
      <c r="B981" t="s">
        <v>6172</v>
      </c>
      <c r="C981" s="2">
        <v>2</v>
      </c>
      <c r="D981" s="2" t="s">
        <v>6027</v>
      </c>
      <c r="E981" s="2" t="s">
        <v>312</v>
      </c>
      <c r="F981" s="2" t="s">
        <v>19</v>
      </c>
      <c r="G981" t="s">
        <v>6191</v>
      </c>
      <c r="H981" t="str">
        <f>VLOOKUP('Combined table'!B981,products!$A$1:$G$49,2,FALSE)</f>
        <v>Rob</v>
      </c>
      <c r="I981" t="str">
        <f>VLOOKUP('Combined table'!B981,products!$A$1:$G$49,3,FALSE)</f>
        <v>D</v>
      </c>
      <c r="J981">
        <f>VLOOKUP('Combined table'!B981,products!$A$1:$G$49,4,FALSE)</f>
        <v>0.5</v>
      </c>
      <c r="K981">
        <f>VLOOKUP('Combined table'!B981,products!$A$1:$G$49,5,FALSE)</f>
        <v>5.3699999999999992</v>
      </c>
      <c r="L981">
        <f>VLOOKUP('Combined table'!B981,products!$A$1:$G$49,6,FALSE)</f>
        <v>1.0739999999999998</v>
      </c>
      <c r="M981">
        <f>VLOOKUP('Combined table'!B981,products!$A$1:$G$49,7,FALSE)</f>
        <v>0.32219999999999993</v>
      </c>
      <c r="N981" t="str">
        <f>TEXT(A981,"mmm yyyy")</f>
        <v>Jan 2020</v>
      </c>
      <c r="O981">
        <f t="shared" si="15"/>
        <v>10.739999999999998</v>
      </c>
    </row>
    <row r="982" spans="1:15" x14ac:dyDescent="0.25">
      <c r="A982" s="3">
        <v>43982</v>
      </c>
      <c r="B982" t="s">
        <v>6185</v>
      </c>
      <c r="C982" s="2">
        <v>6</v>
      </c>
      <c r="D982" s="2" t="s">
        <v>6032</v>
      </c>
      <c r="E982" s="2" t="s">
        <v>231</v>
      </c>
      <c r="F982" s="2" t="s">
        <v>19</v>
      </c>
      <c r="G982" t="s">
        <v>6190</v>
      </c>
      <c r="H982" t="str">
        <f>VLOOKUP('Combined table'!B982,products!$A$1:$G$49,2,FALSE)</f>
        <v>Exc</v>
      </c>
      <c r="I982" t="str">
        <f>VLOOKUP('Combined table'!B982,products!$A$1:$G$49,3,FALSE)</f>
        <v>D</v>
      </c>
      <c r="J982">
        <f>VLOOKUP('Combined table'!B982,products!$A$1:$G$49,4,FALSE)</f>
        <v>2.5</v>
      </c>
      <c r="K982">
        <f>VLOOKUP('Combined table'!B982,products!$A$1:$G$49,5,FALSE)</f>
        <v>27.945</v>
      </c>
      <c r="L982">
        <f>VLOOKUP('Combined table'!B982,products!$A$1:$G$49,6,FALSE)</f>
        <v>1.1177999999999999</v>
      </c>
      <c r="M982">
        <f>VLOOKUP('Combined table'!B982,products!$A$1:$G$49,7,FALSE)</f>
        <v>3.07395</v>
      </c>
      <c r="N982" t="str">
        <f>TEXT(A982,"mmm yyyy")</f>
        <v>May 2020</v>
      </c>
      <c r="O982">
        <f t="shared" si="15"/>
        <v>167.67000000000002</v>
      </c>
    </row>
    <row r="983" spans="1:15" x14ac:dyDescent="0.25">
      <c r="A983" s="3">
        <v>44397</v>
      </c>
      <c r="B983" t="s">
        <v>6153</v>
      </c>
      <c r="C983" s="2">
        <v>6</v>
      </c>
      <c r="D983" s="2" t="s">
        <v>6037</v>
      </c>
      <c r="E983" s="2" t="s">
        <v>226</v>
      </c>
      <c r="F983" s="2" t="s">
        <v>19</v>
      </c>
      <c r="G983" t="s">
        <v>6190</v>
      </c>
      <c r="H983" t="str">
        <f>VLOOKUP('Combined table'!B983,products!$A$1:$G$49,2,FALSE)</f>
        <v>Exc</v>
      </c>
      <c r="I983" t="str">
        <f>VLOOKUP('Combined table'!B983,products!$A$1:$G$49,3,FALSE)</f>
        <v>D</v>
      </c>
      <c r="J983">
        <f>VLOOKUP('Combined table'!B983,products!$A$1:$G$49,4,FALSE)</f>
        <v>0.2</v>
      </c>
      <c r="K983">
        <f>VLOOKUP('Combined table'!B983,products!$A$1:$G$49,5,FALSE)</f>
        <v>3.645</v>
      </c>
      <c r="L983">
        <f>VLOOKUP('Combined table'!B983,products!$A$1:$G$49,6,FALSE)</f>
        <v>1.8225</v>
      </c>
      <c r="M983">
        <f>VLOOKUP('Combined table'!B983,products!$A$1:$G$49,7,FALSE)</f>
        <v>0.40095000000000003</v>
      </c>
      <c r="N983" t="str">
        <f>TEXT(A983,"mmm yyyy")</f>
        <v>Jul 2021</v>
      </c>
      <c r="O983">
        <f t="shared" si="15"/>
        <v>21.87</v>
      </c>
    </row>
    <row r="984" spans="1:15" x14ac:dyDescent="0.25">
      <c r="A984" s="3">
        <v>44785</v>
      </c>
      <c r="B984" t="s">
        <v>6179</v>
      </c>
      <c r="C984" s="2">
        <v>2</v>
      </c>
      <c r="D984" s="2" t="s">
        <v>6043</v>
      </c>
      <c r="E984" s="2" t="s">
        <v>190</v>
      </c>
      <c r="F984" s="2" t="s">
        <v>19</v>
      </c>
      <c r="G984" t="s">
        <v>6190</v>
      </c>
      <c r="H984" t="str">
        <f>VLOOKUP('Combined table'!B984,products!$A$1:$G$49,2,FALSE)</f>
        <v>Rob</v>
      </c>
      <c r="I984" t="str">
        <f>VLOOKUP('Combined table'!B984,products!$A$1:$G$49,3,FALSE)</f>
        <v>L</v>
      </c>
      <c r="J984">
        <f>VLOOKUP('Combined table'!B984,products!$A$1:$G$49,4,FALSE)</f>
        <v>1</v>
      </c>
      <c r="K984">
        <f>VLOOKUP('Combined table'!B984,products!$A$1:$G$49,5,FALSE)</f>
        <v>11.95</v>
      </c>
      <c r="L984">
        <f>VLOOKUP('Combined table'!B984,products!$A$1:$G$49,6,FALSE)</f>
        <v>1.1949999999999998</v>
      </c>
      <c r="M984">
        <f>VLOOKUP('Combined table'!B984,products!$A$1:$G$49,7,FALSE)</f>
        <v>0.71699999999999997</v>
      </c>
      <c r="N984" t="str">
        <f>TEXT(A984,"mmm yyyy")</f>
        <v>Aug 2022</v>
      </c>
      <c r="O984">
        <f t="shared" si="15"/>
        <v>23.9</v>
      </c>
    </row>
    <row r="985" spans="1:15" x14ac:dyDescent="0.25">
      <c r="A985" s="3">
        <v>43831</v>
      </c>
      <c r="B985" t="s">
        <v>6152</v>
      </c>
      <c r="C985" s="2">
        <v>2</v>
      </c>
      <c r="D985" s="2" t="s">
        <v>6049</v>
      </c>
      <c r="E985" s="2" t="s">
        <v>39</v>
      </c>
      <c r="F985" s="2" t="s">
        <v>19</v>
      </c>
      <c r="G985" t="s">
        <v>6190</v>
      </c>
      <c r="H985" t="str">
        <f>VLOOKUP('Combined table'!B985,products!$A$1:$G$49,2,FALSE)</f>
        <v>Ara</v>
      </c>
      <c r="I985" t="str">
        <f>VLOOKUP('Combined table'!B985,products!$A$1:$G$49,3,FALSE)</f>
        <v>M</v>
      </c>
      <c r="J985">
        <f>VLOOKUP('Combined table'!B985,products!$A$1:$G$49,4,FALSE)</f>
        <v>0.2</v>
      </c>
      <c r="K985">
        <f>VLOOKUP('Combined table'!B985,products!$A$1:$G$49,5,FALSE)</f>
        <v>3.375</v>
      </c>
      <c r="L985">
        <f>VLOOKUP('Combined table'!B985,products!$A$1:$G$49,6,FALSE)</f>
        <v>1.6875</v>
      </c>
      <c r="M985">
        <f>VLOOKUP('Combined table'!B985,products!$A$1:$G$49,7,FALSE)</f>
        <v>0.30374999999999996</v>
      </c>
      <c r="N985" t="str">
        <f>TEXT(A985,"mmm yyyy")</f>
        <v>Jan 2020</v>
      </c>
      <c r="O985">
        <f t="shared" si="15"/>
        <v>6.75</v>
      </c>
    </row>
    <row r="986" spans="1:15" x14ac:dyDescent="0.25">
      <c r="A986" s="3">
        <v>44214</v>
      </c>
      <c r="B986" t="s">
        <v>6166</v>
      </c>
      <c r="C986" s="2">
        <v>1</v>
      </c>
      <c r="D986" s="2" t="s">
        <v>6055</v>
      </c>
      <c r="E986" s="2" t="s">
        <v>407</v>
      </c>
      <c r="F986" s="2" t="s">
        <v>318</v>
      </c>
      <c r="G986" t="s">
        <v>6190</v>
      </c>
      <c r="H986" t="str">
        <f>VLOOKUP('Combined table'!B986,products!$A$1:$G$49,2,FALSE)</f>
        <v>Exc</v>
      </c>
      <c r="I986" t="str">
        <f>VLOOKUP('Combined table'!B986,products!$A$1:$G$49,3,FALSE)</f>
        <v>M</v>
      </c>
      <c r="J986">
        <f>VLOOKUP('Combined table'!B986,products!$A$1:$G$49,4,FALSE)</f>
        <v>2.5</v>
      </c>
      <c r="K986">
        <f>VLOOKUP('Combined table'!B986,products!$A$1:$G$49,5,FALSE)</f>
        <v>31.624999999999996</v>
      </c>
      <c r="L986">
        <f>VLOOKUP('Combined table'!B986,products!$A$1:$G$49,6,FALSE)</f>
        <v>1.2649999999999999</v>
      </c>
      <c r="M986">
        <f>VLOOKUP('Combined table'!B986,products!$A$1:$G$49,7,FALSE)</f>
        <v>3.4787499999999998</v>
      </c>
      <c r="N986" t="str">
        <f>TEXT(A986,"mmm yyyy")</f>
        <v>Jan 2021</v>
      </c>
      <c r="O986">
        <f t="shared" si="15"/>
        <v>31.624999999999996</v>
      </c>
    </row>
    <row r="987" spans="1:15" x14ac:dyDescent="0.25">
      <c r="A987" s="3">
        <v>44561</v>
      </c>
      <c r="B987" t="s">
        <v>6179</v>
      </c>
      <c r="C987" s="2">
        <v>4</v>
      </c>
      <c r="D987" s="2" t="s">
        <v>6060</v>
      </c>
      <c r="E987" s="2" t="s">
        <v>133</v>
      </c>
      <c r="F987" s="2" t="s">
        <v>19</v>
      </c>
      <c r="G987" t="s">
        <v>6191</v>
      </c>
      <c r="H987" t="str">
        <f>VLOOKUP('Combined table'!B987,products!$A$1:$G$49,2,FALSE)</f>
        <v>Rob</v>
      </c>
      <c r="I987" t="str">
        <f>VLOOKUP('Combined table'!B987,products!$A$1:$G$49,3,FALSE)</f>
        <v>L</v>
      </c>
      <c r="J987">
        <f>VLOOKUP('Combined table'!B987,products!$A$1:$G$49,4,FALSE)</f>
        <v>1</v>
      </c>
      <c r="K987">
        <f>VLOOKUP('Combined table'!B987,products!$A$1:$G$49,5,FALSE)</f>
        <v>11.95</v>
      </c>
      <c r="L987">
        <f>VLOOKUP('Combined table'!B987,products!$A$1:$G$49,6,FALSE)</f>
        <v>1.1949999999999998</v>
      </c>
      <c r="M987">
        <f>VLOOKUP('Combined table'!B987,products!$A$1:$G$49,7,FALSE)</f>
        <v>0.71699999999999997</v>
      </c>
      <c r="N987" t="str">
        <f>TEXT(A987,"mmm yyyy")</f>
        <v>Dec 2021</v>
      </c>
      <c r="O987">
        <f t="shared" si="15"/>
        <v>47.8</v>
      </c>
    </row>
    <row r="988" spans="1:15" x14ac:dyDescent="0.25">
      <c r="A988" s="3">
        <v>43955</v>
      </c>
      <c r="B988" t="s">
        <v>6181</v>
      </c>
      <c r="C988" s="2">
        <v>1</v>
      </c>
      <c r="D988" s="2" t="s">
        <v>6066</v>
      </c>
      <c r="E988" s="2" t="s">
        <v>147</v>
      </c>
      <c r="F988" s="2" t="s">
        <v>19</v>
      </c>
      <c r="G988" t="s">
        <v>6191</v>
      </c>
      <c r="H988" t="str">
        <f>VLOOKUP('Combined table'!B988,products!$A$1:$G$49,2,FALSE)</f>
        <v>Lib</v>
      </c>
      <c r="I988" t="str">
        <f>VLOOKUP('Combined table'!B988,products!$A$1:$G$49,3,FALSE)</f>
        <v>M</v>
      </c>
      <c r="J988">
        <f>VLOOKUP('Combined table'!B988,products!$A$1:$G$49,4,FALSE)</f>
        <v>2.5</v>
      </c>
      <c r="K988">
        <f>VLOOKUP('Combined table'!B988,products!$A$1:$G$49,5,FALSE)</f>
        <v>33.464999999999996</v>
      </c>
      <c r="L988">
        <f>VLOOKUP('Combined table'!B988,products!$A$1:$G$49,6,FALSE)</f>
        <v>1.3385999999999998</v>
      </c>
      <c r="M988">
        <f>VLOOKUP('Combined table'!B988,products!$A$1:$G$49,7,FALSE)</f>
        <v>4.3504499999999995</v>
      </c>
      <c r="N988" t="str">
        <f>TEXT(A988,"mmm yyyy")</f>
        <v>May 2020</v>
      </c>
      <c r="O988">
        <f t="shared" si="15"/>
        <v>33.464999999999996</v>
      </c>
    </row>
    <row r="989" spans="1:15" x14ac:dyDescent="0.25">
      <c r="A989" s="3">
        <v>44247</v>
      </c>
      <c r="B989" t="s">
        <v>6158</v>
      </c>
      <c r="C989" s="2">
        <v>5</v>
      </c>
      <c r="D989" s="2" t="s">
        <v>6072</v>
      </c>
      <c r="E989" s="2" t="s">
        <v>251</v>
      </c>
      <c r="F989" s="2" t="s">
        <v>28</v>
      </c>
      <c r="G989" t="s">
        <v>6190</v>
      </c>
      <c r="H989" t="str">
        <f>VLOOKUP('Combined table'!B989,products!$A$1:$G$49,2,FALSE)</f>
        <v>Ara</v>
      </c>
      <c r="I989" t="str">
        <f>VLOOKUP('Combined table'!B989,products!$A$1:$G$49,3,FALSE)</f>
        <v>D</v>
      </c>
      <c r="J989">
        <f>VLOOKUP('Combined table'!B989,products!$A$1:$G$49,4,FALSE)</f>
        <v>0.5</v>
      </c>
      <c r="K989">
        <f>VLOOKUP('Combined table'!B989,products!$A$1:$G$49,5,FALSE)</f>
        <v>5.97</v>
      </c>
      <c r="L989">
        <f>VLOOKUP('Combined table'!B989,products!$A$1:$G$49,6,FALSE)</f>
        <v>1.194</v>
      </c>
      <c r="M989">
        <f>VLOOKUP('Combined table'!B989,products!$A$1:$G$49,7,FALSE)</f>
        <v>0.5373</v>
      </c>
      <c r="N989" t="str">
        <f>TEXT(A989,"mmm yyyy")</f>
        <v>Feb 2021</v>
      </c>
      <c r="O989">
        <f t="shared" si="15"/>
        <v>29.849999999999998</v>
      </c>
    </row>
    <row r="990" spans="1:15" x14ac:dyDescent="0.25">
      <c r="A990" s="3">
        <v>43897</v>
      </c>
      <c r="B990" t="s">
        <v>6138</v>
      </c>
      <c r="C990" s="2">
        <v>3</v>
      </c>
      <c r="D990" s="2" t="s">
        <v>6078</v>
      </c>
      <c r="E990" s="2" t="s">
        <v>367</v>
      </c>
      <c r="F990" s="2" t="s">
        <v>28</v>
      </c>
      <c r="G990" t="s">
        <v>6190</v>
      </c>
      <c r="H990" t="str">
        <f>VLOOKUP('Combined table'!B990,products!$A$1:$G$49,2,FALSE)</f>
        <v>Rob</v>
      </c>
      <c r="I990" t="str">
        <f>VLOOKUP('Combined table'!B990,products!$A$1:$G$49,3,FALSE)</f>
        <v>M</v>
      </c>
      <c r="J990">
        <f>VLOOKUP('Combined table'!B990,products!$A$1:$G$49,4,FALSE)</f>
        <v>1</v>
      </c>
      <c r="K990">
        <f>VLOOKUP('Combined table'!B990,products!$A$1:$G$49,5,FALSE)</f>
        <v>9.9499999999999993</v>
      </c>
      <c r="L990">
        <f>VLOOKUP('Combined table'!B990,products!$A$1:$G$49,6,FALSE)</f>
        <v>0.99499999999999988</v>
      </c>
      <c r="M990">
        <f>VLOOKUP('Combined table'!B990,products!$A$1:$G$49,7,FALSE)</f>
        <v>0.59699999999999998</v>
      </c>
      <c r="N990" t="str">
        <f>TEXT(A990,"mmm yyyy")</f>
        <v>Mar 2020</v>
      </c>
      <c r="O990">
        <f t="shared" si="15"/>
        <v>29.849999999999998</v>
      </c>
    </row>
    <row r="991" spans="1:15" x14ac:dyDescent="0.25">
      <c r="A991" s="3">
        <v>43560</v>
      </c>
      <c r="B991" t="s">
        <v>6175</v>
      </c>
      <c r="C991" s="2">
        <v>6</v>
      </c>
      <c r="D991" s="2" t="s">
        <v>6083</v>
      </c>
      <c r="E991" s="2" t="s">
        <v>104</v>
      </c>
      <c r="F991" s="2" t="s">
        <v>19</v>
      </c>
      <c r="G991" t="s">
        <v>6190</v>
      </c>
      <c r="H991" t="str">
        <f>VLOOKUP('Combined table'!B991,products!$A$1:$G$49,2,FALSE)</f>
        <v>Ara</v>
      </c>
      <c r="I991" t="str">
        <f>VLOOKUP('Combined table'!B991,products!$A$1:$G$49,3,FALSE)</f>
        <v>M</v>
      </c>
      <c r="J991">
        <f>VLOOKUP('Combined table'!B991,products!$A$1:$G$49,4,FALSE)</f>
        <v>2.5</v>
      </c>
      <c r="K991">
        <f>VLOOKUP('Combined table'!B991,products!$A$1:$G$49,5,FALSE)</f>
        <v>25.874999999999996</v>
      </c>
      <c r="L991">
        <f>VLOOKUP('Combined table'!B991,products!$A$1:$G$49,6,FALSE)</f>
        <v>1.0349999999999999</v>
      </c>
      <c r="M991">
        <f>VLOOKUP('Combined table'!B991,products!$A$1:$G$49,7,FALSE)</f>
        <v>2.3287499999999994</v>
      </c>
      <c r="N991" t="str">
        <f>TEXT(A991,"mmm yyyy")</f>
        <v>Apr 2019</v>
      </c>
      <c r="O991">
        <f t="shared" si="15"/>
        <v>155.24999999999997</v>
      </c>
    </row>
    <row r="992" spans="1:15" x14ac:dyDescent="0.25">
      <c r="A992" s="3">
        <v>44718</v>
      </c>
      <c r="B992" t="s">
        <v>6153</v>
      </c>
      <c r="C992" s="2">
        <v>5</v>
      </c>
      <c r="D992" s="2" t="s">
        <v>6088</v>
      </c>
      <c r="E992" s="2" t="s">
        <v>290</v>
      </c>
      <c r="F992" s="2" t="s">
        <v>19</v>
      </c>
      <c r="G992" t="s">
        <v>6191</v>
      </c>
      <c r="H992" t="str">
        <f>VLOOKUP('Combined table'!B992,products!$A$1:$G$49,2,FALSE)</f>
        <v>Exc</v>
      </c>
      <c r="I992" t="str">
        <f>VLOOKUP('Combined table'!B992,products!$A$1:$G$49,3,FALSE)</f>
        <v>D</v>
      </c>
      <c r="J992">
        <f>VLOOKUP('Combined table'!B992,products!$A$1:$G$49,4,FALSE)</f>
        <v>0.2</v>
      </c>
      <c r="K992">
        <f>VLOOKUP('Combined table'!B992,products!$A$1:$G$49,5,FALSE)</f>
        <v>3.645</v>
      </c>
      <c r="L992">
        <f>VLOOKUP('Combined table'!B992,products!$A$1:$G$49,6,FALSE)</f>
        <v>1.8225</v>
      </c>
      <c r="M992">
        <f>VLOOKUP('Combined table'!B992,products!$A$1:$G$49,7,FALSE)</f>
        <v>0.40095000000000003</v>
      </c>
      <c r="N992" t="str">
        <f>TEXT(A992,"mmm yyyy")</f>
        <v>Jun 2022</v>
      </c>
      <c r="O992">
        <f t="shared" si="15"/>
        <v>18.225000000000001</v>
      </c>
    </row>
    <row r="993" spans="1:15" x14ac:dyDescent="0.25">
      <c r="A993" s="3">
        <v>44718</v>
      </c>
      <c r="B993" t="s">
        <v>6169</v>
      </c>
      <c r="C993" s="2">
        <v>2</v>
      </c>
      <c r="D993" s="2" t="s">
        <v>6093</v>
      </c>
      <c r="E993" s="2" t="s">
        <v>65</v>
      </c>
      <c r="F993" s="2" t="s">
        <v>19</v>
      </c>
      <c r="G993" t="s">
        <v>6190</v>
      </c>
      <c r="H993" t="str">
        <f>VLOOKUP('Combined table'!B993,products!$A$1:$G$49,2,FALSE)</f>
        <v>Lib</v>
      </c>
      <c r="I993" t="str">
        <f>VLOOKUP('Combined table'!B993,products!$A$1:$G$49,3,FALSE)</f>
        <v>D</v>
      </c>
      <c r="J993">
        <f>VLOOKUP('Combined table'!B993,products!$A$1:$G$49,4,FALSE)</f>
        <v>0.5</v>
      </c>
      <c r="K993">
        <f>VLOOKUP('Combined table'!B993,products!$A$1:$G$49,5,FALSE)</f>
        <v>7.77</v>
      </c>
      <c r="L993">
        <f>VLOOKUP('Combined table'!B993,products!$A$1:$G$49,6,FALSE)</f>
        <v>1.5539999999999998</v>
      </c>
      <c r="M993">
        <f>VLOOKUP('Combined table'!B993,products!$A$1:$G$49,7,FALSE)</f>
        <v>1.0101</v>
      </c>
      <c r="N993" t="str">
        <f>TEXT(A993,"mmm yyyy")</f>
        <v>Jun 2022</v>
      </c>
      <c r="O993">
        <f t="shared" si="15"/>
        <v>15.54</v>
      </c>
    </row>
    <row r="994" spans="1:15" x14ac:dyDescent="0.25">
      <c r="A994" s="3">
        <v>44276</v>
      </c>
      <c r="B994" t="s">
        <v>6164</v>
      </c>
      <c r="C994" s="2">
        <v>3</v>
      </c>
      <c r="D994" s="2" t="s">
        <v>6098</v>
      </c>
      <c r="E994" s="2" t="s">
        <v>488</v>
      </c>
      <c r="F994" s="2" t="s">
        <v>318</v>
      </c>
      <c r="G994" t="s">
        <v>6191</v>
      </c>
      <c r="H994" t="str">
        <f>VLOOKUP('Combined table'!B994,products!$A$1:$G$49,2,FALSE)</f>
        <v>Lib</v>
      </c>
      <c r="I994" t="str">
        <f>VLOOKUP('Combined table'!B994,products!$A$1:$G$49,3,FALSE)</f>
        <v>L</v>
      </c>
      <c r="J994">
        <f>VLOOKUP('Combined table'!B994,products!$A$1:$G$49,4,FALSE)</f>
        <v>2.5</v>
      </c>
      <c r="K994">
        <f>VLOOKUP('Combined table'!B994,products!$A$1:$G$49,5,FALSE)</f>
        <v>36.454999999999998</v>
      </c>
      <c r="L994">
        <f>VLOOKUP('Combined table'!B994,products!$A$1:$G$49,6,FALSE)</f>
        <v>1.4581999999999999</v>
      </c>
      <c r="M994">
        <f>VLOOKUP('Combined table'!B994,products!$A$1:$G$49,7,FALSE)</f>
        <v>4.7391499999999995</v>
      </c>
      <c r="N994" t="str">
        <f>TEXT(A994,"mmm yyyy")</f>
        <v>Mar 2021</v>
      </c>
      <c r="O994">
        <f t="shared" si="15"/>
        <v>109.36499999999999</v>
      </c>
    </row>
    <row r="995" spans="1:15" x14ac:dyDescent="0.25">
      <c r="A995" s="3">
        <v>44549</v>
      </c>
      <c r="B995" t="s">
        <v>6140</v>
      </c>
      <c r="C995" s="2">
        <v>6</v>
      </c>
      <c r="D995" s="2" t="s">
        <v>6103</v>
      </c>
      <c r="E995" s="2" t="s">
        <v>46</v>
      </c>
      <c r="F995" s="2" t="s">
        <v>19</v>
      </c>
      <c r="G995" t="s">
        <v>6191</v>
      </c>
      <c r="H995" t="str">
        <f>VLOOKUP('Combined table'!B995,products!$A$1:$G$49,2,FALSE)</f>
        <v>Ara</v>
      </c>
      <c r="I995" t="str">
        <f>VLOOKUP('Combined table'!B995,products!$A$1:$G$49,3,FALSE)</f>
        <v>L</v>
      </c>
      <c r="J995">
        <f>VLOOKUP('Combined table'!B995,products!$A$1:$G$49,4,FALSE)</f>
        <v>1</v>
      </c>
      <c r="K995">
        <f>VLOOKUP('Combined table'!B995,products!$A$1:$G$49,5,FALSE)</f>
        <v>12.95</v>
      </c>
      <c r="L995">
        <f>VLOOKUP('Combined table'!B995,products!$A$1:$G$49,6,FALSE)</f>
        <v>1.2949999999999999</v>
      </c>
      <c r="M995">
        <f>VLOOKUP('Combined table'!B995,products!$A$1:$G$49,7,FALSE)</f>
        <v>1.1655</v>
      </c>
      <c r="N995" t="str">
        <f>TEXT(A995,"mmm yyyy")</f>
        <v>Dec 2021</v>
      </c>
      <c r="O995">
        <f t="shared" si="15"/>
        <v>77.699999999999989</v>
      </c>
    </row>
    <row r="996" spans="1:15" x14ac:dyDescent="0.25">
      <c r="A996" s="3">
        <v>44244</v>
      </c>
      <c r="B996" t="s">
        <v>6154</v>
      </c>
      <c r="C996" s="2">
        <v>3</v>
      </c>
      <c r="D996" s="2" t="s">
        <v>6108</v>
      </c>
      <c r="E996" s="2" t="s">
        <v>465</v>
      </c>
      <c r="F996" s="2" t="s">
        <v>318</v>
      </c>
      <c r="G996" t="s">
        <v>6191</v>
      </c>
      <c r="H996" t="str">
        <f>VLOOKUP('Combined table'!B996,products!$A$1:$G$49,2,FALSE)</f>
        <v>Ara</v>
      </c>
      <c r="I996" t="str">
        <f>VLOOKUP('Combined table'!B996,products!$A$1:$G$49,3,FALSE)</f>
        <v>D</v>
      </c>
      <c r="J996">
        <f>VLOOKUP('Combined table'!B996,products!$A$1:$G$49,4,FALSE)</f>
        <v>0.2</v>
      </c>
      <c r="K996">
        <f>VLOOKUP('Combined table'!B996,products!$A$1:$G$49,5,FALSE)</f>
        <v>2.9849999999999999</v>
      </c>
      <c r="L996">
        <f>VLOOKUP('Combined table'!B996,products!$A$1:$G$49,6,FALSE)</f>
        <v>1.4924999999999999</v>
      </c>
      <c r="M996">
        <f>VLOOKUP('Combined table'!B996,products!$A$1:$G$49,7,FALSE)</f>
        <v>0.26865</v>
      </c>
      <c r="N996" t="str">
        <f>TEXT(A996,"mmm yyyy")</f>
        <v>Feb 2021</v>
      </c>
      <c r="O996">
        <f t="shared" si="15"/>
        <v>8.9550000000000001</v>
      </c>
    </row>
    <row r="997" spans="1:15" x14ac:dyDescent="0.25">
      <c r="A997" s="3">
        <v>43836</v>
      </c>
      <c r="B997" t="s">
        <v>6142</v>
      </c>
      <c r="C997" s="2">
        <v>1</v>
      </c>
      <c r="D997" s="2" t="s">
        <v>6113</v>
      </c>
      <c r="E997" s="2" t="s">
        <v>52</v>
      </c>
      <c r="F997" s="2" t="s">
        <v>19</v>
      </c>
      <c r="G997" t="s">
        <v>6191</v>
      </c>
      <c r="H997" t="str">
        <f>VLOOKUP('Combined table'!B997,products!$A$1:$G$49,2,FALSE)</f>
        <v>Rob</v>
      </c>
      <c r="I997" t="str">
        <f>VLOOKUP('Combined table'!B997,products!$A$1:$G$49,3,FALSE)</f>
        <v>L</v>
      </c>
      <c r="J997">
        <f>VLOOKUP('Combined table'!B997,products!$A$1:$G$49,4,FALSE)</f>
        <v>2.5</v>
      </c>
      <c r="K997">
        <f>VLOOKUP('Combined table'!B997,products!$A$1:$G$49,5,FALSE)</f>
        <v>27.484999999999996</v>
      </c>
      <c r="L997">
        <f>VLOOKUP('Combined table'!B997,products!$A$1:$G$49,6,FALSE)</f>
        <v>1.0993999999999999</v>
      </c>
      <c r="M997">
        <f>VLOOKUP('Combined table'!B997,products!$A$1:$G$49,7,FALSE)</f>
        <v>1.6490999999999998</v>
      </c>
      <c r="N997" t="str">
        <f>TEXT(A997,"mmm yyyy")</f>
        <v>Jan 2020</v>
      </c>
      <c r="O997">
        <f t="shared" si="15"/>
        <v>27.484999999999996</v>
      </c>
    </row>
    <row r="998" spans="1:15" x14ac:dyDescent="0.25">
      <c r="A998" s="3">
        <v>44685</v>
      </c>
      <c r="B998" t="s">
        <v>6146</v>
      </c>
      <c r="C998" s="2">
        <v>5</v>
      </c>
      <c r="D998" s="2" t="s">
        <v>6119</v>
      </c>
      <c r="E998" s="2" t="s">
        <v>4511</v>
      </c>
      <c r="F998" s="2" t="s">
        <v>19</v>
      </c>
      <c r="G998" t="s">
        <v>6191</v>
      </c>
      <c r="H998" t="str">
        <f>VLOOKUP('Combined table'!B998,products!$A$1:$G$49,2,FALSE)</f>
        <v>Rob</v>
      </c>
      <c r="I998" t="str">
        <f>VLOOKUP('Combined table'!B998,products!$A$1:$G$49,3,FALSE)</f>
        <v>M</v>
      </c>
      <c r="J998">
        <f>VLOOKUP('Combined table'!B998,products!$A$1:$G$49,4,FALSE)</f>
        <v>0.5</v>
      </c>
      <c r="K998">
        <f>VLOOKUP('Combined table'!B998,products!$A$1:$G$49,5,FALSE)</f>
        <v>5.97</v>
      </c>
      <c r="L998">
        <f>VLOOKUP('Combined table'!B998,products!$A$1:$G$49,6,FALSE)</f>
        <v>1.194</v>
      </c>
      <c r="M998">
        <f>VLOOKUP('Combined table'!B998,products!$A$1:$G$49,7,FALSE)</f>
        <v>0.35819999999999996</v>
      </c>
      <c r="N998" t="str">
        <f>TEXT(A998,"mmm yyyy")</f>
        <v>May 2022</v>
      </c>
      <c r="O998">
        <f t="shared" si="15"/>
        <v>29.849999999999998</v>
      </c>
    </row>
    <row r="999" spans="1:15" x14ac:dyDescent="0.25">
      <c r="A999" s="3">
        <v>43749</v>
      </c>
      <c r="B999" t="s">
        <v>6157</v>
      </c>
      <c r="C999" s="2">
        <v>4</v>
      </c>
      <c r="D999" s="2" t="s">
        <v>6124</v>
      </c>
      <c r="E999" s="2" t="s">
        <v>78</v>
      </c>
      <c r="F999" s="2" t="s">
        <v>19</v>
      </c>
      <c r="G999" t="s">
        <v>6190</v>
      </c>
      <c r="H999" t="str">
        <f>VLOOKUP('Combined table'!B999,products!$A$1:$G$49,2,FALSE)</f>
        <v>Ara</v>
      </c>
      <c r="I999" t="str">
        <f>VLOOKUP('Combined table'!B999,products!$A$1:$G$49,3,FALSE)</f>
        <v>M</v>
      </c>
      <c r="J999">
        <f>VLOOKUP('Combined table'!B999,products!$A$1:$G$49,4,FALSE)</f>
        <v>0.5</v>
      </c>
      <c r="K999">
        <f>VLOOKUP('Combined table'!B999,products!$A$1:$G$49,5,FALSE)</f>
        <v>6.75</v>
      </c>
      <c r="L999">
        <f>VLOOKUP('Combined table'!B999,products!$A$1:$G$49,6,FALSE)</f>
        <v>1.35</v>
      </c>
      <c r="M999">
        <f>VLOOKUP('Combined table'!B999,products!$A$1:$G$49,7,FALSE)</f>
        <v>0.60749999999999993</v>
      </c>
      <c r="N999" t="str">
        <f>TEXT(A999,"mmm yyyy")</f>
        <v>Oct 2019</v>
      </c>
      <c r="O999">
        <f t="shared" si="15"/>
        <v>27</v>
      </c>
    </row>
    <row r="1000" spans="1:15" x14ac:dyDescent="0.25">
      <c r="A1000" s="3">
        <v>44411</v>
      </c>
      <c r="B1000" t="s">
        <v>6147</v>
      </c>
      <c r="C1000" s="2">
        <v>1</v>
      </c>
      <c r="D1000" s="2" t="s">
        <v>6129</v>
      </c>
      <c r="E1000" s="2" t="s">
        <v>146</v>
      </c>
      <c r="F1000" s="2" t="s">
        <v>19</v>
      </c>
      <c r="G1000" t="s">
        <v>6191</v>
      </c>
      <c r="H1000" t="str">
        <f>VLOOKUP('Combined table'!B1000,products!$A$1:$G$49,2,FALSE)</f>
        <v>Ara</v>
      </c>
      <c r="I1000" t="str">
        <f>VLOOKUP('Combined table'!B1000,products!$A$1:$G$49,3,FALSE)</f>
        <v>D</v>
      </c>
      <c r="J1000">
        <f>VLOOKUP('Combined table'!B1000,products!$A$1:$G$49,4,FALSE)</f>
        <v>1</v>
      </c>
      <c r="K1000">
        <f>VLOOKUP('Combined table'!B1000,products!$A$1:$G$49,5,FALSE)</f>
        <v>9.9499999999999993</v>
      </c>
      <c r="L1000">
        <f>VLOOKUP('Combined table'!B1000,products!$A$1:$G$49,6,FALSE)</f>
        <v>0.99499999999999988</v>
      </c>
      <c r="M1000">
        <f>VLOOKUP('Combined table'!B1000,products!$A$1:$G$49,7,FALSE)</f>
        <v>0.89549999999999985</v>
      </c>
      <c r="N1000" t="str">
        <f>TEXT(A1000,"mmm yyyy")</f>
        <v>Aug 2021</v>
      </c>
      <c r="O1000">
        <f t="shared" si="15"/>
        <v>9.9499999999999993</v>
      </c>
    </row>
    <row r="1001" spans="1:15" x14ac:dyDescent="0.25">
      <c r="A1001" s="3">
        <v>44119</v>
      </c>
      <c r="B1001" t="s">
        <v>6156</v>
      </c>
      <c r="C1001" s="2">
        <v>3</v>
      </c>
      <c r="D1001" s="2" t="s">
        <v>6135</v>
      </c>
      <c r="E1001" s="2" t="s">
        <v>180</v>
      </c>
      <c r="F1001" s="2" t="s">
        <v>28</v>
      </c>
      <c r="G1001" t="s">
        <v>6190</v>
      </c>
      <c r="H1001" t="str">
        <f>VLOOKUP('Combined table'!B1001,products!$A$1:$G$49,2,FALSE)</f>
        <v>Exc</v>
      </c>
      <c r="I1001" t="str">
        <f>VLOOKUP('Combined table'!B1001,products!$A$1:$G$49,3,FALSE)</f>
        <v>M</v>
      </c>
      <c r="J1001">
        <f>VLOOKUP('Combined table'!B1001,products!$A$1:$G$49,4,FALSE)</f>
        <v>0.2</v>
      </c>
      <c r="K1001">
        <f>VLOOKUP('Combined table'!B1001,products!$A$1:$G$49,5,FALSE)</f>
        <v>4.125</v>
      </c>
      <c r="L1001">
        <f>VLOOKUP('Combined table'!B1001,products!$A$1:$G$49,6,FALSE)</f>
        <v>2.0625</v>
      </c>
      <c r="M1001">
        <f>VLOOKUP('Combined table'!B1001,products!$A$1:$G$49,7,FALSE)</f>
        <v>0.45374999999999999</v>
      </c>
      <c r="N1001" t="str">
        <f>TEXT(A1001,"mmm yyyy")</f>
        <v>Oct 2020</v>
      </c>
      <c r="O1001">
        <f t="shared" si="15"/>
        <v>12.375</v>
      </c>
    </row>
  </sheetData>
  <autoFilter ref="N1:N100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8"/>
  <sheetViews>
    <sheetView workbookViewId="0">
      <selection activeCell="E6" sqref="E6"/>
    </sheetView>
  </sheetViews>
  <sheetFormatPr defaultRowHeight="15" x14ac:dyDescent="0.25"/>
  <sheetData>
    <row r="4" spans="3:15" x14ac:dyDescent="0.25">
      <c r="C4" s="15" t="s">
        <v>6211</v>
      </c>
      <c r="D4" s="15" t="s">
        <v>6198</v>
      </c>
      <c r="E4" s="15" t="s">
        <v>6199</v>
      </c>
      <c r="F4" s="15" t="s">
        <v>6200</v>
      </c>
      <c r="G4" s="15" t="s">
        <v>6201</v>
      </c>
      <c r="H4" s="15" t="s">
        <v>6202</v>
      </c>
      <c r="I4" s="15" t="s">
        <v>6203</v>
      </c>
      <c r="J4" s="15" t="s">
        <v>6204</v>
      </c>
      <c r="K4" s="15" t="s">
        <v>6205</v>
      </c>
      <c r="L4" s="15" t="s">
        <v>6206</v>
      </c>
      <c r="M4" s="15" t="s">
        <v>6207</v>
      </c>
      <c r="N4" s="15" t="s">
        <v>6208</v>
      </c>
      <c r="O4" s="15" t="s">
        <v>6209</v>
      </c>
    </row>
    <row r="5" spans="3:15" x14ac:dyDescent="0.25">
      <c r="C5" s="16">
        <v>2019</v>
      </c>
      <c r="D5">
        <v>828.9849999999999</v>
      </c>
      <c r="E5">
        <v>987.40499999999997</v>
      </c>
      <c r="F5">
        <v>1021.1399999999998</v>
      </c>
      <c r="G5">
        <v>1680.7499999999998</v>
      </c>
      <c r="H5">
        <v>398.565</v>
      </c>
      <c r="I5">
        <v>1384.6799999999998</v>
      </c>
      <c r="J5">
        <v>1004.135</v>
      </c>
      <c r="K5">
        <v>706.34500000000003</v>
      </c>
      <c r="L5">
        <v>1277.0199999999998</v>
      </c>
      <c r="M5">
        <v>884.96999999999991</v>
      </c>
      <c r="N5">
        <v>823.38499999999988</v>
      </c>
      <c r="O5">
        <v>1189.7849999999999</v>
      </c>
    </row>
    <row r="6" spans="3:15" x14ac:dyDescent="0.25">
      <c r="C6" s="16">
        <v>2020</v>
      </c>
      <c r="D6">
        <v>566.94999999999993</v>
      </c>
      <c r="E6">
        <v>1798.3399999999997</v>
      </c>
      <c r="F6">
        <v>914.78999999999985</v>
      </c>
      <c r="G6">
        <v>761.80999999999983</v>
      </c>
      <c r="H6">
        <v>939.35500000000013</v>
      </c>
      <c r="I6">
        <v>1438.4399999999998</v>
      </c>
      <c r="J6">
        <v>1308.9449999999999</v>
      </c>
      <c r="K6">
        <v>300.39999999999998</v>
      </c>
      <c r="L6">
        <v>713.05</v>
      </c>
      <c r="M6">
        <v>1514.7049999999999</v>
      </c>
      <c r="N6">
        <v>1108.865</v>
      </c>
      <c r="O6">
        <v>751.89499999999975</v>
      </c>
    </row>
    <row r="7" spans="3:15" x14ac:dyDescent="0.25">
      <c r="C7" s="16">
        <v>2021</v>
      </c>
      <c r="D7">
        <v>837.68499999999995</v>
      </c>
      <c r="E7">
        <v>958.82999999999981</v>
      </c>
      <c r="F7">
        <v>1544.64</v>
      </c>
      <c r="G7">
        <v>1005.5849999999998</v>
      </c>
      <c r="H7">
        <v>907.69</v>
      </c>
      <c r="I7">
        <v>864.52999999999986</v>
      </c>
      <c r="J7">
        <v>763.1049999999999</v>
      </c>
      <c r="K7">
        <v>1075.9100000000001</v>
      </c>
      <c r="L7">
        <v>1643.5749999999998</v>
      </c>
      <c r="M7">
        <v>1400.3999999999996</v>
      </c>
      <c r="N7">
        <v>1616.1799999999998</v>
      </c>
      <c r="O7">
        <v>1147.98</v>
      </c>
    </row>
    <row r="8" spans="3:15" x14ac:dyDescent="0.25">
      <c r="C8" s="16">
        <v>2022</v>
      </c>
      <c r="D8">
        <v>1269.4149999999995</v>
      </c>
      <c r="E8">
        <v>393.63</v>
      </c>
      <c r="F8">
        <v>1315.2049999999999</v>
      </c>
      <c r="G8">
        <v>776.44999999999993</v>
      </c>
      <c r="H8">
        <v>1002.37</v>
      </c>
      <c r="I8">
        <v>1155.3899999999996</v>
      </c>
      <c r="J8">
        <v>906.73</v>
      </c>
      <c r="K8">
        <v>244.24499999999998</v>
      </c>
      <c r="L8">
        <v>0</v>
      </c>
      <c r="M8">
        <v>0</v>
      </c>
      <c r="N8">
        <v>0</v>
      </c>
      <c r="O8">
        <v>0</v>
      </c>
    </row>
  </sheetData>
  <autoFilter ref="C4:C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8"/>
  <sheetViews>
    <sheetView workbookViewId="0">
      <selection activeCell="A9" sqref="A9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17" t="s">
        <v>6213</v>
      </c>
      <c r="B3" t="s">
        <v>6212</v>
      </c>
    </row>
    <row r="4" spans="1:2" x14ac:dyDescent="0.25">
      <c r="A4" s="18" t="s">
        <v>6214</v>
      </c>
      <c r="B4" s="14">
        <v>1680.7499999999998</v>
      </c>
    </row>
    <row r="5" spans="1:2" x14ac:dyDescent="0.25">
      <c r="A5" s="18" t="s">
        <v>6215</v>
      </c>
      <c r="B5" s="14">
        <v>761.80999999999983</v>
      </c>
    </row>
    <row r="6" spans="1:2" x14ac:dyDescent="0.25">
      <c r="A6" s="18" t="s">
        <v>6216</v>
      </c>
      <c r="B6" s="14">
        <v>1005.5849999999998</v>
      </c>
    </row>
    <row r="7" spans="1:2" x14ac:dyDescent="0.25">
      <c r="A7" s="18" t="s">
        <v>6217</v>
      </c>
      <c r="B7" s="14">
        <v>776.44999999999993</v>
      </c>
    </row>
    <row r="8" spans="1:2" x14ac:dyDescent="0.25">
      <c r="A8" s="18" t="s">
        <v>6218</v>
      </c>
      <c r="B8" s="14">
        <v>706.34500000000003</v>
      </c>
    </row>
    <row r="9" spans="1:2" x14ac:dyDescent="0.25">
      <c r="A9" s="18" t="s">
        <v>6219</v>
      </c>
      <c r="B9" s="14">
        <v>300.39999999999998</v>
      </c>
    </row>
    <row r="10" spans="1:2" x14ac:dyDescent="0.25">
      <c r="A10" s="18" t="s">
        <v>6220</v>
      </c>
      <c r="B10" s="14">
        <v>1075.9100000000001</v>
      </c>
    </row>
    <row r="11" spans="1:2" x14ac:dyDescent="0.25">
      <c r="A11" s="18" t="s">
        <v>6221</v>
      </c>
      <c r="B11" s="14">
        <v>244.24499999999998</v>
      </c>
    </row>
    <row r="12" spans="1:2" x14ac:dyDescent="0.25">
      <c r="A12" s="18" t="s">
        <v>6222</v>
      </c>
      <c r="B12" s="14">
        <v>1189.7849999999999</v>
      </c>
    </row>
    <row r="13" spans="1:2" x14ac:dyDescent="0.25">
      <c r="A13" s="18" t="s">
        <v>6223</v>
      </c>
      <c r="B13" s="14">
        <v>751.89499999999975</v>
      </c>
    </row>
    <row r="14" spans="1:2" x14ac:dyDescent="0.25">
      <c r="A14" s="18" t="s">
        <v>6224</v>
      </c>
      <c r="B14" s="14">
        <v>1147.98</v>
      </c>
    </row>
    <row r="15" spans="1:2" x14ac:dyDescent="0.25">
      <c r="A15" s="18" t="s">
        <v>6225</v>
      </c>
      <c r="B15" s="14">
        <v>987.40499999999997</v>
      </c>
    </row>
    <row r="16" spans="1:2" x14ac:dyDescent="0.25">
      <c r="A16" s="18" t="s">
        <v>6226</v>
      </c>
      <c r="B16" s="14">
        <v>1798.3399999999997</v>
      </c>
    </row>
    <row r="17" spans="1:2" x14ac:dyDescent="0.25">
      <c r="A17" s="18" t="s">
        <v>6227</v>
      </c>
      <c r="B17" s="14">
        <v>958.82999999999981</v>
      </c>
    </row>
    <row r="18" spans="1:2" x14ac:dyDescent="0.25">
      <c r="A18" s="18" t="s">
        <v>6228</v>
      </c>
      <c r="B18" s="14">
        <v>393.63</v>
      </c>
    </row>
    <row r="19" spans="1:2" x14ac:dyDescent="0.25">
      <c r="A19" s="18" t="s">
        <v>6229</v>
      </c>
      <c r="B19" s="14">
        <v>828.9849999999999</v>
      </c>
    </row>
    <row r="20" spans="1:2" x14ac:dyDescent="0.25">
      <c r="A20" s="18" t="s">
        <v>6230</v>
      </c>
      <c r="B20" s="14">
        <v>566.94999999999993</v>
      </c>
    </row>
    <row r="21" spans="1:2" x14ac:dyDescent="0.25">
      <c r="A21" s="18" t="s">
        <v>6231</v>
      </c>
      <c r="B21" s="14">
        <v>837.68499999999995</v>
      </c>
    </row>
    <row r="22" spans="1:2" x14ac:dyDescent="0.25">
      <c r="A22" s="18" t="s">
        <v>6232</v>
      </c>
      <c r="B22" s="14">
        <v>1269.4149999999995</v>
      </c>
    </row>
    <row r="23" spans="1:2" x14ac:dyDescent="0.25">
      <c r="A23" s="18" t="s">
        <v>6233</v>
      </c>
      <c r="B23" s="14">
        <v>1004.135</v>
      </c>
    </row>
    <row r="24" spans="1:2" x14ac:dyDescent="0.25">
      <c r="A24" s="18" t="s">
        <v>6234</v>
      </c>
      <c r="B24" s="14">
        <v>1308.9449999999999</v>
      </c>
    </row>
    <row r="25" spans="1:2" x14ac:dyDescent="0.25">
      <c r="A25" s="18" t="s">
        <v>6235</v>
      </c>
      <c r="B25" s="14">
        <v>763.1049999999999</v>
      </c>
    </row>
    <row r="26" spans="1:2" x14ac:dyDescent="0.25">
      <c r="A26" s="18" t="s">
        <v>6236</v>
      </c>
      <c r="B26" s="14">
        <v>906.73</v>
      </c>
    </row>
    <row r="27" spans="1:2" x14ac:dyDescent="0.25">
      <c r="A27" s="18" t="s">
        <v>6237</v>
      </c>
      <c r="B27" s="14">
        <v>1384.6799999999998</v>
      </c>
    </row>
    <row r="28" spans="1:2" x14ac:dyDescent="0.25">
      <c r="A28" s="18" t="s">
        <v>6238</v>
      </c>
      <c r="B28" s="14">
        <v>1438.4399999999998</v>
      </c>
    </row>
    <row r="29" spans="1:2" x14ac:dyDescent="0.25">
      <c r="A29" s="18" t="s">
        <v>6239</v>
      </c>
      <c r="B29" s="14">
        <v>864.52999999999986</v>
      </c>
    </row>
    <row r="30" spans="1:2" x14ac:dyDescent="0.25">
      <c r="A30" s="18" t="s">
        <v>6240</v>
      </c>
      <c r="B30" s="14">
        <v>1155.3899999999996</v>
      </c>
    </row>
    <row r="31" spans="1:2" x14ac:dyDescent="0.25">
      <c r="A31" s="18" t="s">
        <v>6241</v>
      </c>
      <c r="B31" s="14">
        <v>1021.1399999999998</v>
      </c>
    </row>
    <row r="32" spans="1:2" x14ac:dyDescent="0.25">
      <c r="A32" s="18" t="s">
        <v>6242</v>
      </c>
      <c r="B32" s="14">
        <v>914.78999999999985</v>
      </c>
    </row>
    <row r="33" spans="1:2" x14ac:dyDescent="0.25">
      <c r="A33" s="18" t="s">
        <v>6243</v>
      </c>
      <c r="B33" s="14">
        <v>1544.64</v>
      </c>
    </row>
    <row r="34" spans="1:2" x14ac:dyDescent="0.25">
      <c r="A34" s="18" t="s">
        <v>6244</v>
      </c>
      <c r="B34" s="14">
        <v>1315.2049999999999</v>
      </c>
    </row>
    <row r="35" spans="1:2" x14ac:dyDescent="0.25">
      <c r="A35" s="18" t="s">
        <v>6245</v>
      </c>
      <c r="B35" s="14">
        <v>398.565</v>
      </c>
    </row>
    <row r="36" spans="1:2" x14ac:dyDescent="0.25">
      <c r="A36" s="18" t="s">
        <v>6246</v>
      </c>
      <c r="B36" s="14">
        <v>939.35500000000013</v>
      </c>
    </row>
    <row r="37" spans="1:2" x14ac:dyDescent="0.25">
      <c r="A37" s="18" t="s">
        <v>6247</v>
      </c>
      <c r="B37" s="14">
        <v>907.69</v>
      </c>
    </row>
    <row r="38" spans="1:2" x14ac:dyDescent="0.25">
      <c r="A38" s="18" t="s">
        <v>6248</v>
      </c>
      <c r="B38" s="14">
        <v>1002.37</v>
      </c>
    </row>
    <row r="39" spans="1:2" x14ac:dyDescent="0.25">
      <c r="A39" s="18" t="s">
        <v>6249</v>
      </c>
      <c r="B39" s="14">
        <v>823.38499999999988</v>
      </c>
    </row>
    <row r="40" spans="1:2" x14ac:dyDescent="0.25">
      <c r="A40" s="18" t="s">
        <v>6250</v>
      </c>
      <c r="B40" s="14">
        <v>1108.865</v>
      </c>
    </row>
    <row r="41" spans="1:2" x14ac:dyDescent="0.25">
      <c r="A41" s="18" t="s">
        <v>6251</v>
      </c>
      <c r="B41" s="14">
        <v>1616.1799999999998</v>
      </c>
    </row>
    <row r="42" spans="1:2" x14ac:dyDescent="0.25">
      <c r="A42" s="18" t="s">
        <v>6252</v>
      </c>
      <c r="B42" s="14">
        <v>884.96999999999991</v>
      </c>
    </row>
    <row r="43" spans="1:2" x14ac:dyDescent="0.25">
      <c r="A43" s="18" t="s">
        <v>6253</v>
      </c>
      <c r="B43" s="14">
        <v>1514.7049999999999</v>
      </c>
    </row>
    <row r="44" spans="1:2" x14ac:dyDescent="0.25">
      <c r="A44" s="18" t="s">
        <v>6254</v>
      </c>
      <c r="B44" s="14">
        <v>1400.3999999999996</v>
      </c>
    </row>
    <row r="45" spans="1:2" x14ac:dyDescent="0.25">
      <c r="A45" s="18" t="s">
        <v>6255</v>
      </c>
      <c r="B45" s="14">
        <v>1277.0199999999998</v>
      </c>
    </row>
    <row r="46" spans="1:2" x14ac:dyDescent="0.25">
      <c r="A46" s="18" t="s">
        <v>6256</v>
      </c>
      <c r="B46" s="14">
        <v>713.05</v>
      </c>
    </row>
    <row r="47" spans="1:2" x14ac:dyDescent="0.25">
      <c r="A47" s="18" t="s">
        <v>6257</v>
      </c>
      <c r="B47" s="14">
        <v>1643.5749999999998</v>
      </c>
    </row>
    <row r="48" spans="1:2" x14ac:dyDescent="0.25">
      <c r="A48" s="18" t="s">
        <v>6258</v>
      </c>
      <c r="B48" s="14">
        <v>45134.254999999997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" width="13.140625" customWidth="1"/>
    <col min="2" max="2" width="15.5703125" bestFit="1" customWidth="1"/>
  </cols>
  <sheetData>
    <row r="1" spans="1:2" x14ac:dyDescent="0.25">
      <c r="A1" s="17" t="s">
        <v>6213</v>
      </c>
      <c r="B1" t="s">
        <v>6212</v>
      </c>
    </row>
    <row r="2" spans="1:2" x14ac:dyDescent="0.25">
      <c r="A2" s="18" t="s">
        <v>6193</v>
      </c>
      <c r="B2" s="14">
        <v>11768.494999999997</v>
      </c>
    </row>
    <row r="3" spans="1:2" x14ac:dyDescent="0.25">
      <c r="A3" s="18" t="s">
        <v>6194</v>
      </c>
      <c r="B3" s="14">
        <v>12306.439999999995</v>
      </c>
    </row>
    <row r="4" spans="1:2" x14ac:dyDescent="0.25">
      <c r="A4" s="18" t="s">
        <v>6195</v>
      </c>
      <c r="B4" s="14">
        <v>12054.074999999995</v>
      </c>
    </row>
    <row r="5" spans="1:2" x14ac:dyDescent="0.25">
      <c r="A5" s="18" t="s">
        <v>6192</v>
      </c>
      <c r="B5" s="14">
        <v>9005.2450000000099</v>
      </c>
    </row>
    <row r="6" spans="1:2" x14ac:dyDescent="0.25">
      <c r="A6" s="18" t="s">
        <v>6258</v>
      </c>
      <c r="B6" s="14">
        <v>45134.254999999997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1" width="13.140625" customWidth="1"/>
    <col min="2" max="2" width="15.5703125" bestFit="1" customWidth="1"/>
  </cols>
  <sheetData>
    <row r="1" spans="1:2" x14ac:dyDescent="0.25">
      <c r="A1" s="17" t="s">
        <v>6213</v>
      </c>
      <c r="B1" t="s">
        <v>6212</v>
      </c>
    </row>
    <row r="2" spans="1:2" x14ac:dyDescent="0.25">
      <c r="A2" s="18" t="s">
        <v>6187</v>
      </c>
      <c r="B2" s="14">
        <v>13179.315000000013</v>
      </c>
    </row>
    <row r="3" spans="1:2" x14ac:dyDescent="0.25">
      <c r="A3" s="18" t="s">
        <v>6186</v>
      </c>
      <c r="B3" s="14">
        <v>17354.464999999993</v>
      </c>
    </row>
    <row r="4" spans="1:2" x14ac:dyDescent="0.25">
      <c r="A4" s="18" t="s">
        <v>6188</v>
      </c>
      <c r="B4" s="14">
        <v>14600.474999999995</v>
      </c>
    </row>
    <row r="5" spans="1:2" x14ac:dyDescent="0.25">
      <c r="A5" s="18" t="s">
        <v>6258</v>
      </c>
      <c r="B5" s="14">
        <v>45134.255000000005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J14" sqref="J14"/>
    </sheetView>
  </sheetViews>
  <sheetFormatPr defaultRowHeight="15" x14ac:dyDescent="0.25"/>
  <cols>
    <col min="1" max="1" width="15.5703125" customWidth="1"/>
    <col min="2" max="2" width="16.28515625" bestFit="1" customWidth="1"/>
    <col min="3" max="3" width="8" customWidth="1"/>
    <col min="4" max="4" width="9" customWidth="1"/>
    <col min="5" max="5" width="10" bestFit="1" customWidth="1"/>
    <col min="6" max="6" width="11.28515625" bestFit="1" customWidth="1"/>
  </cols>
  <sheetData>
    <row r="1" spans="1:6" x14ac:dyDescent="0.25">
      <c r="B1" s="17" t="s">
        <v>6259</v>
      </c>
    </row>
    <row r="2" spans="1:6" x14ac:dyDescent="0.25">
      <c r="B2">
        <v>0.2</v>
      </c>
      <c r="C2">
        <v>0.5</v>
      </c>
      <c r="D2">
        <v>1</v>
      </c>
      <c r="E2">
        <v>2.5</v>
      </c>
      <c r="F2" t="s">
        <v>6258</v>
      </c>
    </row>
    <row r="3" spans="1:6" x14ac:dyDescent="0.25">
      <c r="A3" t="s">
        <v>6212</v>
      </c>
      <c r="B3" s="14">
        <v>3307.9499999999994</v>
      </c>
      <c r="C3" s="14">
        <v>7029.9900000000043</v>
      </c>
      <c r="D3" s="14">
        <v>11010.750000000005</v>
      </c>
      <c r="E3" s="14">
        <v>23785.56499999997</v>
      </c>
      <c r="F3" s="14">
        <v>45134.254999999976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opLeftCell="A4" workbookViewId="0"/>
  </sheetViews>
  <sheetFormatPr defaultRowHeight="15" x14ac:dyDescent="0.25"/>
  <cols>
    <col min="1" max="1" width="15.42578125" customWidth="1"/>
    <col min="2" max="2" width="15.5703125" bestFit="1" customWidth="1"/>
  </cols>
  <sheetData>
    <row r="1" spans="1:2" x14ac:dyDescent="0.25">
      <c r="A1" s="17" t="s">
        <v>6213</v>
      </c>
      <c r="B1" t="s">
        <v>6212</v>
      </c>
    </row>
    <row r="2" spans="1:2" x14ac:dyDescent="0.25">
      <c r="A2" s="18" t="s">
        <v>318</v>
      </c>
      <c r="B2" s="14">
        <v>6563.07</v>
      </c>
    </row>
    <row r="3" spans="1:2" x14ac:dyDescent="0.25">
      <c r="A3" s="18" t="s">
        <v>28</v>
      </c>
      <c r="B3" s="14">
        <v>2661.5</v>
      </c>
    </row>
    <row r="4" spans="1:2" x14ac:dyDescent="0.25">
      <c r="A4" s="18" t="s">
        <v>19</v>
      </c>
      <c r="B4" s="14">
        <v>35909.684999999976</v>
      </c>
    </row>
    <row r="5" spans="1:2" x14ac:dyDescent="0.25">
      <c r="A5" s="18" t="s">
        <v>6258</v>
      </c>
      <c r="B5" s="14">
        <v>45134.254999999976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cols>
    <col min="1" max="1" width="13.140625" customWidth="1"/>
    <col min="2" max="2" width="15.5703125" bestFit="1" customWidth="1"/>
  </cols>
  <sheetData>
    <row r="1" spans="1:2" x14ac:dyDescent="0.25">
      <c r="A1" s="17" t="s">
        <v>6213</v>
      </c>
      <c r="B1" t="s">
        <v>6212</v>
      </c>
    </row>
    <row r="2" spans="1:2" x14ac:dyDescent="0.25">
      <c r="A2" s="18" t="s">
        <v>6191</v>
      </c>
      <c r="B2" s="14">
        <v>23979.769999999997</v>
      </c>
    </row>
    <row r="3" spans="1:2" x14ac:dyDescent="0.25">
      <c r="A3" s="18" t="s">
        <v>6190</v>
      </c>
      <c r="B3" s="14">
        <v>21154.484999999993</v>
      </c>
    </row>
    <row r="4" spans="1:2" x14ac:dyDescent="0.25">
      <c r="A4" s="18" t="s">
        <v>6258</v>
      </c>
      <c r="B4" s="14">
        <v>45134.25499999999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G24" sqref="G24"/>
    </sheetView>
  </sheetViews>
  <sheetFormatPr defaultRowHeight="15" x14ac:dyDescent="0.25"/>
  <cols>
    <col min="1" max="1" width="16" customWidth="1"/>
    <col min="2" max="2" width="15.5703125" bestFit="1" customWidth="1"/>
  </cols>
  <sheetData>
    <row r="1" spans="1:2" x14ac:dyDescent="0.25">
      <c r="A1" s="17" t="s">
        <v>6213</v>
      </c>
      <c r="B1" t="s">
        <v>6212</v>
      </c>
    </row>
    <row r="2" spans="1:2" x14ac:dyDescent="0.25">
      <c r="A2" s="18" t="s">
        <v>1386</v>
      </c>
      <c r="B2" s="14">
        <v>218.73</v>
      </c>
    </row>
    <row r="3" spans="1:2" x14ac:dyDescent="0.25">
      <c r="A3" s="18" t="s">
        <v>2177</v>
      </c>
      <c r="B3" s="14">
        <v>204.92999999999995</v>
      </c>
    </row>
    <row r="4" spans="1:2" x14ac:dyDescent="0.25">
      <c r="A4" s="18" t="s">
        <v>2454</v>
      </c>
      <c r="B4" s="14">
        <v>204.92999999999995</v>
      </c>
    </row>
    <row r="5" spans="1:2" x14ac:dyDescent="0.25">
      <c r="A5" s="18" t="s">
        <v>2275</v>
      </c>
      <c r="B5" s="14">
        <v>204.92999999999995</v>
      </c>
    </row>
    <row r="6" spans="1:2" x14ac:dyDescent="0.25">
      <c r="A6" s="18" t="s">
        <v>3820</v>
      </c>
      <c r="B6" s="14">
        <v>204.92999999999995</v>
      </c>
    </row>
    <row r="7" spans="1:2" x14ac:dyDescent="0.25">
      <c r="A7" s="18" t="s">
        <v>1472</v>
      </c>
      <c r="B7" s="14">
        <v>204.92999999999995</v>
      </c>
    </row>
    <row r="8" spans="1:2" x14ac:dyDescent="0.25">
      <c r="A8" s="18" t="s">
        <v>2046</v>
      </c>
      <c r="B8" s="14">
        <v>204.92999999999995</v>
      </c>
    </row>
    <row r="9" spans="1:2" x14ac:dyDescent="0.25">
      <c r="A9" s="18" t="s">
        <v>2930</v>
      </c>
      <c r="B9" s="14">
        <v>200.78999999999996</v>
      </c>
    </row>
    <row r="10" spans="1:2" x14ac:dyDescent="0.25">
      <c r="A10" s="18" t="s">
        <v>2246</v>
      </c>
      <c r="B10" s="14">
        <v>189.74999999999997</v>
      </c>
    </row>
    <row r="11" spans="1:2" x14ac:dyDescent="0.25">
      <c r="A11" s="18" t="s">
        <v>3656</v>
      </c>
      <c r="B11" s="14">
        <v>189.74999999999997</v>
      </c>
    </row>
    <row r="12" spans="1:2" x14ac:dyDescent="0.25">
      <c r="A12" s="18" t="s">
        <v>6258</v>
      </c>
      <c r="B12" s="14">
        <v>2028.5999999999995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 x14ac:dyDescent="0.25"/>
  <sheetData>
    <row r="1" spans="1:3" x14ac:dyDescent="0.25">
      <c r="A1" s="5"/>
      <c r="B1" s="6"/>
      <c r="C1" s="7"/>
    </row>
    <row r="2" spans="1:3" x14ac:dyDescent="0.25">
      <c r="A2" s="8"/>
      <c r="B2" s="9"/>
      <c r="C2" s="10"/>
    </row>
    <row r="3" spans="1:3" x14ac:dyDescent="0.25">
      <c r="A3" s="8"/>
      <c r="B3" s="9"/>
      <c r="C3" s="10"/>
    </row>
    <row r="4" spans="1:3" x14ac:dyDescent="0.25">
      <c r="A4" s="8"/>
      <c r="B4" s="9"/>
      <c r="C4" s="10"/>
    </row>
    <row r="5" spans="1:3" x14ac:dyDescent="0.25">
      <c r="A5" s="8"/>
      <c r="B5" s="9"/>
      <c r="C5" s="10"/>
    </row>
    <row r="6" spans="1:3" x14ac:dyDescent="0.25">
      <c r="A6" s="8"/>
      <c r="B6" s="9"/>
      <c r="C6" s="10"/>
    </row>
    <row r="7" spans="1:3" x14ac:dyDescent="0.25">
      <c r="A7" s="8"/>
      <c r="B7" s="9"/>
      <c r="C7" s="10"/>
    </row>
    <row r="8" spans="1:3" x14ac:dyDescent="0.25">
      <c r="A8" s="8"/>
      <c r="B8" s="9"/>
      <c r="C8" s="10"/>
    </row>
    <row r="9" spans="1:3" x14ac:dyDescent="0.25">
      <c r="A9" s="8"/>
      <c r="B9" s="9"/>
      <c r="C9" s="10"/>
    </row>
    <row r="10" spans="1:3" x14ac:dyDescent="0.25">
      <c r="A10" s="8"/>
      <c r="B10" s="9"/>
      <c r="C10" s="10"/>
    </row>
    <row r="11" spans="1:3" x14ac:dyDescent="0.25">
      <c r="A11" s="8"/>
      <c r="B11" s="9"/>
      <c r="C11" s="10"/>
    </row>
    <row r="12" spans="1:3" x14ac:dyDescent="0.25">
      <c r="A12" s="8"/>
      <c r="B12" s="9"/>
      <c r="C12" s="10"/>
    </row>
    <row r="13" spans="1:3" x14ac:dyDescent="0.25">
      <c r="A13" s="8"/>
      <c r="B13" s="9"/>
      <c r="C13" s="10"/>
    </row>
    <row r="14" spans="1:3" x14ac:dyDescent="0.25">
      <c r="A14" s="8"/>
      <c r="B14" s="9"/>
      <c r="C14" s="10"/>
    </row>
    <row r="15" spans="1:3" x14ac:dyDescent="0.25">
      <c r="A15" s="8"/>
      <c r="B15" s="9"/>
      <c r="C15" s="10"/>
    </row>
    <row r="16" spans="1:3" x14ac:dyDescent="0.25">
      <c r="A16" s="8"/>
      <c r="B16" s="9"/>
      <c r="C16" s="10"/>
    </row>
    <row r="17" spans="1:3" x14ac:dyDescent="0.25">
      <c r="A17" s="8"/>
      <c r="B17" s="9"/>
      <c r="C17" s="10"/>
    </row>
    <row r="18" spans="1:3" x14ac:dyDescent="0.25">
      <c r="A18" s="11"/>
      <c r="B18" s="12"/>
      <c r="C18" s="13"/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orders</vt:lpstr>
      <vt:lpstr>customers</vt:lpstr>
      <vt:lpstr>products</vt:lpstr>
      <vt:lpstr>Combined table</vt:lpstr>
      <vt:lpstr>Year-month</vt:lpstr>
      <vt:lpstr>Sheet7</vt:lpstr>
      <vt:lpstr>Sheet7 (2)</vt:lpstr>
      <vt:lpstr>Sheet7 (3)</vt:lpstr>
      <vt:lpstr>Sheet7 (4)</vt:lpstr>
      <vt:lpstr>Sheet7 (5)</vt:lpstr>
      <vt:lpstr>Sheet7 (6)</vt:lpstr>
      <vt:lpstr>Sheet7 (7)</vt:lpstr>
      <vt:lpstr>Sheet7 (8)</vt:lpstr>
      <vt:lpstr>Sheet16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Esther</cp:lastModifiedBy>
  <cp:revision/>
  <dcterms:created xsi:type="dcterms:W3CDTF">2022-11-26T09:51:45Z</dcterms:created>
  <dcterms:modified xsi:type="dcterms:W3CDTF">2026-04-27T23:24:58Z</dcterms:modified>
  <cp:category/>
  <cp:contentStatus/>
</cp:coreProperties>
</file>